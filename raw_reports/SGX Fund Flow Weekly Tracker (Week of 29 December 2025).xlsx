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808B42D-05B8-4133-8299-07C3B3257E50}"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<sst xmlns="http://schemas.openxmlformats.org/spreadsheetml/2006/main" count="139" uniqueCount="89">
  <si>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</si>
  <si>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</si>
  <si>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</si>
  <si>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</si>
  <si>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</si>
  <si>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</si>
  <si>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</si>
  <si>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</si>
  <si>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</si>
  <si>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</si>
  <si>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</si>
  <si>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</si>
  <si>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</si>
  <si>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</si>
  <si>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</si>
  <si>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</si>
  <si>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</si>
  <si>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</si>
  <si>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</si>
  <si>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</si>
  <si>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</si>
  <si>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</si>
  <si>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</si>
  <si>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</si>
  <si>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</si>
  <si>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</si>
  <si>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</si>
  <si>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</si>
  <si>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</si>
  <si>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</si>
  <si>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</si>
  <si>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</si>
  <si>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</si>
  <si>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</si>
  <si>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</si>
  <si>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</si>
  <si>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</si>
  <si>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</si>
  <si>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OCBC</t>
  </si>
  <si>
    <t>O39</t>
  </si>
  <si>
    <t>ST Engineering</t>
  </si>
  <si>
    <t>S63</t>
  </si>
  <si>
    <t>Marco Polo Marine</t>
  </si>
  <si>
    <t>5LY</t>
  </si>
  <si>
    <t>Yangzijiang Shipbuilding</t>
  </si>
  <si>
    <t>BS6</t>
  </si>
  <si>
    <t>8YZ</t>
  </si>
  <si>
    <t>City Developments</t>
  </si>
  <si>
    <t>C09</t>
  </si>
  <si>
    <t>Yangzijiang Maritime</t>
  </si>
  <si>
    <t>SATS</t>
  </si>
  <si>
    <t>S58</t>
  </si>
  <si>
    <t>Yangzijiang Financial</t>
  </si>
  <si>
    <t>YF8</t>
  </si>
  <si>
    <t>Seatrium</t>
  </si>
  <si>
    <t>5E2</t>
  </si>
  <si>
    <t>Singtel</t>
  </si>
  <si>
    <t>Z74</t>
  </si>
  <si>
    <t>Keppel DC REIT</t>
  </si>
  <si>
    <t>AJBU</t>
  </si>
  <si>
    <t>Jardine Matheson</t>
  </si>
  <si>
    <t>J36</t>
  </si>
  <si>
    <t>SGX</t>
  </si>
  <si>
    <t>S68</t>
  </si>
  <si>
    <t>Nam Cheong</t>
  </si>
  <si>
    <t>1MZ</t>
  </si>
  <si>
    <t>Thai Beverage</t>
  </si>
  <si>
    <t>Y92</t>
  </si>
  <si>
    <t>Nio</t>
  </si>
  <si>
    <t>NIO</t>
  </si>
  <si>
    <t>Jardine Cycle &amp; Carriage</t>
  </si>
  <si>
    <t>C07</t>
  </si>
  <si>
    <t>CSE Global</t>
  </si>
  <si>
    <t>544</t>
  </si>
  <si>
    <t>CapitaLand Investment</t>
  </si>
  <si>
    <t>9CI</t>
  </si>
  <si>
    <t>Wilmar International</t>
  </si>
  <si>
    <t>F34</t>
  </si>
  <si>
    <t>SIA</t>
  </si>
  <si>
    <t>C6L</t>
  </si>
  <si>
    <t>Genting Singapore</t>
  </si>
  <si>
    <t>G13</t>
  </si>
  <si>
    <t>CapitaLand Ascendas REIT</t>
  </si>
  <si>
    <t>A17U</t>
  </si>
  <si>
    <t>Sembcorp Industries</t>
  </si>
  <si>
    <t>U96</t>
  </si>
  <si>
    <t>Week of 29 December 2025</t>
  </si>
  <si>
    <r>
      <t xml:space="preserve">Institutional investors net </t>
    </r>
    <r>
      <rPr>
        <b/>
        <sz val="11"/>
        <rFont val="Arial"/>
        <family val="2"/>
      </rPr>
      <t>sell</t>
    </r>
    <r>
      <rPr>
        <sz val="11"/>
        <rFont val="Arial"/>
        <family val="2"/>
      </rPr>
      <t xml:space="preserve"> (-S$141.8m) vs. (+S$68.4m) a week ago</t>
    </r>
  </si>
  <si>
    <r>
      <t xml:space="preserve">Retail investors net </t>
    </r>
    <r>
      <rPr>
        <b/>
        <sz val="11"/>
        <rFont val="Arial"/>
        <family val="2"/>
      </rPr>
      <t>sell</t>
    </r>
    <r>
      <rPr>
        <sz val="11"/>
        <rFont val="Arial"/>
        <family val="2"/>
      </rPr>
      <t xml:space="preserve"> (-S$32.5m) vs. (-S$205.4m)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</si>
</sst>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86</v>
      </c>
      <c r="C1" s="59"/>
    </row>
    <row r="2" spans="1:13" ht="15" x14ac:dyDescent="0.25">
      <c r="A2" s="52" t="s">
        <v>87</v>
      </c>
      <c r="I2" s="40"/>
    </row>
    <row r="3" spans="1:13" ht="15" x14ac:dyDescent="0.25">
      <c r="A3" s="52" t="s">
        <v>88</v>
      </c>
      <c r="I3" s="40"/>
    </row>
    <row r="5" spans="1:13" ht="29.25" customHeight="1" x14ac:dyDescent="0.2">
      <c r="A5" s="3" t="s">
        <v>0</v>
      </c>
      <c r="B5" s="3" t="s">
        <v>1</v>
      </c>
      <c r="C5" s="4" t="s">
        <v>86</v>
      </c>
      <c r="D5" s="43" t="s">
        <v>2</v>
      </c>
      <c r="E5" s="43" t="s">
        <v>1</v>
      </c>
      <c r="F5" s="44" t="str">
        <f>+C5</f>
        <v>Week of 29 December 2025</v>
      </c>
      <c r="I5" s="2"/>
    </row>
    <row r="6" spans="1:13" ht="15" x14ac:dyDescent="0.25">
      <c r="A6" s="28" t="s">
        <v>50</v>
      </c>
      <c r="B6" s="46" t="s">
        <v>51</v>
      </c>
      <c r="C6" s="5">
        <v>12.266546999999999</v>
      </c>
      <c r="D6" s="28" t="s">
        <v>23</v>
      </c>
      <c r="E6" s="46" t="s">
        <v>21</v>
      </c>
      <c r="F6" s="5">
        <v>-83.72833</v>
      </c>
      <c r="G6" s="61"/>
      <c r="H6"/>
      <c r="I6" s="2"/>
      <c r="M6"/>
    </row>
    <row r="7" spans="1:13" ht="15" x14ac:dyDescent="0.25">
      <c r="A7" s="29" t="s">
        <v>68</v>
      </c>
      <c r="B7" s="9" t="s">
        <v>69</v>
      </c>
      <c r="C7" s="7">
        <v>9.1026242536800019</v>
      </c>
      <c r="D7" s="29" t="s">
        <v>38</v>
      </c>
      <c r="E7" s="9" t="s">
        <v>39</v>
      </c>
      <c r="F7" s="7">
        <v>-29.034891999999999</v>
      </c>
      <c r="G7" s="61"/>
      <c r="H7"/>
      <c r="I7" s="2"/>
      <c r="L7"/>
      <c r="M7"/>
    </row>
    <row r="8" spans="1:13" ht="15" x14ac:dyDescent="0.25">
      <c r="A8" s="30" t="s">
        <v>60</v>
      </c>
      <c r="B8" s="46" t="s">
        <v>61</v>
      </c>
      <c r="C8" s="5">
        <v>8.8615482517000022</v>
      </c>
      <c r="D8" s="30" t="s">
        <v>24</v>
      </c>
      <c r="E8" s="46" t="s">
        <v>22</v>
      </c>
      <c r="F8" s="5">
        <v>-21.919450999999999</v>
      </c>
      <c r="G8" s="61"/>
      <c r="H8"/>
      <c r="I8" s="2"/>
      <c r="L8"/>
      <c r="M8"/>
    </row>
    <row r="9" spans="1:13" ht="15" x14ac:dyDescent="0.25">
      <c r="A9" s="29" t="s">
        <v>47</v>
      </c>
      <c r="B9" s="9" t="s">
        <v>48</v>
      </c>
      <c r="C9" s="7">
        <v>8.4134449999999994</v>
      </c>
      <c r="D9" s="29" t="s">
        <v>62</v>
      </c>
      <c r="E9" s="9" t="s">
        <v>63</v>
      </c>
      <c r="F9" s="7">
        <v>-18.269836000000002</v>
      </c>
      <c r="G9" s="61"/>
      <c r="H9"/>
      <c r="I9" s="2"/>
      <c r="L9"/>
      <c r="M9"/>
    </row>
    <row r="10" spans="1:13" ht="15" x14ac:dyDescent="0.25">
      <c r="A10" s="30" t="s">
        <v>36</v>
      </c>
      <c r="B10" s="46" t="s">
        <v>37</v>
      </c>
      <c r="C10" s="5">
        <v>7.0004169999999997</v>
      </c>
      <c r="D10" s="30" t="s">
        <v>56</v>
      </c>
      <c r="E10" s="46" t="s">
        <v>57</v>
      </c>
      <c r="F10" s="5">
        <v>-16.928997599999999</v>
      </c>
      <c r="G10" s="61"/>
      <c r="H10"/>
      <c r="I10" s="2"/>
      <c r="L10"/>
      <c r="M10"/>
    </row>
    <row r="11" spans="1:13" ht="15" x14ac:dyDescent="0.25">
      <c r="A11" s="29" t="s">
        <v>54</v>
      </c>
      <c r="B11" s="9" t="s">
        <v>55</v>
      </c>
      <c r="C11" s="7">
        <v>5.799372</v>
      </c>
      <c r="D11" s="29" t="s">
        <v>76</v>
      </c>
      <c r="E11" s="9" t="s">
        <v>77</v>
      </c>
      <c r="F11" s="7">
        <v>-8.7281399999999998</v>
      </c>
      <c r="G11" s="61"/>
      <c r="H11"/>
      <c r="I11" s="2"/>
      <c r="L11"/>
      <c r="M11"/>
    </row>
    <row r="12" spans="1:13" ht="15" x14ac:dyDescent="0.25">
      <c r="A12" s="30" t="s">
        <v>58</v>
      </c>
      <c r="B12" s="46" t="s">
        <v>59</v>
      </c>
      <c r="C12" s="5">
        <v>5.2440170000000004</v>
      </c>
      <c r="D12" s="30" t="s">
        <v>52</v>
      </c>
      <c r="E12" s="46" t="s">
        <v>53</v>
      </c>
      <c r="F12" s="5">
        <v>-8.41</v>
      </c>
      <c r="G12" s="61"/>
      <c r="H12"/>
      <c r="I12" s="2"/>
      <c r="L12"/>
      <c r="M12"/>
    </row>
    <row r="13" spans="1:13" ht="15" x14ac:dyDescent="0.25">
      <c r="A13" s="29" t="s">
        <v>70</v>
      </c>
      <c r="B13" s="9" t="s">
        <v>71</v>
      </c>
      <c r="C13" s="7">
        <v>4.7098139999999997</v>
      </c>
      <c r="D13" s="29" t="s">
        <v>40</v>
      </c>
      <c r="E13" s="9" t="s">
        <v>41</v>
      </c>
      <c r="F13" s="7">
        <v>-7.9814100000000003</v>
      </c>
      <c r="G13" s="61"/>
      <c r="H13"/>
      <c r="I13" s="2"/>
      <c r="L13"/>
      <c r="M13"/>
    </row>
    <row r="14" spans="1:13" ht="15" x14ac:dyDescent="0.25">
      <c r="A14" s="30" t="s">
        <v>72</v>
      </c>
      <c r="B14" s="46" t="s">
        <v>73</v>
      </c>
      <c r="C14" s="5">
        <v>4.2324840000000004</v>
      </c>
      <c r="D14" s="30" t="s">
        <v>66</v>
      </c>
      <c r="E14" s="46" t="s">
        <v>67</v>
      </c>
      <c r="F14" s="5">
        <v>-7.3237085000000004</v>
      </c>
      <c r="G14" s="61"/>
      <c r="H14"/>
      <c r="I14" s="2"/>
      <c r="L14"/>
      <c r="M14"/>
    </row>
    <row r="15" spans="1:13" ht="15" x14ac:dyDescent="0.25">
      <c r="A15" s="31" t="s">
        <v>74</v>
      </c>
      <c r="B15" s="27" t="s">
        <v>75</v>
      </c>
      <c r="C15" s="8">
        <v>3.943387</v>
      </c>
      <c r="D15" s="31" t="s">
        <v>78</v>
      </c>
      <c r="E15" s="27" t="s">
        <v>79</v>
      </c>
      <c r="F15" s="8">
        <v>-4.9157739999999999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29 December 2025</v>
      </c>
      <c r="D18" s="45" t="s">
        <v>4</v>
      </c>
      <c r="E18" s="43" t="s">
        <v>1</v>
      </c>
      <c r="F18" s="44" t="str">
        <f>+C18</f>
        <v>Week of 29 December 2025</v>
      </c>
    </row>
    <row r="19" spans="1:9" x14ac:dyDescent="0.2">
      <c r="A19" s="30" t="s">
        <v>23</v>
      </c>
      <c r="B19" s="46" t="s">
        <v>21</v>
      </c>
      <c r="C19" s="16">
        <v>47.728335999999999</v>
      </c>
      <c r="D19" s="30" t="s">
        <v>36</v>
      </c>
      <c r="E19" s="15" t="s">
        <v>37</v>
      </c>
      <c r="F19" s="5">
        <v>-17.603967999999998</v>
      </c>
      <c r="I19" s="2"/>
    </row>
    <row r="20" spans="1:9" ht="15" x14ac:dyDescent="0.25">
      <c r="A20" s="29" t="s">
        <v>62</v>
      </c>
      <c r="B20" s="9" t="s">
        <v>63</v>
      </c>
      <c r="C20" s="7">
        <v>11.206996999999999</v>
      </c>
      <c r="D20" s="29" t="s">
        <v>54</v>
      </c>
      <c r="E20" s="17" t="s">
        <v>55</v>
      </c>
      <c r="F20" s="7">
        <v>-12.608984</v>
      </c>
      <c r="G20" s="61"/>
      <c r="I20" s="2"/>
    </row>
    <row r="21" spans="1:9" ht="15" x14ac:dyDescent="0.25">
      <c r="A21" s="30" t="s">
        <v>38</v>
      </c>
      <c r="B21" s="46" t="s">
        <v>39</v>
      </c>
      <c r="C21" s="5">
        <v>7.1693759999999997</v>
      </c>
      <c r="D21" s="30" t="s">
        <v>74</v>
      </c>
      <c r="E21" s="6" t="s">
        <v>75</v>
      </c>
      <c r="F21" s="5">
        <v>-12.467553000000001</v>
      </c>
      <c r="G21" s="61"/>
      <c r="I21" s="2"/>
    </row>
    <row r="22" spans="1:9" ht="15" x14ac:dyDescent="0.25">
      <c r="A22" s="29" t="s">
        <v>52</v>
      </c>
      <c r="B22" s="9" t="s">
        <v>53</v>
      </c>
      <c r="C22" s="7">
        <v>6.4847859999999997</v>
      </c>
      <c r="D22" s="29" t="s">
        <v>50</v>
      </c>
      <c r="E22" s="17" t="s">
        <v>51</v>
      </c>
      <c r="F22" s="7">
        <v>-9.6805950000000003</v>
      </c>
      <c r="G22" s="61"/>
      <c r="I22" s="2"/>
    </row>
    <row r="23" spans="1:9" ht="15" x14ac:dyDescent="0.25">
      <c r="A23" s="30" t="s">
        <v>66</v>
      </c>
      <c r="B23" s="46" t="s">
        <v>67</v>
      </c>
      <c r="C23" s="5">
        <v>5.4080395000000001</v>
      </c>
      <c r="D23" s="30" t="s">
        <v>72</v>
      </c>
      <c r="E23" s="6" t="s">
        <v>73</v>
      </c>
      <c r="F23" s="5">
        <v>-8.3061934999999991</v>
      </c>
      <c r="G23" s="61"/>
      <c r="I23" s="2"/>
    </row>
    <row r="24" spans="1:9" ht="15" x14ac:dyDescent="0.25">
      <c r="A24" s="29" t="s">
        <v>76</v>
      </c>
      <c r="B24" s="9" t="s">
        <v>77</v>
      </c>
      <c r="C24" s="7">
        <v>4.9001190000000001</v>
      </c>
      <c r="D24" s="29" t="s">
        <v>47</v>
      </c>
      <c r="E24" s="17" t="s">
        <v>48</v>
      </c>
      <c r="F24" s="7">
        <v>-6.5652730000000004</v>
      </c>
      <c r="G24" s="61"/>
      <c r="I24" s="2"/>
    </row>
    <row r="25" spans="1:9" ht="15" x14ac:dyDescent="0.25">
      <c r="A25" s="30" t="s">
        <v>80</v>
      </c>
      <c r="B25" s="46" t="s">
        <v>81</v>
      </c>
      <c r="C25" s="5">
        <v>4.3514439999999999</v>
      </c>
      <c r="D25" s="30" t="s">
        <v>78</v>
      </c>
      <c r="E25" s="6" t="s">
        <v>79</v>
      </c>
      <c r="F25" s="5">
        <v>-6.2194469999999997</v>
      </c>
      <c r="G25" s="61"/>
      <c r="I25" s="2"/>
    </row>
    <row r="26" spans="1:9" ht="15" x14ac:dyDescent="0.25">
      <c r="A26" s="29" t="s">
        <v>42</v>
      </c>
      <c r="B26" s="9" t="s">
        <v>43</v>
      </c>
      <c r="C26" s="7">
        <v>3.9411648000000001</v>
      </c>
      <c r="D26" s="29" t="s">
        <v>82</v>
      </c>
      <c r="E26" s="17" t="s">
        <v>83</v>
      </c>
      <c r="F26" s="7">
        <v>-6.0872169999999999</v>
      </c>
      <c r="G26" s="61"/>
      <c r="I26" s="2"/>
    </row>
    <row r="27" spans="1:9" ht="15" x14ac:dyDescent="0.25">
      <c r="A27" s="30" t="s">
        <v>44</v>
      </c>
      <c r="B27" s="46" t="s">
        <v>45</v>
      </c>
      <c r="C27" s="5">
        <v>3.5731030000000001</v>
      </c>
      <c r="D27" s="30" t="s">
        <v>84</v>
      </c>
      <c r="E27" s="6" t="s">
        <v>85</v>
      </c>
      <c r="F27" s="5">
        <v>-4.4240139999999997</v>
      </c>
      <c r="G27" s="61"/>
      <c r="I27" s="2"/>
    </row>
    <row r="28" spans="1:9" ht="15" x14ac:dyDescent="0.25">
      <c r="A28" s="27" t="s">
        <v>49</v>
      </c>
      <c r="B28" s="56" t="s">
        <v>46</v>
      </c>
      <c r="C28" s="8">
        <v>3.1035284999999999</v>
      </c>
      <c r="D28" s="27" t="s">
        <v>64</v>
      </c>
      <c r="E28" s="56" t="s">
        <v>65</v>
      </c>
      <c r="F28" s="8">
        <v>-4.1241785000000002</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8" t="s">
        <v>35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1 B14 E23 E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-109.72484271254</v>
      </c>
      <c r="B3" s="54">
        <v>45999</v>
      </c>
      <c r="C3" s="14">
        <v>-6.3430441491999989</v>
      </c>
      <c r="D3" s="14">
        <v>3.7935595931999999</v>
      </c>
      <c r="E3" s="14">
        <v>-1.9558783999999998</v>
      </c>
      <c r="F3" s="14">
        <v>-77.603029299999989</v>
      </c>
      <c r="G3" s="14">
        <v>7.0634867953999976</v>
      </c>
      <c r="H3" s="14">
        <v>18.746458204899991</v>
      </c>
      <c r="I3" s="14">
        <v>-1.3043269</v>
      </c>
      <c r="J3" s="14">
        <v>19.219146155399997</v>
      </c>
      <c r="K3" s="14">
        <v>-49.566380512240002</v>
      </c>
      <c r="L3" s="14">
        <v>2.3283026000000002</v>
      </c>
      <c r="M3" s="14">
        <v>-5.4896836000000011</v>
      </c>
      <c r="N3" s="14">
        <v>-18.613453199999999</v>
      </c>
    </row>
    <row r="4" spans="1:15" ht="15" x14ac:dyDescent="0.25">
      <c r="A4" s="38">
        <f>SUM(C4:N4)</f>
        <v>-45.595231933020024</v>
      </c>
      <c r="B4" s="42">
        <v>46006</v>
      </c>
      <c r="C4" s="53">
        <v>-18.483071115870008</v>
      </c>
      <c r="D4" s="53">
        <v>-7.4205178627000006</v>
      </c>
      <c r="E4" s="53">
        <v>-1.5481830000000001</v>
      </c>
      <c r="F4" s="53">
        <v>52.725098899999999</v>
      </c>
      <c r="G4" s="53">
        <v>3.1335509757999991</v>
      </c>
      <c r="H4" s="53">
        <v>-19.2965846544</v>
      </c>
      <c r="I4" s="53">
        <v>4.8545625000000001</v>
      </c>
      <c r="J4" s="53">
        <v>24.925669893000002</v>
      </c>
      <c r="K4" s="53">
        <v>-4.8651515188499976</v>
      </c>
      <c r="L4" s="53">
        <v>-18.84223355</v>
      </c>
      <c r="M4" s="53">
        <v>-50.938059700000011</v>
      </c>
      <c r="N4" s="53">
        <v>-9.8403128000000013</v>
      </c>
    </row>
    <row r="5" spans="1:15" ht="15" x14ac:dyDescent="0.25">
      <c r="A5" s="67">
        <f>SUM(C5:N5)</f>
        <v>68.364206667440016</v>
      </c>
      <c r="B5" s="66">
        <v>46013</v>
      </c>
      <c r="C5" s="14">
        <v>5.012673952560001</v>
      </c>
      <c r="D5" s="14">
        <v>-1.9307551691000004</v>
      </c>
      <c r="E5" s="14">
        <v>1.5632354000000004</v>
      </c>
      <c r="F5" s="14">
        <v>-20.650618500000007</v>
      </c>
      <c r="G5" s="14">
        <v>-2.7525126352000013</v>
      </c>
      <c r="H5" s="14">
        <v>39.306779346300011</v>
      </c>
      <c r="I5" s="14">
        <v>0.75774159999999979</v>
      </c>
      <c r="J5" s="14">
        <v>27.554921094900006</v>
      </c>
      <c r="K5" s="14">
        <v>10.47402872798</v>
      </c>
      <c r="L5" s="14">
        <v>9.6467999499999983</v>
      </c>
      <c r="M5" s="14">
        <v>-10.9631554</v>
      </c>
      <c r="N5" s="14">
        <v>10.345068300000001</v>
      </c>
    </row>
    <row r="6" spans="1:15" ht="15" x14ac:dyDescent="0.25">
      <c r="A6" s="67">
        <f>SUM(C6:N6)</f>
        <v>-141.78875504295996</v>
      </c>
      <c r="B6" s="58">
        <v>46020</v>
      </c>
      <c r="C6" s="53">
        <v>13.383697533379996</v>
      </c>
      <c r="D6" s="53">
        <v>-22.520233248099998</v>
      </c>
      <c r="E6" s="53">
        <v>-1.4321908999999997</v>
      </c>
      <c r="F6" s="53">
        <v>-158.6777744</v>
      </c>
      <c r="G6" s="53">
        <v>0.26874417259999972</v>
      </c>
      <c r="H6" s="53">
        <v>26.757225991949984</v>
      </c>
      <c r="I6" s="53">
        <v>-0.96020559999999999</v>
      </c>
      <c r="J6" s="53">
        <v>12.3208614005</v>
      </c>
      <c r="K6" s="53">
        <v>0.96964930670999738</v>
      </c>
      <c r="L6" s="53">
        <v>7.137686399999998</v>
      </c>
      <c r="M6" s="53">
        <v>-17.131996299999997</v>
      </c>
      <c r="N6" s="53">
        <v>-1.9042194000000001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6.4981700666999878</v>
      </c>
      <c r="B3" s="47">
        <v>45999</v>
      </c>
      <c r="C3" s="60">
        <v>15.950908653179994</v>
      </c>
      <c r="D3" s="60">
        <v>-2.5563771666000008</v>
      </c>
      <c r="E3" s="60">
        <v>1.6090830000000003</v>
      </c>
      <c r="F3" s="60">
        <v>-47.113693299999994</v>
      </c>
      <c r="G3" s="60">
        <v>-3.7815704110000024</v>
      </c>
      <c r="H3" s="60">
        <v>-16.716220682680003</v>
      </c>
      <c r="I3" s="60">
        <v>0.86665800000000004</v>
      </c>
      <c r="J3" s="60">
        <v>-19.523138666200008</v>
      </c>
      <c r="K3" s="60">
        <v>60.314588490000006</v>
      </c>
      <c r="L3" s="60">
        <v>-11.29482245</v>
      </c>
      <c r="M3" s="60">
        <v>2.0703989000000007</v>
      </c>
      <c r="N3" s="60">
        <v>26.672355700000001</v>
      </c>
      <c r="P3" s="13"/>
    </row>
    <row r="4" spans="1:20" ht="15" x14ac:dyDescent="0.25">
      <c r="A4" s="48">
        <f>SUM(C4:N4)</f>
        <v>130.84430406608004</v>
      </c>
      <c r="B4" s="58">
        <v>46006</v>
      </c>
      <c r="C4" s="55">
        <v>21.78904133088</v>
      </c>
      <c r="D4" s="55">
        <v>6.6931242431999998</v>
      </c>
      <c r="E4" s="55">
        <v>1.7080862000000001</v>
      </c>
      <c r="F4" s="55">
        <v>55.161927900000016</v>
      </c>
      <c r="G4" s="55">
        <v>-6.1932321577999998</v>
      </c>
      <c r="H4" s="55">
        <v>20.142537402299993</v>
      </c>
      <c r="I4" s="55">
        <v>-4.3256569999999996</v>
      </c>
      <c r="J4" s="55">
        <v>-52.4970388136</v>
      </c>
      <c r="K4" s="55">
        <v>10.012417811100006</v>
      </c>
      <c r="L4" s="55">
        <v>18.11060865</v>
      </c>
      <c r="M4" s="55">
        <v>36.992490400000001</v>
      </c>
      <c r="N4" s="55">
        <v>23.249998099999999</v>
      </c>
      <c r="P4" s="13"/>
    </row>
    <row r="5" spans="1:20" ht="15" x14ac:dyDescent="0.25">
      <c r="A5" s="48">
        <f>SUM(C5:N5)</f>
        <v>-205.42355299570002</v>
      </c>
      <c r="B5" s="66">
        <v>46013</v>
      </c>
      <c r="C5" s="60">
        <v>3.7406329769100006</v>
      </c>
      <c r="D5" s="60">
        <v>8.8712308262999997</v>
      </c>
      <c r="E5" s="60">
        <v>-2.9592982999999999</v>
      </c>
      <c r="F5" s="60">
        <v>-90.409852100000009</v>
      </c>
      <c r="G5" s="60">
        <v>-1.7135315347</v>
      </c>
      <c r="H5" s="60">
        <v>-84.28738826575001</v>
      </c>
      <c r="I5" s="60">
        <v>7.9622699999999921E-2</v>
      </c>
      <c r="J5" s="60">
        <v>-11.109719294899998</v>
      </c>
      <c r="K5" s="60">
        <v>4.7420081464400008</v>
      </c>
      <c r="L5" s="60">
        <v>-19.807351950000001</v>
      </c>
      <c r="M5" s="60">
        <v>-2.8543478999999987</v>
      </c>
      <c r="N5" s="60">
        <v>-9.7155583000000014</v>
      </c>
      <c r="P5" s="13"/>
    </row>
    <row r="6" spans="1:20" ht="15" x14ac:dyDescent="0.25">
      <c r="A6" s="48">
        <f>SUM(C6:N6)</f>
        <v>-32.51691532082998</v>
      </c>
      <c r="B6" s="58">
        <v>46020</v>
      </c>
      <c r="C6" s="55">
        <v>-0.7031996111799983</v>
      </c>
      <c r="D6" s="55">
        <v>12.723181487499998</v>
      </c>
      <c r="E6" s="55">
        <v>1.3563444999999994</v>
      </c>
      <c r="F6" s="55">
        <v>61.637652500000009</v>
      </c>
      <c r="G6" s="55">
        <v>-5.5940589804999981</v>
      </c>
      <c r="H6" s="55">
        <v>-60.05788248975</v>
      </c>
      <c r="I6" s="55">
        <v>1.4093089000000001</v>
      </c>
      <c r="J6" s="55">
        <v>-8.3465281342000015</v>
      </c>
      <c r="K6" s="55">
        <v>-14.441077642699998</v>
      </c>
      <c r="L6" s="55">
        <v>-13.862445449999999</v>
      </c>
      <c r="M6" s="55">
        <v>-2.5289871999999995</v>
      </c>
      <c r="N6" s="55">
        <v>-4.1092231999999997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2026-01-05T04:07:49Z</dcterms:modified>
</cp:coreProperties>
</file>