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EE84D824-3CDB-4AC4-A6C3-94347F8B430C}" xr6:coauthVersionLast="47" xr6:coauthVersionMax="47" xr10:uidLastSave="{00000000-0000-0000-0000-000000000000}"/>
  <bookViews>
    <workbookView xWindow="2868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C32" i="4" l="1"/>
  <c r="A4" i="3" l="1"/>
  <c r="A5" i="3"/>
  <c r="A6" i="3"/>
  <c r="A3" i="3"/>
  <c r="A4" i="2"/>
  <c r="A5" i="2"/>
  <c r="A6" i="2"/>
  <c r="A3" i="2"/>
  <c r="A1" i="4" l="1"/>
  <c r="D32" i="4" l="1"/>
  <c r="C18" i="1" l="1"/>
  <c r="F18" i="1" s="1"/>
  <c r="F5" i="1"/>
</calcChain>
</file>

<file path=xl/sharedStrings.xml><?xml version="1.0" encoding="utf-8"?>
<sst xmlns="http://schemas.openxmlformats.org/spreadsheetml/2006/main" count="518" uniqueCount="275">
  <si>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</si>
  <si>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</si>
  <si>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</si>
  <si>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</si>
  <si>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</si>
  <si>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</si>
  <si>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</si>
  <si>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</si>
  <si>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</si>
  <si>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</si>
  <si>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</si>
  <si>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</si>
  <si>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</si>
  <si>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</si>
  <si>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</si>
  <si>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</si>
  <si>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</si>
  <si>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</si>
  <si>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</si>
  <si>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</si>
  <si>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</si>
  <si>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</si>
  <si>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</si>
  <si>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</si>
  <si>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</si>
  <si>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</si>
  <si>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</si>
  <si>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</si>
  <si>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</si>
  <si>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</si>
  <si>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</si>
  <si>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</si>
  <si>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</si>
  <si>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</si>
  <si>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</si>
  <si>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</si>
  <si>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</si>
  <si>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</si>
  <si>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</si>
  <si>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</si>
  <si>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</si>
  <si>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</si>
  <si>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</si>
  <si>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</si>
  <si>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</si>
  <si>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</si>
  <si>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</si>
  <si>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</si>
  <si>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</si>
  <si>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</si>
  <si>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</si>
  <si>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</si>
  <si>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</si>
  <si>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</si>
  <si>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</si>
  <si>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</si>
  <si>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</si>
  <si>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</si>
  <si>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</si>
  <si>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</si>
  <si>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</si>
  <si>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</si>
  <si>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</si>
  <si>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</si>
  <si>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</si>
  <si>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</si>
  <si>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</si>
  <si>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</si>
  <si>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</si>
  <si>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</si>
  <si>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</si>
  <si>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</si>
  <si>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</si>
  <si>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</si>
  <si>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</si>
  <si>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</si>
  <si>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</si>
  <si>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</si>
  <si>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</si>
  <si>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</si>
  <si>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</si>
  <si>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</si>
  <si>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</si>
  <si>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</si>
  <si>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</si>
  <si>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</si>
  <si>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</si>
  <si>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</si>
  <si>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</si>
  <si>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</si>
  <si>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</si>
  <si>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</si>
  <si>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</si>
  <si>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</si>
  <si>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</si>
  <si>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</si>
  <si>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</si>
  <si>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</si>
  <si>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</si>
  <si>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</si>
  <si>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</si>
  <si>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</si>
  <si>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</si>
  <si>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</si>
  <si>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</si>
  <si>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</si>
  <si>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</si>
  <si>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</si>
  <si>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</si>
  <si>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</si>
  <si>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</si>
  <si>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</si>
  <si>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</si>
  <si>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</si>
  <si>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</si>
  <si>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</si>
  <si>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</si>
  <si>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</si>
  <si>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</si>
  <si>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</si>
  <si>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</si>
  <si>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</si>
  <si>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</si>
  <si>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</si>
  <si>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</si>
  <si>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</si>
  <si>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</si>
  <si>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</si>
  <si>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</si>
  <si>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</si>
  <si>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</si>
  <si>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</si>
  <si>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</si>
  <si>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</si>
  <si>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</si>
  <si>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</si>
  <si>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</si>
  <si>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</si>
  <si>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</si>
  <si>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</si>
  <si>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</si>
  <si>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</si>
  <si>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</si>
  <si>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</si>
  <si>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</si>
  <si>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</si>
  <si>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</si>
  <si>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</si>
  <si>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</si>
  <si>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</si>
  <si>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</si>
  <si>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</si>
  <si>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</si>
  <si>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</si>
  <si>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</si>
  <si>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</si>
  <si>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</si>
  <si>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</si>
  <si>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Y45</t>
  </si>
  <si>
    <t>BN2</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</si>
  <si>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</si>
  <si>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</si>
  <si>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</si>
  <si>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</si>
  <si>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</si>
  <si>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</si>
  <si>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</si>
  <si>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</si>
  <si>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</si>
  <si>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</si>
  <si>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</si>
  <si>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</si>
  <si>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</si>
  <si>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</si>
  <si>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</si>
  <si>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</si>
  <si>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</si>
  <si>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</si>
  <si>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</si>
  <si>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</si>
  <si>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</si>
  <si>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</si>
  <si>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</si>
  <si>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</si>
  <si>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</si>
  <si>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</si>
  <si>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</si>
  <si>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</si>
  <si>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</si>
  <si>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</si>
  <si>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</si>
  <si>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</si>
  <si>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</si>
  <si>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</si>
  <si>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</si>
  <si>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</si>
  <si>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</si>
  <si>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</si>
  <si>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</si>
  <si>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</si>
  <si>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</si>
  <si>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</si>
  <si>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</si>
  <si>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</si>
  <si>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</si>
  <si>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</si>
  <si>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</si>
  <si>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</si>
  <si>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</si>
  <si>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</si>
  <si>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</si>
  <si>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</si>
  <si>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</si>
  <si>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</si>
  <si>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</si>
  <si>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</si>
  <si>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</si>
  <si>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</si>
  <si>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</si>
  <si>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</si>
  <si>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</si>
  <si>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</si>
  <si>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</si>
  <si>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</si>
  <si>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</si>
  <si>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</si>
  <si>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</si>
  <si>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</si>
  <si>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</si>
  <si>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</si>
  <si>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</si>
  <si>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</si>
  <si>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</si>
  <si>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</si>
  <si>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</si>
  <si>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</si>
  <si>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</si>
  <si>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</si>
  <si>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</si>
  <si>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</si>
  <si>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</si>
  <si>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</si>
  <si>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</si>
  <si>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</si>
  <si>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</si>
  <si>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</si>
  <si>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</si>
  <si>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</si>
  <si>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</si>
  <si>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Valuetronics</t>
  </si>
  <si>
    <t>Haw Par</t>
  </si>
  <si>
    <t>TheHourGlass</t>
  </si>
  <si>
    <t>Sasseur Reit</t>
  </si>
  <si>
    <t>Delfi</t>
  </si>
  <si>
    <t>SMI Vantage^</t>
  </si>
  <si>
    <t>Yoma Strategic</t>
  </si>
  <si>
    <t>SIA Engineering</t>
  </si>
  <si>
    <t>Source: SGX.</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</si>
  <si>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</si>
  <si>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Mapletree Pan Asia Commercial Trust</t>
  </si>
  <si>
    <t>Frencken Group</t>
  </si>
  <si>
    <t>Aztech Global</t>
  </si>
  <si>
    <t>Wing Tai</t>
  </si>
  <si>
    <t>W05</t>
  </si>
  <si>
    <t>Straits Trading</t>
  </si>
  <si>
    <t>S20</t>
  </si>
  <si>
    <t>Great Eastern</t>
  </si>
  <si>
    <t>G07</t>
  </si>
  <si>
    <t>Week of 4 March 2024</t>
  </si>
  <si>
    <r>
      <t>Institutional investors net</t>
    </r>
    <r>
      <rPr>
        <b/>
        <sz val="11"/>
        <rFont val="Arial"/>
        <family val="2"/>
      </rPr>
      <t xml:space="preserve"> sell </t>
    </r>
    <r>
      <rPr>
        <sz val="11"/>
        <rFont val="Arial"/>
        <family val="2"/>
      </rPr>
      <t>(-S$225.4m) vs. (-S$525.9m) a week ago</t>
    </r>
  </si>
  <si>
    <r>
      <t xml:space="preserve">Retail investors net </t>
    </r>
    <r>
      <rPr>
        <b/>
        <sz val="11"/>
        <rFont val="Arial"/>
        <family val="2"/>
      </rPr>
      <t xml:space="preserve">buy </t>
    </r>
    <r>
      <rPr>
        <sz val="11"/>
        <rFont val="Arial"/>
        <family val="2"/>
      </rPr>
      <t>(+S$143.0m) vs.</t>
    </r>
    <r>
      <rPr>
        <b/>
        <sz val="11"/>
        <rFont val="Arial"/>
        <family val="2"/>
      </rPr>
      <t xml:space="preserve"> </t>
    </r>
    <r>
      <rPr>
        <sz val="11"/>
        <rFont val="Arial"/>
        <family val="2"/>
      </rPr>
      <t>(+S$368.3m) a week ago</t>
    </r>
  </si>
  <si>
    <t>Golden Agri-Resources</t>
  </si>
  <si>
    <t>Suntec REIT</t>
  </si>
  <si>
    <t>Daiwa Hse Log Tr</t>
  </si>
  <si>
    <t>DHLU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</si>
</sst>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67" fontId="7" fillId="0" borderId="11" xfId="0" applyNumberFormat="1" applyFont="1" applyBorder="1" applyAlignment="1">
      <alignment horizontal="center"/>
    </xf>
    <xf numFmtId="15" fontId="3" fillId="0" borderId="13" xfId="0" applyNumberFormat="1" applyFont="1" applyBorder="1" applyAlignment="1">
      <alignment horizontal="lef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28515625" style="2" bestFit="1" customWidth="1"/>
    <col min="9" max="9" width="17" style="42"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268</v>
      </c>
    </row>
    <row r="2" spans="1:13" ht="15" x14ac:dyDescent="0.25">
      <c r="A2" s="83" t="s">
        <v>269</v>
      </c>
      <c r="I2" s="58"/>
    </row>
    <row r="3" spans="1:13" ht="15" x14ac:dyDescent="0.25">
      <c r="A3" s="83" t="s">
        <v>270</v>
      </c>
      <c r="I3" s="58"/>
    </row>
    <row r="5" spans="1:13" ht="29.25" customHeight="1" x14ac:dyDescent="0.2">
      <c r="A5" s="3" t="s">
        <v>0</v>
      </c>
      <c r="B5" s="3" t="s">
        <v>1</v>
      </c>
      <c r="C5" s="4" t="s">
        <v>268</v>
      </c>
      <c r="D5" s="78" t="s">
        <v>2</v>
      </c>
      <c r="E5" s="78" t="s">
        <v>1</v>
      </c>
      <c r="F5" s="79" t="str">
        <f>+C5</f>
        <v>Week of 4 March 2024</v>
      </c>
    </row>
    <row r="6" spans="1:13" ht="15" x14ac:dyDescent="0.25">
      <c r="A6" s="36" t="s">
        <v>49</v>
      </c>
      <c r="B6" s="84" t="s">
        <v>47</v>
      </c>
      <c r="C6" s="6">
        <v>16.936608100000001</v>
      </c>
      <c r="D6" s="36" t="s">
        <v>26</v>
      </c>
      <c r="E6" s="84" t="s">
        <v>21</v>
      </c>
      <c r="F6" s="6">
        <v>-70.796544999999995</v>
      </c>
      <c r="K6" s="47"/>
      <c r="L6"/>
      <c r="M6"/>
    </row>
    <row r="7" spans="1:13" ht="15" x14ac:dyDescent="0.25">
      <c r="A7" s="37" t="s">
        <v>61</v>
      </c>
      <c r="B7" s="10" t="s">
        <v>53</v>
      </c>
      <c r="C7" s="8">
        <v>13.440647</v>
      </c>
      <c r="D7" s="37" t="s">
        <v>28</v>
      </c>
      <c r="E7" s="10" t="s">
        <v>23</v>
      </c>
      <c r="F7" s="8">
        <v>-30.175218999999998</v>
      </c>
      <c r="K7" s="47"/>
      <c r="L7"/>
      <c r="M7"/>
    </row>
    <row r="8" spans="1:13" ht="15" x14ac:dyDescent="0.25">
      <c r="A8" s="38" t="s">
        <v>63</v>
      </c>
      <c r="B8" s="84" t="s">
        <v>54</v>
      </c>
      <c r="C8" s="6">
        <v>10.812141</v>
      </c>
      <c r="D8" s="38" t="s">
        <v>65</v>
      </c>
      <c r="E8" s="84" t="s">
        <v>59</v>
      </c>
      <c r="F8" s="6">
        <v>-17.360631000000001</v>
      </c>
      <c r="K8" s="47"/>
      <c r="L8"/>
      <c r="M8"/>
    </row>
    <row r="9" spans="1:13" ht="15" x14ac:dyDescent="0.25">
      <c r="A9" s="37" t="s">
        <v>260</v>
      </c>
      <c r="B9" s="10" t="s">
        <v>113</v>
      </c>
      <c r="C9" s="8">
        <v>8.008718</v>
      </c>
      <c r="D9" s="37" t="s">
        <v>50</v>
      </c>
      <c r="E9" s="10" t="s">
        <v>48</v>
      </c>
      <c r="F9" s="8">
        <v>-16.383599</v>
      </c>
      <c r="K9" s="47"/>
      <c r="L9"/>
      <c r="M9"/>
    </row>
    <row r="10" spans="1:13" ht="15" x14ac:dyDescent="0.25">
      <c r="A10" s="38" t="s">
        <v>44</v>
      </c>
      <c r="B10" s="84" t="s">
        <v>41</v>
      </c>
      <c r="C10" s="6">
        <v>5.3979499999999998</v>
      </c>
      <c r="D10" s="38" t="s">
        <v>27</v>
      </c>
      <c r="E10" s="84" t="s">
        <v>22</v>
      </c>
      <c r="F10" s="6">
        <v>-14.757669999999999</v>
      </c>
      <c r="K10" s="47"/>
      <c r="L10"/>
      <c r="M10"/>
    </row>
    <row r="11" spans="1:13" ht="15" x14ac:dyDescent="0.25">
      <c r="A11" s="37" t="s">
        <v>39</v>
      </c>
      <c r="B11" s="10" t="s">
        <v>37</v>
      </c>
      <c r="C11" s="8">
        <v>4.8041580000000002</v>
      </c>
      <c r="D11" s="37" t="s">
        <v>79</v>
      </c>
      <c r="E11" s="10" t="s">
        <v>56</v>
      </c>
      <c r="F11" s="8">
        <v>-13.544482</v>
      </c>
      <c r="K11" s="47"/>
      <c r="L11"/>
      <c r="M11"/>
    </row>
    <row r="12" spans="1:13" ht="15" x14ac:dyDescent="0.25">
      <c r="A12" s="38" t="s">
        <v>90</v>
      </c>
      <c r="B12" s="84" t="s">
        <v>25</v>
      </c>
      <c r="C12" s="6">
        <v>4.3108589999999998</v>
      </c>
      <c r="D12" s="38" t="s">
        <v>40</v>
      </c>
      <c r="E12" s="84" t="s">
        <v>38</v>
      </c>
      <c r="F12" s="6">
        <v>-11.60596</v>
      </c>
      <c r="K12" s="47"/>
      <c r="L12"/>
      <c r="M12"/>
    </row>
    <row r="13" spans="1:13" ht="15" x14ac:dyDescent="0.25">
      <c r="A13" s="37" t="s">
        <v>232</v>
      </c>
      <c r="B13" s="10" t="s">
        <v>100</v>
      </c>
      <c r="C13" s="8">
        <v>2.9778665000000002</v>
      </c>
      <c r="D13" s="37" t="s">
        <v>34</v>
      </c>
      <c r="E13" s="10" t="s">
        <v>30</v>
      </c>
      <c r="F13" s="8">
        <v>-11.489188</v>
      </c>
      <c r="K13" s="47"/>
      <c r="L13"/>
      <c r="M13"/>
    </row>
    <row r="14" spans="1:13" ht="15" x14ac:dyDescent="0.25">
      <c r="A14" s="38" t="s">
        <v>261</v>
      </c>
      <c r="B14" s="84" t="s">
        <v>151</v>
      </c>
      <c r="C14" s="6">
        <v>2.2173060000000002</v>
      </c>
      <c r="D14" s="38" t="s">
        <v>33</v>
      </c>
      <c r="E14" s="84" t="s">
        <v>31</v>
      </c>
      <c r="F14" s="6">
        <v>-9.8352149999999998</v>
      </c>
      <c r="K14" s="47"/>
      <c r="L14"/>
      <c r="M14"/>
    </row>
    <row r="15" spans="1:13" ht="15" x14ac:dyDescent="0.25">
      <c r="A15" s="39" t="s">
        <v>46</v>
      </c>
      <c r="B15" s="35" t="s">
        <v>43</v>
      </c>
      <c r="C15" s="9">
        <v>2.1699550000000012</v>
      </c>
      <c r="D15" s="39" t="s">
        <v>29</v>
      </c>
      <c r="E15" s="35" t="s">
        <v>24</v>
      </c>
      <c r="F15" s="9">
        <v>-8.9811599999999991</v>
      </c>
      <c r="K15" s="47"/>
      <c r="L15"/>
      <c r="M15"/>
    </row>
    <row r="16" spans="1:13" ht="15" x14ac:dyDescent="0.2">
      <c r="A16" s="10"/>
      <c r="B16" s="10"/>
      <c r="C16" s="10"/>
      <c r="D16" s="33"/>
      <c r="E16" s="10"/>
      <c r="F16" s="10"/>
    </row>
    <row r="17" spans="1:13" x14ac:dyDescent="0.2">
      <c r="A17" s="10"/>
      <c r="B17" s="10"/>
      <c r="C17" s="10"/>
      <c r="D17" s="10"/>
      <c r="E17" s="10"/>
      <c r="F17" s="10"/>
    </row>
    <row r="18" spans="1:13" ht="28.5" customHeight="1" x14ac:dyDescent="0.2">
      <c r="A18" s="41" t="s">
        <v>3</v>
      </c>
      <c r="B18" s="3" t="s">
        <v>1</v>
      </c>
      <c r="C18" s="4" t="str">
        <f>C5</f>
        <v>Week of 4 March 2024</v>
      </c>
      <c r="D18" s="80" t="s">
        <v>4</v>
      </c>
      <c r="E18" s="78" t="s">
        <v>1</v>
      </c>
      <c r="F18" s="79" t="str">
        <f>+C18</f>
        <v>Week of 4 March 2024</v>
      </c>
    </row>
    <row r="19" spans="1:13" ht="15" x14ac:dyDescent="0.25">
      <c r="A19" s="74" t="s">
        <v>33</v>
      </c>
      <c r="B19" s="84" t="s">
        <v>31</v>
      </c>
      <c r="C19" s="6">
        <v>34.779217000000003</v>
      </c>
      <c r="D19" s="36" t="s">
        <v>61</v>
      </c>
      <c r="E19" s="84" t="s">
        <v>53</v>
      </c>
      <c r="F19" s="6">
        <v>-16.944787999999999</v>
      </c>
      <c r="I19" s="40"/>
      <c r="K19" s="47"/>
      <c r="L19"/>
      <c r="M19"/>
    </row>
    <row r="20" spans="1:13" ht="15" x14ac:dyDescent="0.25">
      <c r="A20" s="37" t="s">
        <v>65</v>
      </c>
      <c r="B20" s="10" t="s">
        <v>59</v>
      </c>
      <c r="C20" s="8">
        <v>26.962562999999999</v>
      </c>
      <c r="D20" s="37" t="s">
        <v>49</v>
      </c>
      <c r="E20" s="10" t="s">
        <v>47</v>
      </c>
      <c r="F20" s="8">
        <v>-12.1896208</v>
      </c>
      <c r="I20" s="40"/>
      <c r="K20" s="47"/>
      <c r="L20"/>
      <c r="M20"/>
    </row>
    <row r="21" spans="1:13" ht="15" x14ac:dyDescent="0.25">
      <c r="A21" s="38" t="s">
        <v>26</v>
      </c>
      <c r="B21" s="84" t="s">
        <v>21</v>
      </c>
      <c r="C21" s="6">
        <v>20.332324</v>
      </c>
      <c r="D21" s="38" t="s">
        <v>27</v>
      </c>
      <c r="E21" s="84" t="s">
        <v>22</v>
      </c>
      <c r="F21" s="6">
        <v>-10.168210999999999</v>
      </c>
      <c r="I21" s="40"/>
      <c r="K21" s="47"/>
      <c r="L21"/>
      <c r="M21"/>
    </row>
    <row r="22" spans="1:13" ht="15" x14ac:dyDescent="0.25">
      <c r="A22" s="37" t="s">
        <v>34</v>
      </c>
      <c r="B22" s="10" t="s">
        <v>30</v>
      </c>
      <c r="C22" s="8">
        <v>12.749048999999999</v>
      </c>
      <c r="D22" s="37" t="s">
        <v>260</v>
      </c>
      <c r="E22" s="10" t="s">
        <v>113</v>
      </c>
      <c r="F22" s="8">
        <v>-5.6608450000000001</v>
      </c>
      <c r="I22" s="40"/>
      <c r="K22" s="47"/>
      <c r="L22"/>
      <c r="M22"/>
    </row>
    <row r="23" spans="1:13" ht="15" x14ac:dyDescent="0.25">
      <c r="A23" s="38" t="s">
        <v>50</v>
      </c>
      <c r="B23" s="84" t="s">
        <v>48</v>
      </c>
      <c r="C23" s="6">
        <v>12.56317</v>
      </c>
      <c r="D23" s="38" t="s">
        <v>39</v>
      </c>
      <c r="E23" s="84" t="s">
        <v>37</v>
      </c>
      <c r="F23" s="6">
        <v>-5.5513250000000003</v>
      </c>
      <c r="I23" s="50"/>
      <c r="K23" s="47"/>
      <c r="L23"/>
      <c r="M23"/>
    </row>
    <row r="24" spans="1:13" ht="15" x14ac:dyDescent="0.25">
      <c r="A24" s="37" t="s">
        <v>147</v>
      </c>
      <c r="B24" s="10" t="s">
        <v>91</v>
      </c>
      <c r="C24" s="8">
        <v>9.6502173000000013</v>
      </c>
      <c r="D24" s="37" t="s">
        <v>44</v>
      </c>
      <c r="E24" s="10" t="s">
        <v>41</v>
      </c>
      <c r="F24" s="8">
        <v>-4.0228039999999998</v>
      </c>
      <c r="I24" s="40"/>
      <c r="K24" s="47"/>
      <c r="L24"/>
      <c r="M24"/>
    </row>
    <row r="25" spans="1:13" ht="15" x14ac:dyDescent="0.25">
      <c r="A25" s="38" t="s">
        <v>272</v>
      </c>
      <c r="B25" s="84" t="s">
        <v>92</v>
      </c>
      <c r="C25" s="6">
        <v>8.8595959999999998</v>
      </c>
      <c r="D25" s="38" t="s">
        <v>154</v>
      </c>
      <c r="E25" s="84" t="s">
        <v>32</v>
      </c>
      <c r="F25" s="6">
        <v>-4.0031319999999999</v>
      </c>
      <c r="I25" s="40"/>
      <c r="K25" s="47"/>
      <c r="L25"/>
      <c r="M25"/>
    </row>
    <row r="26" spans="1:13" ht="15" x14ac:dyDescent="0.25">
      <c r="A26" s="37" t="s">
        <v>40</v>
      </c>
      <c r="B26" s="10" t="s">
        <v>38</v>
      </c>
      <c r="C26" s="8">
        <v>8.8148990000000005</v>
      </c>
      <c r="D26" s="37" t="s">
        <v>79</v>
      </c>
      <c r="E26" s="10" t="s">
        <v>56</v>
      </c>
      <c r="F26" s="8">
        <v>-3.5989520000000002</v>
      </c>
      <c r="I26" s="40"/>
      <c r="K26" s="47"/>
      <c r="L26"/>
      <c r="M26"/>
    </row>
    <row r="27" spans="1:13" ht="15" x14ac:dyDescent="0.25">
      <c r="A27" s="38" t="s">
        <v>271</v>
      </c>
      <c r="B27" s="84" t="s">
        <v>111</v>
      </c>
      <c r="C27" s="6">
        <v>6.9912625000000004</v>
      </c>
      <c r="D27" s="38" t="s">
        <v>261</v>
      </c>
      <c r="E27" s="84" t="s">
        <v>151</v>
      </c>
      <c r="F27" s="6">
        <v>-2.7904814999999998</v>
      </c>
      <c r="I27" s="40"/>
      <c r="K27" s="47"/>
      <c r="L27"/>
      <c r="M27"/>
    </row>
    <row r="28" spans="1:13" ht="15" x14ac:dyDescent="0.25">
      <c r="A28" s="39" t="s">
        <v>86</v>
      </c>
      <c r="B28" s="35" t="s">
        <v>85</v>
      </c>
      <c r="C28" s="9">
        <v>6.7682570000000002</v>
      </c>
      <c r="D28" s="39" t="s">
        <v>232</v>
      </c>
      <c r="E28" s="35" t="s">
        <v>100</v>
      </c>
      <c r="F28" s="9">
        <v>-2.6797369999999998</v>
      </c>
      <c r="I28" s="40"/>
      <c r="K28" s="47"/>
      <c r="L28"/>
      <c r="M28"/>
    </row>
    <row r="29" spans="1:13" x14ac:dyDescent="0.2">
      <c r="A29" s="10"/>
      <c r="B29" s="10"/>
      <c r="C29" s="10"/>
      <c r="D29" s="10"/>
      <c r="E29" s="10"/>
      <c r="F29" s="10"/>
    </row>
    <row r="30" spans="1:13" x14ac:dyDescent="0.2">
      <c r="A30" s="11" t="s">
        <v>257</v>
      </c>
      <c r="B30" s="11"/>
      <c r="C30" s="10"/>
      <c r="D30" s="10"/>
      <c r="E30" s="10"/>
      <c r="F30" s="10"/>
    </row>
    <row r="31" spans="1:13" x14ac:dyDescent="0.2">
      <c r="A31" s="11" t="s">
        <v>82</v>
      </c>
      <c r="B31" s="11"/>
      <c r="C31" s="10"/>
      <c r="D31" s="10"/>
      <c r="E31" s="10"/>
      <c r="F31" s="10"/>
    </row>
    <row r="32" spans="1:13" x14ac:dyDescent="0.2">
      <c r="A32" s="11" t="s">
        <v>83</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row>
    <row r="35" spans="1:9" x14ac:dyDescent="0.2">
      <c r="A35" s="11"/>
      <c r="B35" s="11"/>
      <c r="C35" s="10"/>
      <c r="D35" s="10"/>
      <c r="E35" s="10"/>
      <c r="F35" s="10"/>
    </row>
    <row r="36" spans="1:9" x14ac:dyDescent="0.2">
      <c r="A36" s="11"/>
      <c r="B36" s="11"/>
      <c r="C36" s="10"/>
      <c r="D36" s="10"/>
      <c r="E36" s="10"/>
      <c r="F36" s="10"/>
    </row>
    <row r="37" spans="1:9" customFormat="1" ht="15.75" x14ac:dyDescent="0.25">
      <c r="A37" s="25" t="s">
        <v>68</v>
      </c>
      <c r="B37" s="26"/>
      <c r="C37" s="27"/>
      <c r="D37" s="27"/>
      <c r="E37" s="26"/>
      <c r="F37" s="26"/>
      <c r="I37" s="40"/>
    </row>
    <row r="38" spans="1:9" customFormat="1" ht="15" x14ac:dyDescent="0.25">
      <c r="A38" s="28" t="s">
        <v>69</v>
      </c>
      <c r="B38" s="26"/>
      <c r="C38" s="27"/>
      <c r="D38" s="27"/>
      <c r="E38" s="26"/>
      <c r="F38" s="26"/>
      <c r="I38" s="40"/>
    </row>
    <row r="39" spans="1:9" s="32" customFormat="1" ht="19.350000000000001" customHeight="1" x14ac:dyDescent="0.25">
      <c r="A39" s="29" t="s">
        <v>70</v>
      </c>
      <c r="B39" s="30"/>
      <c r="C39" s="31"/>
      <c r="D39" s="31"/>
      <c r="E39" s="30"/>
      <c r="F39" s="30"/>
      <c r="I39" s="43"/>
    </row>
    <row r="40" spans="1:9" ht="169.35" customHeight="1" x14ac:dyDescent="0.2">
      <c r="A40" s="89" t="s">
        <v>258</v>
      </c>
      <c r="B40" s="89"/>
      <c r="C40" s="89"/>
      <c r="D40" s="89"/>
      <c r="E40" s="89"/>
      <c r="F40" s="89"/>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autoFilter ref="H19:H28" xr:uid="{00000000-0001-0000-0000-000000000000}"/>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5703125" style="2" bestFit="1"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90" t="s">
        <v>7</v>
      </c>
      <c r="B1" s="13"/>
      <c r="C1" s="92" t="s">
        <v>8</v>
      </c>
      <c r="D1" s="93"/>
      <c r="E1" s="93"/>
      <c r="F1" s="93"/>
      <c r="G1" s="93"/>
      <c r="H1" s="93"/>
      <c r="I1" s="93"/>
      <c r="J1" s="93"/>
      <c r="K1" s="93"/>
      <c r="L1" s="93"/>
      <c r="M1" s="93"/>
      <c r="N1" s="94"/>
    </row>
    <row r="2" spans="1:15" ht="60" customHeight="1" x14ac:dyDescent="0.2">
      <c r="A2" s="91"/>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9">
        <f>SUM(C3:N3)</f>
        <v>203.88894710106999</v>
      </c>
      <c r="B3" s="16">
        <v>45334</v>
      </c>
      <c r="C3" s="17">
        <v>-4.4855109951400003</v>
      </c>
      <c r="D3" s="17">
        <v>-8.1961384653999989</v>
      </c>
      <c r="E3" s="17">
        <v>1.9378410000000001</v>
      </c>
      <c r="F3" s="17">
        <v>114.78411057680002</v>
      </c>
      <c r="G3" s="17">
        <v>-1.9072132751000002</v>
      </c>
      <c r="H3" s="17">
        <v>87.817808812369989</v>
      </c>
      <c r="I3" s="17">
        <v>-0.64935860000000001</v>
      </c>
      <c r="J3" s="17">
        <v>-3.7378663614999992</v>
      </c>
      <c r="K3" s="17">
        <v>23.012601309040001</v>
      </c>
      <c r="L3" s="17">
        <v>8.7783444999999993</v>
      </c>
      <c r="M3" s="17">
        <v>-3.842224000000003</v>
      </c>
      <c r="N3" s="17">
        <v>-9.6234473999999999</v>
      </c>
    </row>
    <row r="4" spans="1:15" ht="15" x14ac:dyDescent="0.25">
      <c r="A4" s="49">
        <f t="shared" ref="A4:A6" si="0">SUM(C4:N4)</f>
        <v>-356.74851362620007</v>
      </c>
      <c r="B4" s="70">
        <v>45341</v>
      </c>
      <c r="C4" s="71">
        <v>-43.397642494480024</v>
      </c>
      <c r="D4" s="71">
        <v>8.7264830919999987</v>
      </c>
      <c r="E4" s="71">
        <v>3.1889930000000004</v>
      </c>
      <c r="F4" s="71">
        <v>-184.24064039999999</v>
      </c>
      <c r="G4" s="71">
        <v>-0.49551733869999987</v>
      </c>
      <c r="H4" s="71">
        <v>-102.03056626424004</v>
      </c>
      <c r="I4" s="71">
        <v>0.41300969999999992</v>
      </c>
      <c r="J4" s="71">
        <v>19.635222198099999</v>
      </c>
      <c r="K4" s="71">
        <v>-33.301668818879996</v>
      </c>
      <c r="L4" s="71">
        <v>21.889433400000001</v>
      </c>
      <c r="M4" s="71">
        <v>-6.7746769999999978</v>
      </c>
      <c r="N4" s="71">
        <v>-40.360942699999995</v>
      </c>
    </row>
    <row r="5" spans="1:15" ht="15" x14ac:dyDescent="0.25">
      <c r="A5" s="49">
        <f t="shared" si="0"/>
        <v>-525.94886634268994</v>
      </c>
      <c r="B5" s="73">
        <v>45348</v>
      </c>
      <c r="C5" s="17">
        <v>-19.339280176409996</v>
      </c>
      <c r="D5" s="17">
        <v>-15.524834328500001</v>
      </c>
      <c r="E5" s="17">
        <v>2.7812454999999998</v>
      </c>
      <c r="F5" s="17">
        <v>-244.70469889999998</v>
      </c>
      <c r="G5" s="17">
        <v>-5.2916366913000008</v>
      </c>
      <c r="H5" s="17">
        <v>25.773984904669987</v>
      </c>
      <c r="I5" s="17">
        <v>-2.1173248999999998</v>
      </c>
      <c r="J5" s="17">
        <v>-133.09535071369999</v>
      </c>
      <c r="K5" s="17">
        <v>-123.82913613744999</v>
      </c>
      <c r="L5" s="17">
        <v>-0.81748820000000055</v>
      </c>
      <c r="M5" s="17">
        <v>-1.161854900000002</v>
      </c>
      <c r="N5" s="17">
        <v>-8.6224918000000006</v>
      </c>
    </row>
    <row r="6" spans="1:15" ht="15" x14ac:dyDescent="0.25">
      <c r="A6" s="49">
        <f t="shared" si="0"/>
        <v>-225.42258341404002</v>
      </c>
      <c r="B6" s="81">
        <v>45355</v>
      </c>
      <c r="C6" s="71">
        <v>-24.497947570099999</v>
      </c>
      <c r="D6" s="71">
        <v>-7.7961144030000007</v>
      </c>
      <c r="E6" s="71">
        <v>2.3154683</v>
      </c>
      <c r="F6" s="71">
        <v>-134.59164990000002</v>
      </c>
      <c r="G6" s="71">
        <v>-9.0033209926999991</v>
      </c>
      <c r="H6" s="71">
        <v>-11.304588656750003</v>
      </c>
      <c r="I6" s="71">
        <v>0.68061230000000006</v>
      </c>
      <c r="J6" s="71">
        <v>-11.166259470700002</v>
      </c>
      <c r="K6" s="71">
        <v>-51.06876652079</v>
      </c>
      <c r="L6" s="71">
        <v>10.809102300000001</v>
      </c>
      <c r="M6" s="71">
        <v>17.857383800000001</v>
      </c>
      <c r="N6" s="71">
        <v>-7.6565026000000005</v>
      </c>
    </row>
    <row r="7" spans="1:15" ht="15" x14ac:dyDescent="0.25">
      <c r="A7" s="72"/>
      <c r="B7" s="12"/>
      <c r="C7" s="14"/>
      <c r="D7" s="14"/>
      <c r="E7" s="14"/>
      <c r="F7" s="14"/>
      <c r="G7" s="14"/>
      <c r="H7" s="14"/>
      <c r="I7" s="14"/>
      <c r="J7" s="14"/>
      <c r="K7" s="14"/>
      <c r="L7" s="14"/>
      <c r="M7" s="14"/>
      <c r="N7" s="14"/>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61"/>
      <c r="D13" s="61"/>
      <c r="E13" s="61"/>
      <c r="F13" s="61"/>
      <c r="G13" s="61"/>
      <c r="H13" s="61"/>
      <c r="I13" s="61"/>
      <c r="J13" s="61"/>
      <c r="K13" s="61"/>
      <c r="L13" s="61"/>
      <c r="M13" s="61"/>
      <c r="N13" s="61"/>
    </row>
    <row r="14" spans="1:15" ht="15" x14ac:dyDescent="0.25">
      <c r="B14" s="57"/>
      <c r="C14" s="57"/>
      <c r="D14" s="57"/>
      <c r="E14" s="57"/>
      <c r="F14" s="57"/>
      <c r="G14" s="57"/>
      <c r="H14" s="57"/>
      <c r="I14" s="57"/>
      <c r="J14" s="57"/>
      <c r="K14" s="57"/>
      <c r="L14" s="57"/>
      <c r="M14" s="57"/>
      <c r="N14"/>
      <c r="O14" s="46"/>
    </row>
    <row r="15" spans="1:15" ht="15" x14ac:dyDescent="0.25">
      <c r="C15" s="57"/>
      <c r="D15" s="57"/>
      <c r="E15" s="57"/>
      <c r="F15" s="57"/>
      <c r="G15" s="57"/>
      <c r="H15" s="57"/>
      <c r="I15" s="57"/>
      <c r="J15" s="57"/>
      <c r="K15" s="57"/>
      <c r="L15" s="57"/>
      <c r="M15" s="57"/>
      <c r="N15" s="57"/>
      <c r="O15" s="57"/>
    </row>
    <row r="16" spans="1:15" ht="15" x14ac:dyDescent="0.25">
      <c r="C16" s="46"/>
      <c r="D16" s="46"/>
      <c r="E16" s="46"/>
      <c r="F16" s="46"/>
      <c r="G16" s="46"/>
      <c r="H16" s="46"/>
      <c r="I16" s="46"/>
      <c r="J16" s="46"/>
      <c r="K16" s="46"/>
      <c r="L16" s="46"/>
      <c r="M16" s="46"/>
      <c r="N16" s="46"/>
      <c r="O16" s="46"/>
    </row>
    <row r="17" spans="3:15" ht="15" x14ac:dyDescent="0.25">
      <c r="C17" s="44"/>
      <c r="D17" s="44"/>
      <c r="E17" s="44"/>
      <c r="F17" s="44"/>
      <c r="G17" s="44"/>
      <c r="H17" s="44"/>
      <c r="I17" s="44"/>
      <c r="J17" s="44"/>
      <c r="K17" s="44"/>
      <c r="L17" s="44"/>
      <c r="M17" s="44"/>
      <c r="N17" s="44"/>
      <c r="O17" s="44"/>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90" t="s">
        <v>7</v>
      </c>
      <c r="B1" s="13"/>
      <c r="C1" s="92" t="s">
        <v>8</v>
      </c>
      <c r="D1" s="93"/>
      <c r="E1" s="93"/>
      <c r="F1" s="93"/>
      <c r="G1" s="93"/>
      <c r="H1" s="93"/>
      <c r="I1" s="93"/>
      <c r="J1" s="93"/>
      <c r="K1" s="93"/>
      <c r="L1" s="93"/>
      <c r="M1" s="93"/>
      <c r="N1" s="94"/>
    </row>
    <row r="2" spans="1:18" ht="60" x14ac:dyDescent="0.2">
      <c r="A2" s="91"/>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86">
        <f>SUM(C3:N3)</f>
        <v>-316.37547126618006</v>
      </c>
      <c r="B3" s="68">
        <v>45334</v>
      </c>
      <c r="C3" s="69">
        <v>5.8683151700300007</v>
      </c>
      <c r="D3" s="69">
        <v>1.3844319845999999</v>
      </c>
      <c r="E3" s="69">
        <v>-1.7353871999999995</v>
      </c>
      <c r="F3" s="69">
        <v>-180.30676707680001</v>
      </c>
      <c r="G3" s="69">
        <v>1.3442990060999995</v>
      </c>
      <c r="H3" s="69">
        <v>-120.76891827945003</v>
      </c>
      <c r="I3" s="69">
        <v>-0.86250970000000005</v>
      </c>
      <c r="J3" s="69">
        <v>5.0192960894999992</v>
      </c>
      <c r="K3" s="69">
        <v>-2.2320697601600008</v>
      </c>
      <c r="L3" s="69">
        <v>-10.5638077</v>
      </c>
      <c r="M3" s="69">
        <v>-5.0710757999999991</v>
      </c>
      <c r="N3" s="69">
        <v>-8.4512780000000003</v>
      </c>
      <c r="P3" s="15"/>
    </row>
    <row r="4" spans="1:18" ht="15" x14ac:dyDescent="0.25">
      <c r="A4" s="87">
        <f t="shared" ref="A4:A6" si="0">SUM(C4:N4)</f>
        <v>195.18642737303009</v>
      </c>
      <c r="B4" s="60">
        <v>45341</v>
      </c>
      <c r="C4" s="59">
        <v>50.221252936930014</v>
      </c>
      <c r="D4" s="59">
        <v>-21.726860278400004</v>
      </c>
      <c r="E4" s="59">
        <v>-6.9449169999999993</v>
      </c>
      <c r="F4" s="59">
        <v>-3.4255616000000071</v>
      </c>
      <c r="G4" s="59">
        <v>-0.25376494920000009</v>
      </c>
      <c r="H4" s="59">
        <v>158.56028781730006</v>
      </c>
      <c r="I4" s="59">
        <v>-0.3917674000000001</v>
      </c>
      <c r="J4" s="59">
        <v>-17.839971062299995</v>
      </c>
      <c r="K4" s="59">
        <v>23.665920408699993</v>
      </c>
      <c r="L4" s="59">
        <v>-18.587834400000006</v>
      </c>
      <c r="M4" s="59">
        <v>-9.8563967000000012</v>
      </c>
      <c r="N4" s="59">
        <v>41.766039599999999</v>
      </c>
      <c r="P4" s="15"/>
    </row>
    <row r="5" spans="1:18" ht="15" x14ac:dyDescent="0.25">
      <c r="A5" s="86">
        <f t="shared" si="0"/>
        <v>368.26458876979996</v>
      </c>
      <c r="B5" s="85">
        <v>45348</v>
      </c>
      <c r="C5" s="69">
        <v>46.458379869429997</v>
      </c>
      <c r="D5" s="69">
        <v>7.8975546340000005</v>
      </c>
      <c r="E5" s="69">
        <v>3.0488999999997712E-3</v>
      </c>
      <c r="F5" s="69">
        <v>176.2311497</v>
      </c>
      <c r="G5" s="69">
        <v>8.3140813633000015</v>
      </c>
      <c r="H5" s="69">
        <v>-31.354797998750005</v>
      </c>
      <c r="I5" s="69">
        <v>2.1029944000000005</v>
      </c>
      <c r="J5" s="69">
        <v>82.963544833200004</v>
      </c>
      <c r="K5" s="69">
        <v>73.833727468620026</v>
      </c>
      <c r="L5" s="69">
        <v>-11.259175599999997</v>
      </c>
      <c r="M5" s="69">
        <v>0.94932599999999989</v>
      </c>
      <c r="N5" s="69">
        <v>12.124755200000001</v>
      </c>
      <c r="P5" s="15"/>
    </row>
    <row r="6" spans="1:18" ht="15" x14ac:dyDescent="0.25">
      <c r="A6" s="87">
        <f t="shared" si="0"/>
        <v>143.00638283803997</v>
      </c>
      <c r="B6" s="88">
        <v>45355</v>
      </c>
      <c r="C6" s="59">
        <v>18.422720947639998</v>
      </c>
      <c r="D6" s="59">
        <v>11.505016884799998</v>
      </c>
      <c r="E6" s="59">
        <v>-2.3234218000000002</v>
      </c>
      <c r="F6" s="59">
        <v>24.901167099999995</v>
      </c>
      <c r="G6" s="59">
        <v>7.4938798198999992</v>
      </c>
      <c r="H6" s="59">
        <v>30.816794261829987</v>
      </c>
      <c r="I6" s="59">
        <v>0.9497738</v>
      </c>
      <c r="J6" s="59">
        <v>35.826120053799997</v>
      </c>
      <c r="K6" s="59">
        <v>33.403886970069998</v>
      </c>
      <c r="L6" s="59">
        <v>-8.6718072000000017</v>
      </c>
      <c r="M6" s="59">
        <v>-13.044383400000001</v>
      </c>
      <c r="N6" s="59">
        <v>3.7266354000000002</v>
      </c>
      <c r="P6" s="15"/>
    </row>
    <row r="7" spans="1:18" ht="15" x14ac:dyDescent="0.25">
      <c r="A7" s="72"/>
      <c r="B7" s="60"/>
      <c r="C7" s="59"/>
      <c r="D7" s="59"/>
      <c r="E7" s="59"/>
      <c r="F7" s="59"/>
      <c r="G7" s="59"/>
      <c r="H7" s="59"/>
      <c r="I7" s="59"/>
      <c r="J7" s="59"/>
      <c r="K7" s="59"/>
      <c r="L7" s="59"/>
      <c r="M7" s="59"/>
      <c r="N7" s="59"/>
      <c r="P7" s="15"/>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7"/>
      <c r="D12" s="57"/>
      <c r="E12" s="57"/>
      <c r="F12" s="57"/>
      <c r="G12" s="57"/>
      <c r="H12" s="57"/>
      <c r="I12" s="57"/>
      <c r="J12" s="57"/>
      <c r="K12" s="57"/>
      <c r="L12" s="57"/>
      <c r="M12" s="57"/>
      <c r="N12" s="57"/>
    </row>
    <row r="13" spans="1:18" ht="15" x14ac:dyDescent="0.25">
      <c r="B13"/>
      <c r="C13" s="82"/>
      <c r="D13" s="82"/>
      <c r="E13" s="82"/>
      <c r="F13" s="82"/>
      <c r="G13" s="82"/>
      <c r="H13" s="82"/>
      <c r="I13" s="82"/>
      <c r="J13" s="82"/>
      <c r="K13" s="82"/>
      <c r="L13" s="82"/>
      <c r="M13" s="82"/>
      <c r="N13" s="82"/>
    </row>
    <row r="14" spans="1:18" ht="15" x14ac:dyDescent="0.25">
      <c r="B14"/>
      <c r="C14" s="57"/>
      <c r="D14" s="57"/>
      <c r="E14" s="57"/>
      <c r="F14" s="57"/>
      <c r="G14" s="57"/>
      <c r="H14" s="57"/>
      <c r="I14" s="57"/>
      <c r="J14" s="57"/>
      <c r="K14" s="57"/>
      <c r="L14" s="57"/>
      <c r="M14" s="57"/>
      <c r="N14" s="57"/>
      <c r="O14" s="46"/>
      <c r="P14"/>
      <c r="Q14"/>
      <c r="R14"/>
    </row>
    <row r="15" spans="1:18" ht="15" x14ac:dyDescent="0.25">
      <c r="B15"/>
      <c r="C15"/>
      <c r="D15"/>
      <c r="E15"/>
      <c r="F15"/>
      <c r="G15"/>
      <c r="H15"/>
      <c r="I15"/>
      <c r="J15"/>
      <c r="K15"/>
      <c r="L15"/>
      <c r="M15"/>
      <c r="N15"/>
      <c r="O15"/>
      <c r="P15"/>
      <c r="Q15"/>
      <c r="R15"/>
    </row>
    <row r="16" spans="1:18" ht="15" x14ac:dyDescent="0.25">
      <c r="C16" s="57"/>
      <c r="D16" s="57"/>
      <c r="E16" s="57"/>
      <c r="F16" s="57"/>
      <c r="G16" s="57"/>
      <c r="H16" s="57"/>
      <c r="I16" s="57"/>
      <c r="J16" s="57"/>
      <c r="K16" s="57"/>
      <c r="L16" s="57"/>
      <c r="M16" s="57"/>
      <c r="N16" s="57"/>
      <c r="O16"/>
    </row>
    <row r="17" spans="3:14" ht="15" x14ac:dyDescent="0.25">
      <c r="C17" s="44"/>
      <c r="D17" s="44"/>
      <c r="E17" s="44"/>
      <c r="F17" s="44"/>
      <c r="G17" s="44"/>
      <c r="H17" s="44"/>
      <c r="I17" s="44"/>
      <c r="J17" s="44"/>
      <c r="K17" s="44"/>
      <c r="L17" s="44"/>
      <c r="M17" s="44"/>
      <c r="N17" s="44"/>
    </row>
    <row r="18" spans="3:14" ht="15" x14ac:dyDescent="0.25">
      <c r="C18"/>
      <c r="D18"/>
      <c r="E18"/>
      <c r="F18"/>
      <c r="G18"/>
      <c r="H18"/>
      <c r="I18"/>
      <c r="J18"/>
      <c r="K18"/>
      <c r="L18"/>
      <c r="M18"/>
      <c r="N18"/>
    </row>
    <row r="19" spans="3:14" ht="15" x14ac:dyDescent="0.25">
      <c r="C19" s="46"/>
      <c r="D19" s="46"/>
      <c r="E19" s="46"/>
      <c r="F19" s="46"/>
      <c r="G19" s="46"/>
      <c r="H19" s="46"/>
      <c r="I19" s="46"/>
      <c r="J19" s="46"/>
      <c r="K19" s="46"/>
      <c r="L19" s="46"/>
      <c r="M19" s="46"/>
      <c r="N19" s="46"/>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9" ht="60" x14ac:dyDescent="0.25">
      <c r="A1" s="34" t="str">
        <f>CONCATENATE("STI Constituents - ",'Weekly Top 10'!$C$5)</f>
        <v>STI Constituents - Week of 4 March 2024</v>
      </c>
      <c r="B1" s="18" t="s">
        <v>1</v>
      </c>
      <c r="C1" s="19" t="s">
        <v>73</v>
      </c>
      <c r="D1" s="19" t="s">
        <v>74</v>
      </c>
    </row>
    <row r="2" spans="1:9" x14ac:dyDescent="0.25">
      <c r="A2" s="20" t="s">
        <v>90</v>
      </c>
      <c r="B2" s="21" t="s">
        <v>25</v>
      </c>
      <c r="C2" s="22">
        <v>4.3108589999999998</v>
      </c>
      <c r="D2" s="22">
        <v>0.69642599999999999</v>
      </c>
      <c r="E2" s="40"/>
      <c r="F2" s="44"/>
      <c r="H2" s="45"/>
      <c r="I2" s="45"/>
    </row>
    <row r="3" spans="1:9" x14ac:dyDescent="0.25">
      <c r="A3" s="23" t="s">
        <v>79</v>
      </c>
      <c r="B3" s="24" t="s">
        <v>56</v>
      </c>
      <c r="C3" s="8">
        <v>-13.544482</v>
      </c>
      <c r="D3" s="8">
        <v>-3.5989520000000002</v>
      </c>
      <c r="E3" s="40"/>
      <c r="F3" s="44"/>
      <c r="H3" s="45"/>
      <c r="I3" s="45"/>
    </row>
    <row r="4" spans="1:9" x14ac:dyDescent="0.25">
      <c r="A4" s="5" t="s">
        <v>86</v>
      </c>
      <c r="B4" s="7" t="s">
        <v>85</v>
      </c>
      <c r="C4" s="6">
        <v>-7.7645850000000003</v>
      </c>
      <c r="D4" s="6">
        <v>6.7682570000000002</v>
      </c>
      <c r="E4" s="40"/>
      <c r="F4" s="44"/>
      <c r="H4" s="45"/>
      <c r="I4" s="45"/>
    </row>
    <row r="5" spans="1:9" x14ac:dyDescent="0.25">
      <c r="A5" s="23" t="s">
        <v>63</v>
      </c>
      <c r="B5" s="24" t="s">
        <v>54</v>
      </c>
      <c r="C5" s="8">
        <v>10.812141</v>
      </c>
      <c r="D5" s="8">
        <v>3.3405269999999998</v>
      </c>
      <c r="E5" s="40"/>
      <c r="F5" s="44"/>
      <c r="H5" s="45"/>
      <c r="I5" s="45"/>
    </row>
    <row r="6" spans="1:9" x14ac:dyDescent="0.25">
      <c r="A6" s="5" t="s">
        <v>87</v>
      </c>
      <c r="B6" s="7" t="s">
        <v>57</v>
      </c>
      <c r="C6" s="6">
        <v>-0.32545630300000011</v>
      </c>
      <c r="D6" s="6">
        <v>0.13750558479999991</v>
      </c>
      <c r="E6" s="40"/>
      <c r="F6" s="44"/>
      <c r="H6" s="45"/>
      <c r="I6" s="45"/>
    </row>
    <row r="7" spans="1:9" x14ac:dyDescent="0.25">
      <c r="A7" s="23" t="s">
        <v>26</v>
      </c>
      <c r="B7" s="24" t="s">
        <v>21</v>
      </c>
      <c r="C7" s="8">
        <v>-70.796544999999995</v>
      </c>
      <c r="D7" s="8">
        <v>20.332324</v>
      </c>
      <c r="E7" s="40"/>
      <c r="F7" s="44"/>
      <c r="H7" s="45"/>
      <c r="I7" s="45"/>
    </row>
    <row r="8" spans="1:9" x14ac:dyDescent="0.25">
      <c r="A8" s="5" t="s">
        <v>88</v>
      </c>
      <c r="B8" s="7" t="s">
        <v>89</v>
      </c>
      <c r="C8" s="6">
        <v>0.62021099999999996</v>
      </c>
      <c r="D8" s="6">
        <v>-0.58914100000000003</v>
      </c>
      <c r="E8" s="40"/>
      <c r="F8" s="44"/>
      <c r="H8" s="45"/>
      <c r="I8" s="45"/>
    </row>
    <row r="9" spans="1:9" x14ac:dyDescent="0.25">
      <c r="A9" s="23" t="s">
        <v>81</v>
      </c>
      <c r="B9" s="24" t="s">
        <v>80</v>
      </c>
      <c r="C9" s="8">
        <v>-6.2248190000000001</v>
      </c>
      <c r="D9" s="8">
        <v>1.870886</v>
      </c>
      <c r="E9" s="40"/>
      <c r="F9" s="44"/>
      <c r="H9" s="45"/>
      <c r="I9" s="45"/>
    </row>
    <row r="10" spans="1:9" x14ac:dyDescent="0.25">
      <c r="A10" s="5" t="s">
        <v>36</v>
      </c>
      <c r="B10" s="7" t="s">
        <v>35</v>
      </c>
      <c r="C10" s="6">
        <v>-7.6412515000000001</v>
      </c>
      <c r="D10" s="6">
        <v>5.3230955</v>
      </c>
      <c r="E10" s="40"/>
      <c r="F10" s="44"/>
      <c r="H10" s="45"/>
      <c r="I10" s="45"/>
    </row>
    <row r="11" spans="1:9" x14ac:dyDescent="0.25">
      <c r="A11" s="23" t="s">
        <v>64</v>
      </c>
      <c r="B11" s="24" t="s">
        <v>55</v>
      </c>
      <c r="C11" s="8">
        <v>-3.5422183707000019</v>
      </c>
      <c r="D11" s="8">
        <v>4.3532517538000004</v>
      </c>
      <c r="E11" s="40"/>
      <c r="F11" s="44"/>
      <c r="H11" s="45"/>
      <c r="I11" s="45"/>
    </row>
    <row r="12" spans="1:9" x14ac:dyDescent="0.25">
      <c r="A12" s="5" t="s">
        <v>50</v>
      </c>
      <c r="B12" s="7" t="s">
        <v>48</v>
      </c>
      <c r="C12" s="6">
        <v>-16.383599</v>
      </c>
      <c r="D12" s="6">
        <v>12.56317</v>
      </c>
      <c r="E12" s="40"/>
      <c r="F12" s="44"/>
      <c r="H12" s="45"/>
      <c r="I12" s="45"/>
    </row>
    <row r="13" spans="1:9" x14ac:dyDescent="0.25">
      <c r="A13" s="23" t="s">
        <v>62</v>
      </c>
      <c r="B13" s="24" t="s">
        <v>52</v>
      </c>
      <c r="C13" s="8">
        <v>-7.351048780800002</v>
      </c>
      <c r="D13" s="8">
        <v>0.76236385879999957</v>
      </c>
      <c r="E13" s="40"/>
      <c r="F13" s="44"/>
      <c r="H13" s="45"/>
      <c r="I13" s="45"/>
    </row>
    <row r="14" spans="1:9" x14ac:dyDescent="0.25">
      <c r="A14" s="5" t="s">
        <v>154</v>
      </c>
      <c r="B14" s="7" t="s">
        <v>32</v>
      </c>
      <c r="C14" s="6">
        <v>2.03233</v>
      </c>
      <c r="D14" s="6">
        <v>-4.0031319999999999</v>
      </c>
      <c r="E14" s="40"/>
      <c r="F14" s="44"/>
      <c r="H14" s="45"/>
      <c r="I14" s="45"/>
    </row>
    <row r="15" spans="1:9" x14ac:dyDescent="0.25">
      <c r="A15" s="23" t="s">
        <v>259</v>
      </c>
      <c r="B15" s="24" t="s">
        <v>58</v>
      </c>
      <c r="C15" s="8">
        <v>-7.2921950000000004</v>
      </c>
      <c r="D15" s="8">
        <v>5.0153439999999998</v>
      </c>
      <c r="E15" s="40"/>
      <c r="F15" s="44"/>
      <c r="H15" s="45"/>
      <c r="I15" s="45"/>
    </row>
    <row r="16" spans="1:9" x14ac:dyDescent="0.25">
      <c r="A16" s="5" t="s">
        <v>77</v>
      </c>
      <c r="B16" s="7" t="s">
        <v>76</v>
      </c>
      <c r="C16" s="6">
        <v>0.1619710000000005</v>
      </c>
      <c r="D16" s="6">
        <v>-0.1784930000000001</v>
      </c>
      <c r="E16" s="40"/>
      <c r="F16" s="44"/>
      <c r="H16" s="45"/>
      <c r="I16" s="45"/>
    </row>
    <row r="17" spans="1:9" x14ac:dyDescent="0.25">
      <c r="A17" s="23" t="s">
        <v>40</v>
      </c>
      <c r="B17" s="24" t="s">
        <v>38</v>
      </c>
      <c r="C17" s="8">
        <v>-11.60596</v>
      </c>
      <c r="D17" s="8">
        <v>8.8148990000000005</v>
      </c>
      <c r="E17" s="40"/>
      <c r="F17" s="44"/>
      <c r="H17" s="45"/>
      <c r="I17" s="45"/>
    </row>
    <row r="18" spans="1:9" x14ac:dyDescent="0.25">
      <c r="A18" s="5" t="s">
        <v>27</v>
      </c>
      <c r="B18" s="7" t="s">
        <v>22</v>
      </c>
      <c r="C18" s="6">
        <v>-14.757669999999999</v>
      </c>
      <c r="D18" s="6">
        <v>-10.168210999999999</v>
      </c>
      <c r="E18" s="40"/>
      <c r="F18" s="44"/>
      <c r="H18" s="45"/>
      <c r="I18" s="45"/>
    </row>
    <row r="19" spans="1:9" x14ac:dyDescent="0.25">
      <c r="A19" s="23" t="s">
        <v>34</v>
      </c>
      <c r="B19" s="24" t="s">
        <v>30</v>
      </c>
      <c r="C19" s="8">
        <v>-11.489188</v>
      </c>
      <c r="D19" s="8">
        <v>12.749048999999999</v>
      </c>
      <c r="E19" s="40"/>
      <c r="F19" s="44"/>
      <c r="H19" s="45"/>
      <c r="I19" s="45"/>
    </row>
    <row r="20" spans="1:9" x14ac:dyDescent="0.25">
      <c r="A20" s="5" t="s">
        <v>147</v>
      </c>
      <c r="B20" s="7" t="s">
        <v>91</v>
      </c>
      <c r="C20" s="6">
        <v>-3.0587335000000002</v>
      </c>
      <c r="D20" s="6">
        <v>9.6502173000000013</v>
      </c>
      <c r="E20" s="40"/>
      <c r="F20" s="44"/>
      <c r="H20" s="45"/>
      <c r="I20" s="45"/>
    </row>
    <row r="21" spans="1:9" x14ac:dyDescent="0.25">
      <c r="A21" s="66" t="s">
        <v>45</v>
      </c>
      <c r="B21" s="24" t="s">
        <v>42</v>
      </c>
      <c r="C21" s="8">
        <v>-7.7137450000000003</v>
      </c>
      <c r="D21" s="8">
        <v>3.7902710000000002</v>
      </c>
      <c r="E21" s="40"/>
      <c r="F21" s="44"/>
      <c r="H21" s="45"/>
      <c r="I21" s="45"/>
    </row>
    <row r="22" spans="1:9" x14ac:dyDescent="0.25">
      <c r="A22" s="67" t="s">
        <v>29</v>
      </c>
      <c r="B22" s="7" t="s">
        <v>24</v>
      </c>
      <c r="C22" s="6">
        <v>-8.9811599999999991</v>
      </c>
      <c r="D22" s="75">
        <v>4.0339859999999996</v>
      </c>
      <c r="E22" s="40"/>
      <c r="F22" s="44"/>
      <c r="H22" s="45"/>
      <c r="I22" s="45"/>
    </row>
    <row r="23" spans="1:9" x14ac:dyDescent="0.25">
      <c r="A23" s="23" t="s">
        <v>33</v>
      </c>
      <c r="B23" s="24" t="s">
        <v>31</v>
      </c>
      <c r="C23" s="8">
        <v>-9.8352149999999998</v>
      </c>
      <c r="D23" s="8">
        <v>34.779217000000003</v>
      </c>
      <c r="E23" s="40"/>
      <c r="F23" s="44"/>
      <c r="H23" s="45"/>
      <c r="I23" s="45"/>
    </row>
    <row r="24" spans="1:9" x14ac:dyDescent="0.25">
      <c r="A24" s="5" t="s">
        <v>49</v>
      </c>
      <c r="B24" s="7" t="s">
        <v>47</v>
      </c>
      <c r="C24" s="6">
        <v>16.936608100000001</v>
      </c>
      <c r="D24" s="6">
        <v>-12.1896208</v>
      </c>
      <c r="E24" s="40"/>
      <c r="F24" s="44"/>
      <c r="H24" s="45"/>
      <c r="I24" s="45"/>
    </row>
    <row r="25" spans="1:9" x14ac:dyDescent="0.25">
      <c r="A25" s="23" t="s">
        <v>39</v>
      </c>
      <c r="B25" s="24" t="s">
        <v>37</v>
      </c>
      <c r="C25" s="8">
        <v>4.8041580000000002</v>
      </c>
      <c r="D25" s="8">
        <v>-5.5513250000000003</v>
      </c>
      <c r="E25" s="40"/>
      <c r="F25" s="44"/>
      <c r="H25" s="45"/>
      <c r="I25" s="45"/>
    </row>
    <row r="26" spans="1:9" x14ac:dyDescent="0.25">
      <c r="A26" s="5" t="s">
        <v>60</v>
      </c>
      <c r="B26" s="7" t="s">
        <v>51</v>
      </c>
      <c r="C26" s="6">
        <v>-5.534478</v>
      </c>
      <c r="D26" s="6">
        <v>2.8527079999999998</v>
      </c>
      <c r="E26" s="40"/>
      <c r="F26" s="44"/>
      <c r="H26" s="45"/>
      <c r="I26" s="45"/>
    </row>
    <row r="27" spans="1:9" x14ac:dyDescent="0.25">
      <c r="A27" s="23" t="s">
        <v>28</v>
      </c>
      <c r="B27" s="24" t="s">
        <v>23</v>
      </c>
      <c r="C27" s="8">
        <v>-30.175218999999998</v>
      </c>
      <c r="D27" s="8">
        <v>0.80380300000000005</v>
      </c>
      <c r="E27" s="40"/>
      <c r="F27" s="44"/>
      <c r="H27" s="45"/>
      <c r="I27" s="45"/>
    </row>
    <row r="28" spans="1:9" x14ac:dyDescent="0.25">
      <c r="A28" s="5" t="s">
        <v>65</v>
      </c>
      <c r="B28" s="7" t="s">
        <v>59</v>
      </c>
      <c r="C28" s="6">
        <v>-17.360631000000001</v>
      </c>
      <c r="D28" s="6">
        <v>26.962562999999999</v>
      </c>
      <c r="E28" s="40"/>
      <c r="F28" s="44"/>
      <c r="H28" s="45"/>
      <c r="I28" s="45"/>
    </row>
    <row r="29" spans="1:9" x14ac:dyDescent="0.25">
      <c r="A29" s="23" t="s">
        <v>46</v>
      </c>
      <c r="B29" s="24" t="s">
        <v>43</v>
      </c>
      <c r="C29" s="8">
        <v>2.1699550000000012</v>
      </c>
      <c r="D29" s="8">
        <v>-1.636288</v>
      </c>
      <c r="E29" s="40"/>
      <c r="F29" s="44"/>
      <c r="H29" s="45"/>
      <c r="I29" s="45"/>
    </row>
    <row r="30" spans="1:9" x14ac:dyDescent="0.25">
      <c r="A30" s="5" t="s">
        <v>44</v>
      </c>
      <c r="B30" s="7" t="s">
        <v>41</v>
      </c>
      <c r="C30" s="6">
        <v>5.3979499999999998</v>
      </c>
      <c r="D30" s="6">
        <v>-4.0228039999999998</v>
      </c>
      <c r="E30" s="40"/>
      <c r="F30" s="44"/>
      <c r="H30" s="45"/>
      <c r="I30" s="45"/>
    </row>
    <row r="31" spans="1:9" ht="15.75" thickBot="1" x14ac:dyDescent="0.3">
      <c r="A31" s="23" t="s">
        <v>61</v>
      </c>
      <c r="B31" s="24" t="s">
        <v>53</v>
      </c>
      <c r="C31" s="8">
        <v>13.440647</v>
      </c>
      <c r="D31" s="8">
        <v>-16.944787999999999</v>
      </c>
      <c r="E31" s="40"/>
      <c r="F31" s="44"/>
      <c r="H31" s="45"/>
      <c r="I31" s="45"/>
    </row>
    <row r="32" spans="1:9" ht="21" customHeight="1" thickBot="1" x14ac:dyDescent="0.3">
      <c r="A32" s="95" t="s">
        <v>66</v>
      </c>
      <c r="B32" s="96"/>
      <c r="C32" s="76">
        <f>SUM(C2:C31)</f>
        <v>-200.69136935449998</v>
      </c>
      <c r="D32" s="77">
        <f>SUM(D2:D31)</f>
        <v>106.71710919740001</v>
      </c>
    </row>
    <row r="34" spans="1:7" x14ac:dyDescent="0.25">
      <c r="A34" s="11" t="s">
        <v>67</v>
      </c>
      <c r="B34" s="56"/>
      <c r="C34" s="56"/>
      <c r="D34" s="56"/>
      <c r="E34" s="56"/>
      <c r="F34" s="56"/>
      <c r="G34" s="56"/>
    </row>
    <row r="35" spans="1:7" x14ac:dyDescent="0.25">
      <c r="A35" s="11" t="s">
        <v>82</v>
      </c>
    </row>
    <row r="36" spans="1:7" x14ac:dyDescent="0.25">
      <c r="A36" s="11" t="s">
        <v>83</v>
      </c>
    </row>
    <row r="37" spans="1:7" x14ac:dyDescent="0.2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9" ht="60" x14ac:dyDescent="0.25">
      <c r="A1" s="34" t="str">
        <f>CONCATENATE("100 Most Traded Stocks YTD - ",'Weekly Top 10'!$C$5)</f>
        <v>100 Most Traded Stocks YTD - Week of 4 March 2024</v>
      </c>
      <c r="B1" s="18" t="s">
        <v>1</v>
      </c>
      <c r="C1" s="53" t="s">
        <v>102</v>
      </c>
      <c r="D1" s="19" t="s">
        <v>101</v>
      </c>
      <c r="E1" s="19" t="s">
        <v>103</v>
      </c>
      <c r="F1" s="19" t="s">
        <v>104</v>
      </c>
    </row>
    <row r="2" spans="1:9" x14ac:dyDescent="0.25">
      <c r="A2" s="20" t="s">
        <v>26</v>
      </c>
      <c r="B2" s="21" t="s">
        <v>21</v>
      </c>
      <c r="C2" s="62">
        <v>128.62554229391671</v>
      </c>
      <c r="D2" s="62">
        <v>-447.13923699999998</v>
      </c>
      <c r="E2" s="62">
        <v>-70.796544999999995</v>
      </c>
      <c r="F2" s="22" t="s">
        <v>13</v>
      </c>
      <c r="G2" s="61"/>
      <c r="H2" s="61"/>
      <c r="I2" s="61"/>
    </row>
    <row r="3" spans="1:9" x14ac:dyDescent="0.25">
      <c r="A3" s="23" t="s">
        <v>28</v>
      </c>
      <c r="B3" s="24" t="s">
        <v>23</v>
      </c>
      <c r="C3" s="63">
        <v>72.612169783333329</v>
      </c>
      <c r="D3" s="63">
        <v>-148.11254500000001</v>
      </c>
      <c r="E3" s="63">
        <v>-30.175218999999998</v>
      </c>
      <c r="F3" s="8" t="s">
        <v>13</v>
      </c>
      <c r="G3" s="61"/>
      <c r="H3" s="61"/>
      <c r="I3" s="61"/>
    </row>
    <row r="4" spans="1:9" x14ac:dyDescent="0.25">
      <c r="A4" s="5" t="s">
        <v>171</v>
      </c>
      <c r="B4" s="7" t="s">
        <v>22</v>
      </c>
      <c r="C4" s="64">
        <v>64.873889865145827</v>
      </c>
      <c r="D4" s="64">
        <v>2.9507266000000003</v>
      </c>
      <c r="E4" s="64">
        <v>-14.757669999999999</v>
      </c>
      <c r="F4" s="6" t="s">
        <v>13</v>
      </c>
      <c r="G4" s="61"/>
      <c r="H4" s="61"/>
      <c r="I4" s="61"/>
    </row>
    <row r="5" spans="1:9" x14ac:dyDescent="0.25">
      <c r="A5" s="23" t="s">
        <v>49</v>
      </c>
      <c r="B5" s="24" t="s">
        <v>47</v>
      </c>
      <c r="C5" s="63">
        <v>59.345888869333329</v>
      </c>
      <c r="D5" s="63">
        <v>-54.848286000000002</v>
      </c>
      <c r="E5" s="63">
        <v>16.936608100000001</v>
      </c>
      <c r="F5" s="8" t="s">
        <v>167</v>
      </c>
      <c r="G5" s="61"/>
      <c r="H5" s="61"/>
      <c r="I5" s="61"/>
    </row>
    <row r="6" spans="1:9" x14ac:dyDescent="0.25">
      <c r="A6" s="5" t="s">
        <v>172</v>
      </c>
      <c r="B6" s="7" t="s">
        <v>56</v>
      </c>
      <c r="C6" s="64">
        <v>47.512916076875001</v>
      </c>
      <c r="D6" s="64">
        <v>2.003028000000004</v>
      </c>
      <c r="E6" s="64">
        <v>-13.544482</v>
      </c>
      <c r="F6" s="6" t="s">
        <v>17</v>
      </c>
      <c r="G6" s="61"/>
      <c r="H6" s="61"/>
      <c r="I6" s="61"/>
    </row>
    <row r="7" spans="1:9" x14ac:dyDescent="0.25">
      <c r="A7" s="23" t="s">
        <v>33</v>
      </c>
      <c r="B7" s="24" t="s">
        <v>31</v>
      </c>
      <c r="C7" s="63">
        <v>44.308543031874997</v>
      </c>
      <c r="D7" s="63">
        <v>-63.564535999999997</v>
      </c>
      <c r="E7" s="63">
        <v>-9.8352149999999998</v>
      </c>
      <c r="F7" s="8" t="s">
        <v>14</v>
      </c>
      <c r="G7" s="61"/>
      <c r="H7" s="61"/>
      <c r="I7" s="61"/>
    </row>
    <row r="8" spans="1:9" x14ac:dyDescent="0.25">
      <c r="A8" s="5" t="s">
        <v>147</v>
      </c>
      <c r="B8" s="7" t="s">
        <v>91</v>
      </c>
      <c r="C8" s="64">
        <v>40.545949336583334</v>
      </c>
      <c r="D8" s="64">
        <v>-20.203864800000002</v>
      </c>
      <c r="E8" s="64">
        <v>-3.0587335000000002</v>
      </c>
      <c r="F8" s="48" t="s">
        <v>14</v>
      </c>
      <c r="G8" s="61"/>
      <c r="H8" s="61"/>
      <c r="I8" s="61"/>
    </row>
    <row r="9" spans="1:9" x14ac:dyDescent="0.25">
      <c r="A9" s="23" t="s">
        <v>173</v>
      </c>
      <c r="B9" s="24" t="s">
        <v>25</v>
      </c>
      <c r="C9" s="63">
        <v>36.476950674374997</v>
      </c>
      <c r="D9" s="63">
        <v>-17.691155999999999</v>
      </c>
      <c r="E9" s="63">
        <v>4.3108589999999998</v>
      </c>
      <c r="F9" s="8" t="s">
        <v>17</v>
      </c>
      <c r="G9" s="61"/>
      <c r="H9" s="61"/>
      <c r="I9" s="61"/>
    </row>
    <row r="10" spans="1:9" x14ac:dyDescent="0.25">
      <c r="A10" s="5" t="s">
        <v>175</v>
      </c>
      <c r="B10" s="7" t="s">
        <v>85</v>
      </c>
      <c r="C10" s="64">
        <v>29.115461558937501</v>
      </c>
      <c r="D10" s="64">
        <v>-76.288604000000007</v>
      </c>
      <c r="E10" s="64">
        <v>-7.7645850000000003</v>
      </c>
      <c r="F10" s="6" t="s">
        <v>13</v>
      </c>
      <c r="G10" s="61"/>
      <c r="H10" s="61"/>
      <c r="I10" s="61"/>
    </row>
    <row r="11" spans="1:9" x14ac:dyDescent="0.25">
      <c r="A11" s="23" t="s">
        <v>174</v>
      </c>
      <c r="B11" s="24" t="s">
        <v>53</v>
      </c>
      <c r="C11" s="63">
        <v>29.058671987500002</v>
      </c>
      <c r="D11" s="63">
        <v>76.942074000000005</v>
      </c>
      <c r="E11" s="63">
        <v>13.440647</v>
      </c>
      <c r="F11" s="8" t="s">
        <v>14</v>
      </c>
      <c r="G11" s="61"/>
      <c r="H11" s="61"/>
      <c r="I11" s="61"/>
    </row>
    <row r="12" spans="1:9" x14ac:dyDescent="0.25">
      <c r="A12" s="5" t="s">
        <v>177</v>
      </c>
      <c r="B12" s="7" t="s">
        <v>35</v>
      </c>
      <c r="C12" s="64">
        <v>28.119372572083339</v>
      </c>
      <c r="D12" s="64">
        <v>-19.918018499999999</v>
      </c>
      <c r="E12" s="64">
        <v>-7.6412515000000001</v>
      </c>
      <c r="F12" s="6" t="s">
        <v>10</v>
      </c>
      <c r="G12" s="61"/>
      <c r="H12" s="61"/>
      <c r="I12" s="61"/>
    </row>
    <row r="13" spans="1:9" x14ac:dyDescent="0.25">
      <c r="A13" s="23" t="s">
        <v>176</v>
      </c>
      <c r="B13" s="24" t="s">
        <v>38</v>
      </c>
      <c r="C13" s="63">
        <v>26.55439443125</v>
      </c>
      <c r="D13" s="63">
        <v>-93.050967999999997</v>
      </c>
      <c r="E13" s="63">
        <v>-11.60596</v>
      </c>
      <c r="F13" s="8" t="s">
        <v>17</v>
      </c>
      <c r="G13" s="61"/>
      <c r="H13" s="61"/>
      <c r="I13" s="61"/>
    </row>
    <row r="14" spans="1:9" x14ac:dyDescent="0.25">
      <c r="A14" s="5" t="s">
        <v>154</v>
      </c>
      <c r="B14" s="7" t="s">
        <v>32</v>
      </c>
      <c r="C14" s="64">
        <v>25.111064130020832</v>
      </c>
      <c r="D14" s="64">
        <v>88.653310000000005</v>
      </c>
      <c r="E14" s="64">
        <v>2.03233</v>
      </c>
      <c r="F14" s="6" t="s">
        <v>14</v>
      </c>
      <c r="G14" s="61"/>
      <c r="H14" s="61"/>
      <c r="I14" s="61"/>
    </row>
    <row r="15" spans="1:9" x14ac:dyDescent="0.25">
      <c r="A15" s="23" t="s">
        <v>186</v>
      </c>
      <c r="B15" s="24" t="s">
        <v>59</v>
      </c>
      <c r="C15" s="63">
        <v>23.57999652895834</v>
      </c>
      <c r="D15" s="63">
        <v>-128.58228399999999</v>
      </c>
      <c r="E15" s="63">
        <v>-17.360631000000001</v>
      </c>
      <c r="F15" s="8" t="s">
        <v>16</v>
      </c>
      <c r="G15" s="61"/>
      <c r="H15" s="61"/>
      <c r="I15" s="61"/>
    </row>
    <row r="16" spans="1:9" x14ac:dyDescent="0.25">
      <c r="A16" s="5" t="s">
        <v>181</v>
      </c>
      <c r="B16" s="7" t="s">
        <v>42</v>
      </c>
      <c r="C16" s="64">
        <v>19.644487287916672</v>
      </c>
      <c r="D16" s="64">
        <v>-26.712144800000001</v>
      </c>
      <c r="E16" s="64">
        <v>-7.7137450000000003</v>
      </c>
      <c r="F16" s="6" t="s">
        <v>19</v>
      </c>
      <c r="G16" s="61"/>
      <c r="H16" s="61"/>
      <c r="I16" s="61"/>
    </row>
    <row r="17" spans="1:11" x14ac:dyDescent="0.25">
      <c r="A17" s="23" t="s">
        <v>180</v>
      </c>
      <c r="B17" s="24" t="s">
        <v>41</v>
      </c>
      <c r="C17" s="63">
        <v>17.702920634604173</v>
      </c>
      <c r="D17" s="63">
        <v>-16.542511999999999</v>
      </c>
      <c r="E17" s="63">
        <v>5.3979499999999998</v>
      </c>
      <c r="F17" s="8" t="s">
        <v>11</v>
      </c>
      <c r="G17" s="61"/>
      <c r="H17" s="61"/>
      <c r="I17" s="61"/>
    </row>
    <row r="18" spans="1:11" x14ac:dyDescent="0.25">
      <c r="A18" s="5" t="s">
        <v>29</v>
      </c>
      <c r="B18" s="7" t="s">
        <v>24</v>
      </c>
      <c r="C18" s="64">
        <v>16.771153102083328</v>
      </c>
      <c r="D18" s="64">
        <v>-64.106198000000006</v>
      </c>
      <c r="E18" s="64">
        <v>-8.9811599999999991</v>
      </c>
      <c r="F18" s="6" t="s">
        <v>13</v>
      </c>
      <c r="G18" s="61"/>
      <c r="H18" s="61"/>
      <c r="I18" s="61"/>
      <c r="J18" s="61"/>
      <c r="K18" s="61"/>
    </row>
    <row r="19" spans="1:11" x14ac:dyDescent="0.25">
      <c r="A19" s="23" t="s">
        <v>184</v>
      </c>
      <c r="B19" s="24" t="s">
        <v>51</v>
      </c>
      <c r="C19" s="63">
        <v>16.70999234166667</v>
      </c>
      <c r="D19" s="63">
        <v>-16.927918999999999</v>
      </c>
      <c r="E19" s="63">
        <v>-5.534478</v>
      </c>
      <c r="F19" s="8" t="s">
        <v>11</v>
      </c>
      <c r="G19" s="61"/>
      <c r="H19" s="61"/>
      <c r="I19" s="61"/>
      <c r="J19" s="61"/>
      <c r="K19" s="61"/>
    </row>
    <row r="20" spans="1:11" x14ac:dyDescent="0.25">
      <c r="A20" s="5" t="s">
        <v>185</v>
      </c>
      <c r="B20" s="7" t="s">
        <v>48</v>
      </c>
      <c r="C20" s="64">
        <v>16.365112543749998</v>
      </c>
      <c r="D20" s="64">
        <v>-74.522321000000005</v>
      </c>
      <c r="E20" s="64">
        <v>-16.383599</v>
      </c>
      <c r="F20" s="6" t="s">
        <v>10</v>
      </c>
      <c r="G20" s="61"/>
      <c r="H20" s="61"/>
      <c r="I20" s="61"/>
      <c r="J20" s="61"/>
      <c r="K20" s="61"/>
    </row>
    <row r="21" spans="1:11" x14ac:dyDescent="0.25">
      <c r="A21" s="23" t="s">
        <v>187</v>
      </c>
      <c r="B21" s="24" t="s">
        <v>54</v>
      </c>
      <c r="C21" s="63">
        <v>16.345632685416671</v>
      </c>
      <c r="D21" s="63">
        <v>-58.123479000000003</v>
      </c>
      <c r="E21" s="63">
        <v>10.812141</v>
      </c>
      <c r="F21" s="8" t="s">
        <v>16</v>
      </c>
      <c r="G21" s="61"/>
      <c r="H21" s="61"/>
      <c r="I21" s="61"/>
      <c r="J21" s="61"/>
      <c r="K21" s="61"/>
    </row>
    <row r="22" spans="1:11" x14ac:dyDescent="0.25">
      <c r="A22" s="5" t="s">
        <v>183</v>
      </c>
      <c r="B22" s="7" t="s">
        <v>58</v>
      </c>
      <c r="C22" s="64">
        <v>16.258896637499998</v>
      </c>
      <c r="D22" s="64">
        <v>-60.709245000000003</v>
      </c>
      <c r="E22" s="64">
        <v>-7.2921950000000004</v>
      </c>
      <c r="F22" s="6" t="s">
        <v>17</v>
      </c>
      <c r="G22" s="61"/>
      <c r="H22" s="61"/>
      <c r="I22" s="61"/>
      <c r="J22" s="61"/>
      <c r="K22" s="61"/>
    </row>
    <row r="23" spans="1:11" x14ac:dyDescent="0.25">
      <c r="A23" s="23" t="s">
        <v>179</v>
      </c>
      <c r="B23" s="24" t="s">
        <v>52</v>
      </c>
      <c r="C23" s="63">
        <v>15.97150342934459</v>
      </c>
      <c r="D23" s="63">
        <v>18.962166298899991</v>
      </c>
      <c r="E23" s="63">
        <v>-7.3510487808000011</v>
      </c>
      <c r="F23" s="8" t="s">
        <v>14</v>
      </c>
      <c r="G23" s="61"/>
      <c r="H23" s="61"/>
      <c r="I23" s="61"/>
      <c r="J23" s="61"/>
      <c r="K23" s="61"/>
    </row>
    <row r="24" spans="1:11" x14ac:dyDescent="0.25">
      <c r="A24" s="5" t="s">
        <v>178</v>
      </c>
      <c r="B24" s="7" t="s">
        <v>78</v>
      </c>
      <c r="C24" s="64">
        <v>15.897010383333329</v>
      </c>
      <c r="D24" s="64">
        <v>-54.470345999999999</v>
      </c>
      <c r="E24" s="64">
        <v>-2.0293009999999998</v>
      </c>
      <c r="F24" s="6" t="s">
        <v>17</v>
      </c>
      <c r="G24" s="61"/>
      <c r="H24" s="61"/>
      <c r="I24" s="61"/>
      <c r="J24" s="61"/>
      <c r="K24" s="61"/>
    </row>
    <row r="25" spans="1:11" x14ac:dyDescent="0.25">
      <c r="A25" s="23" t="s">
        <v>39</v>
      </c>
      <c r="B25" s="24" t="s">
        <v>37</v>
      </c>
      <c r="C25" s="63">
        <v>15.63049712916667</v>
      </c>
      <c r="D25" s="63">
        <v>30.395267</v>
      </c>
      <c r="E25" s="63">
        <v>4.8041580000000002</v>
      </c>
      <c r="F25" s="8" t="s">
        <v>14</v>
      </c>
      <c r="G25" s="61"/>
      <c r="H25" s="61"/>
      <c r="I25" s="61"/>
      <c r="J25" s="61"/>
      <c r="K25" s="61"/>
    </row>
    <row r="26" spans="1:11" x14ac:dyDescent="0.25">
      <c r="A26" s="5" t="s">
        <v>182</v>
      </c>
      <c r="B26" s="7" t="s">
        <v>76</v>
      </c>
      <c r="C26" s="64">
        <v>14.752174371666669</v>
      </c>
      <c r="D26" s="64">
        <v>-34.349553999999998</v>
      </c>
      <c r="E26" s="64">
        <v>0.161971000000001</v>
      </c>
      <c r="F26" s="6" t="s">
        <v>17</v>
      </c>
      <c r="G26" s="61"/>
      <c r="H26" s="61"/>
      <c r="I26" s="61"/>
      <c r="J26" s="61"/>
      <c r="K26" s="61"/>
    </row>
    <row r="27" spans="1:11" x14ac:dyDescent="0.25">
      <c r="A27" s="23" t="s">
        <v>34</v>
      </c>
      <c r="B27" s="24" t="s">
        <v>30</v>
      </c>
      <c r="C27" s="63">
        <v>13.4998403375</v>
      </c>
      <c r="D27" s="63">
        <v>-5.4112960000000001</v>
      </c>
      <c r="E27" s="63">
        <v>-11.489188</v>
      </c>
      <c r="F27" s="8" t="s">
        <v>14</v>
      </c>
      <c r="G27" s="61"/>
      <c r="H27" s="61"/>
      <c r="I27" s="61"/>
      <c r="J27" s="61"/>
      <c r="K27" s="61"/>
    </row>
    <row r="28" spans="1:11" x14ac:dyDescent="0.25">
      <c r="A28" s="5" t="s">
        <v>188</v>
      </c>
      <c r="B28" s="7" t="s">
        <v>43</v>
      </c>
      <c r="C28" s="64">
        <v>12.026164037499999</v>
      </c>
      <c r="D28" s="64">
        <v>56.787286999999999</v>
      </c>
      <c r="E28" s="64">
        <v>2.1699549999999999</v>
      </c>
      <c r="F28" s="6" t="s">
        <v>168</v>
      </c>
      <c r="G28" s="61"/>
      <c r="H28" s="61"/>
      <c r="I28" s="61"/>
      <c r="J28" s="61"/>
      <c r="K28" s="61"/>
    </row>
    <row r="29" spans="1:11" x14ac:dyDescent="0.25">
      <c r="A29" s="23" t="s">
        <v>191</v>
      </c>
      <c r="B29" s="24" t="s">
        <v>80</v>
      </c>
      <c r="C29" s="63">
        <v>11.293074819791672</v>
      </c>
      <c r="D29" s="63">
        <v>-47.260722000000001</v>
      </c>
      <c r="E29" s="63">
        <v>-6.2248190000000001</v>
      </c>
      <c r="F29" s="8" t="s">
        <v>17</v>
      </c>
      <c r="G29" s="61"/>
      <c r="H29" s="61"/>
      <c r="I29" s="61"/>
      <c r="J29" s="61"/>
      <c r="K29" s="61"/>
    </row>
    <row r="30" spans="1:11" x14ac:dyDescent="0.25">
      <c r="A30" s="5" t="s">
        <v>189</v>
      </c>
      <c r="B30" s="7" t="s">
        <v>105</v>
      </c>
      <c r="C30" s="64">
        <v>8.8211181727499994</v>
      </c>
      <c r="D30" s="64">
        <v>-2.8452695000000001</v>
      </c>
      <c r="E30" s="64">
        <v>-0.84971050000000004</v>
      </c>
      <c r="F30" s="6" t="s">
        <v>17</v>
      </c>
      <c r="G30" s="61"/>
      <c r="H30" s="61"/>
      <c r="I30" s="61"/>
      <c r="J30" s="61"/>
      <c r="K30" s="61"/>
    </row>
    <row r="31" spans="1:11" x14ac:dyDescent="0.25">
      <c r="A31" s="23" t="s">
        <v>192</v>
      </c>
      <c r="B31" s="24" t="s">
        <v>55</v>
      </c>
      <c r="C31" s="63">
        <v>8.2525213100475003</v>
      </c>
      <c r="D31" s="63">
        <v>4.9318732835999999</v>
      </c>
      <c r="E31" s="63">
        <v>-3.5422183706999997</v>
      </c>
      <c r="F31" s="8" t="s">
        <v>16</v>
      </c>
      <c r="G31" s="61"/>
      <c r="H31" s="61"/>
      <c r="I31" s="61"/>
      <c r="J31" s="61"/>
      <c r="K31" s="61"/>
    </row>
    <row r="32" spans="1:11" x14ac:dyDescent="0.25">
      <c r="A32" s="5" t="s">
        <v>190</v>
      </c>
      <c r="B32" s="7" t="s">
        <v>112</v>
      </c>
      <c r="C32" s="64">
        <v>7.9569680145833335</v>
      </c>
      <c r="D32" s="64">
        <v>4.0587650000000002</v>
      </c>
      <c r="E32" s="64">
        <v>-3.0631210000000002</v>
      </c>
      <c r="F32" s="6" t="s">
        <v>17</v>
      </c>
      <c r="G32" s="61"/>
      <c r="H32" s="61"/>
      <c r="I32" s="61"/>
      <c r="J32" s="61"/>
      <c r="K32" s="61"/>
    </row>
    <row r="33" spans="1:11" x14ac:dyDescent="0.25">
      <c r="A33" s="23" t="s">
        <v>193</v>
      </c>
      <c r="B33" s="24" t="s">
        <v>92</v>
      </c>
      <c r="C33" s="63">
        <v>7.4815972083333326</v>
      </c>
      <c r="D33" s="63">
        <v>-14.025827</v>
      </c>
      <c r="E33" s="63">
        <v>-3.7948110000000002</v>
      </c>
      <c r="F33" s="8" t="s">
        <v>17</v>
      </c>
      <c r="G33" s="61"/>
      <c r="H33" s="61"/>
      <c r="I33" s="61"/>
      <c r="J33" s="61"/>
      <c r="K33" s="61"/>
    </row>
    <row r="34" spans="1:11" x14ac:dyDescent="0.25">
      <c r="A34" s="5" t="s">
        <v>197</v>
      </c>
      <c r="B34" s="7" t="s">
        <v>148</v>
      </c>
      <c r="C34" s="64">
        <v>7.256915129166666</v>
      </c>
      <c r="D34" s="64">
        <v>3.357011</v>
      </c>
      <c r="E34" s="64">
        <v>-2.5086339999999998</v>
      </c>
      <c r="F34" s="6" t="s">
        <v>168</v>
      </c>
      <c r="G34" s="61"/>
      <c r="H34" s="61"/>
      <c r="I34" s="61"/>
      <c r="J34" s="61"/>
      <c r="K34" s="61"/>
    </row>
    <row r="35" spans="1:11" x14ac:dyDescent="0.25">
      <c r="A35" s="23" t="s">
        <v>194</v>
      </c>
      <c r="B35" s="24" t="s">
        <v>93</v>
      </c>
      <c r="C35" s="63">
        <v>6.5822562942500005</v>
      </c>
      <c r="D35" s="63">
        <v>-45.048233224000001</v>
      </c>
      <c r="E35" s="63">
        <v>-0.32439099999999998</v>
      </c>
      <c r="F35" s="8" t="s">
        <v>168</v>
      </c>
      <c r="G35" s="61"/>
      <c r="H35" s="61"/>
      <c r="I35" s="61"/>
      <c r="J35" s="61"/>
      <c r="K35" s="61"/>
    </row>
    <row r="36" spans="1:11" x14ac:dyDescent="0.25">
      <c r="A36" s="5" t="s">
        <v>196</v>
      </c>
      <c r="B36" s="7" t="s">
        <v>113</v>
      </c>
      <c r="C36" s="64">
        <v>6.5601565187499995</v>
      </c>
      <c r="D36" s="64">
        <v>24.716017999999998</v>
      </c>
      <c r="E36" s="64">
        <v>8.008718</v>
      </c>
      <c r="F36" s="6" t="s">
        <v>168</v>
      </c>
      <c r="G36" s="61"/>
      <c r="H36" s="61"/>
      <c r="I36" s="61"/>
      <c r="J36" s="61"/>
      <c r="K36" s="61"/>
    </row>
    <row r="37" spans="1:11" x14ac:dyDescent="0.25">
      <c r="A37" s="23" t="s">
        <v>144</v>
      </c>
      <c r="B37" s="24" t="s">
        <v>109</v>
      </c>
      <c r="C37" s="63">
        <v>6.3650040666666667</v>
      </c>
      <c r="D37" s="63">
        <v>17.298805000000002</v>
      </c>
      <c r="E37" s="63">
        <v>9.8830000000002249E-3</v>
      </c>
      <c r="F37" s="8" t="s">
        <v>14</v>
      </c>
      <c r="G37" s="61"/>
      <c r="H37" s="61"/>
      <c r="I37" s="61"/>
      <c r="J37" s="61"/>
      <c r="K37" s="61"/>
    </row>
    <row r="38" spans="1:11" x14ac:dyDescent="0.25">
      <c r="A38" s="5" t="s">
        <v>195</v>
      </c>
      <c r="B38" s="7" t="s">
        <v>95</v>
      </c>
      <c r="C38" s="64">
        <v>5.7631924374999999</v>
      </c>
      <c r="D38" s="64">
        <v>-26.621945</v>
      </c>
      <c r="E38" s="64">
        <v>-0.43953700000000001</v>
      </c>
      <c r="F38" s="6" t="s">
        <v>17</v>
      </c>
      <c r="G38" s="61"/>
      <c r="H38" s="61"/>
      <c r="I38" s="61"/>
      <c r="J38" s="61"/>
      <c r="K38" s="61"/>
    </row>
    <row r="39" spans="1:11" x14ac:dyDescent="0.25">
      <c r="A39" s="23" t="s">
        <v>198</v>
      </c>
      <c r="B39" s="24" t="s">
        <v>124</v>
      </c>
      <c r="C39" s="63">
        <v>5.6813779270833331</v>
      </c>
      <c r="D39" s="63">
        <v>14.173370500000001</v>
      </c>
      <c r="E39" s="63">
        <v>0.62673199999999996</v>
      </c>
      <c r="F39" s="8" t="s">
        <v>169</v>
      </c>
      <c r="G39" s="61"/>
      <c r="H39" s="61"/>
      <c r="I39" s="61"/>
      <c r="J39" s="61"/>
      <c r="K39" s="61"/>
    </row>
    <row r="40" spans="1:11" x14ac:dyDescent="0.25">
      <c r="A40" s="5" t="s">
        <v>200</v>
      </c>
      <c r="B40" s="7" t="s">
        <v>127</v>
      </c>
      <c r="C40" s="64">
        <v>4.8087558291666666</v>
      </c>
      <c r="D40" s="64">
        <v>-9.2665469999999992</v>
      </c>
      <c r="E40" s="64">
        <v>2.0237820000000002</v>
      </c>
      <c r="F40" s="6" t="s">
        <v>168</v>
      </c>
      <c r="G40" s="61"/>
      <c r="H40" s="61"/>
      <c r="I40" s="61"/>
      <c r="J40" s="61"/>
      <c r="K40" s="61"/>
    </row>
    <row r="41" spans="1:11" x14ac:dyDescent="0.25">
      <c r="A41" s="23" t="s">
        <v>202</v>
      </c>
      <c r="B41" s="24" t="s">
        <v>106</v>
      </c>
      <c r="C41" s="63">
        <v>4.384187143229167</v>
      </c>
      <c r="D41" s="63">
        <v>4.9245869999999998</v>
      </c>
      <c r="E41" s="63">
        <v>-2.2972519999999998</v>
      </c>
      <c r="F41" s="8" t="s">
        <v>17</v>
      </c>
      <c r="G41" s="61"/>
      <c r="H41" s="61"/>
      <c r="I41" s="61"/>
      <c r="J41" s="61"/>
      <c r="K41" s="61"/>
    </row>
    <row r="42" spans="1:11" x14ac:dyDescent="0.25">
      <c r="A42" s="5" t="s">
        <v>201</v>
      </c>
      <c r="B42" s="7" t="s">
        <v>114</v>
      </c>
      <c r="C42" s="64">
        <v>3.7329046666666668</v>
      </c>
      <c r="D42" s="64">
        <v>-9.0993805000000005</v>
      </c>
      <c r="E42" s="64">
        <v>-0.3387095</v>
      </c>
      <c r="F42" s="6" t="s">
        <v>168</v>
      </c>
      <c r="G42" s="61"/>
      <c r="H42" s="61"/>
      <c r="I42" s="61"/>
      <c r="J42" s="61"/>
      <c r="K42" s="61"/>
    </row>
    <row r="43" spans="1:11" x14ac:dyDescent="0.25">
      <c r="A43" s="23" t="s">
        <v>214</v>
      </c>
      <c r="B43" s="24" t="s">
        <v>111</v>
      </c>
      <c r="C43" s="63">
        <v>3.24646205625</v>
      </c>
      <c r="D43" s="63">
        <v>-1.7680845000000001</v>
      </c>
      <c r="E43" s="63">
        <v>-4.3820350000000001</v>
      </c>
      <c r="F43" s="8" t="s">
        <v>11</v>
      </c>
      <c r="G43" s="61"/>
      <c r="H43" s="61"/>
      <c r="I43" s="61"/>
      <c r="J43" s="61"/>
      <c r="K43" s="61"/>
    </row>
    <row r="44" spans="1:11" x14ac:dyDescent="0.25">
      <c r="A44" s="5" t="s">
        <v>199</v>
      </c>
      <c r="B44" s="7" t="s">
        <v>98</v>
      </c>
      <c r="C44" s="64">
        <v>2.944291322916667</v>
      </c>
      <c r="D44" s="64">
        <v>-1.786127</v>
      </c>
      <c r="E44" s="64">
        <v>-0.20528950000000001</v>
      </c>
      <c r="F44" s="6" t="s">
        <v>14</v>
      </c>
      <c r="G44" s="61"/>
      <c r="H44" s="61"/>
      <c r="I44" s="61"/>
      <c r="J44" s="61"/>
      <c r="K44" s="61"/>
    </row>
    <row r="45" spans="1:11" x14ac:dyDescent="0.25">
      <c r="A45" s="23" t="s">
        <v>215</v>
      </c>
      <c r="B45" s="24" t="s">
        <v>122</v>
      </c>
      <c r="C45" s="63">
        <v>2.9002377308818748</v>
      </c>
      <c r="D45" s="63">
        <v>7.05490986605</v>
      </c>
      <c r="E45" s="63">
        <v>0.56012176645</v>
      </c>
      <c r="F45" s="8" t="s">
        <v>17</v>
      </c>
      <c r="G45" s="61"/>
      <c r="H45" s="61"/>
      <c r="I45" s="61"/>
      <c r="J45" s="61"/>
      <c r="K45" s="61"/>
    </row>
    <row r="46" spans="1:11" x14ac:dyDescent="0.25">
      <c r="A46" s="5" t="s">
        <v>203</v>
      </c>
      <c r="B46" s="7" t="s">
        <v>119</v>
      </c>
      <c r="C46" s="64">
        <v>2.8660410543749997</v>
      </c>
      <c r="D46" s="64">
        <v>-3.4154840000000002</v>
      </c>
      <c r="E46" s="64">
        <v>-0.14431849999999999</v>
      </c>
      <c r="F46" s="6" t="s">
        <v>167</v>
      </c>
      <c r="G46" s="61"/>
      <c r="H46" s="61"/>
      <c r="I46" s="61"/>
      <c r="J46" s="61"/>
      <c r="K46" s="61"/>
    </row>
    <row r="47" spans="1:11" x14ac:dyDescent="0.25">
      <c r="A47" s="23" t="s">
        <v>204</v>
      </c>
      <c r="B47" s="24" t="s">
        <v>99</v>
      </c>
      <c r="C47" s="63">
        <v>2.8551922845833331</v>
      </c>
      <c r="D47" s="63">
        <v>-23.7012295</v>
      </c>
      <c r="E47" s="63">
        <v>-1.4187749999999999</v>
      </c>
      <c r="F47" s="8" t="s">
        <v>17</v>
      </c>
      <c r="G47" s="61"/>
      <c r="H47" s="61"/>
      <c r="I47" s="61"/>
      <c r="J47" s="61"/>
      <c r="K47" s="61"/>
    </row>
    <row r="48" spans="1:11" x14ac:dyDescent="0.25">
      <c r="A48" s="5" t="s">
        <v>205</v>
      </c>
      <c r="B48" s="7" t="s">
        <v>108</v>
      </c>
      <c r="C48" s="64">
        <v>2.8334002145833339</v>
      </c>
      <c r="D48" s="64">
        <v>-4.3049979</v>
      </c>
      <c r="E48" s="64">
        <v>0.28052870000000002</v>
      </c>
      <c r="F48" s="6" t="s">
        <v>169</v>
      </c>
      <c r="G48" s="61"/>
      <c r="H48" s="61"/>
      <c r="I48" s="61"/>
      <c r="J48" s="61"/>
      <c r="K48" s="61"/>
    </row>
    <row r="49" spans="1:11" x14ac:dyDescent="0.25">
      <c r="A49" s="23" t="s">
        <v>206</v>
      </c>
      <c r="B49" s="24" t="s">
        <v>121</v>
      </c>
      <c r="C49" s="63">
        <v>2.6654934843750002</v>
      </c>
      <c r="D49" s="63">
        <v>-1.2865110000000008</v>
      </c>
      <c r="E49" s="63">
        <v>-0.90081199999999995</v>
      </c>
      <c r="F49" s="8" t="s">
        <v>17</v>
      </c>
      <c r="G49" s="61"/>
      <c r="H49" s="61"/>
      <c r="I49" s="61"/>
      <c r="J49" s="61"/>
      <c r="K49" s="61"/>
    </row>
    <row r="50" spans="1:11" x14ac:dyDescent="0.25">
      <c r="A50" s="5" t="s">
        <v>207</v>
      </c>
      <c r="B50" s="7" t="s">
        <v>110</v>
      </c>
      <c r="C50" s="64">
        <v>2.6042518520833329</v>
      </c>
      <c r="D50" s="64">
        <v>-6.8397085000000004</v>
      </c>
      <c r="E50" s="64">
        <v>0.37082650000000011</v>
      </c>
      <c r="F50" s="6" t="s">
        <v>17</v>
      </c>
      <c r="G50" s="61"/>
      <c r="H50" s="61"/>
      <c r="I50" s="61"/>
      <c r="J50" s="61"/>
      <c r="K50" s="61"/>
    </row>
    <row r="51" spans="1:11" x14ac:dyDescent="0.25">
      <c r="A51" s="23" t="s">
        <v>219</v>
      </c>
      <c r="B51" s="24" t="s">
        <v>132</v>
      </c>
      <c r="C51" s="63">
        <v>2.34191471875</v>
      </c>
      <c r="D51" s="63">
        <v>-4.1930459999999998</v>
      </c>
      <c r="E51" s="63">
        <v>1.0489919999999999</v>
      </c>
      <c r="F51" s="8" t="s">
        <v>169</v>
      </c>
      <c r="G51" s="61"/>
      <c r="H51" s="61"/>
      <c r="I51" s="61"/>
      <c r="J51" s="61"/>
      <c r="K51" s="61"/>
    </row>
    <row r="52" spans="1:11" x14ac:dyDescent="0.25">
      <c r="A52" s="5" t="s">
        <v>213</v>
      </c>
      <c r="B52" s="7" t="s">
        <v>107</v>
      </c>
      <c r="C52" s="64">
        <v>2.24141098125</v>
      </c>
      <c r="D52" s="64">
        <v>-4.7773234999999996</v>
      </c>
      <c r="E52" s="64">
        <v>0.48782799999999998</v>
      </c>
      <c r="F52" s="6" t="s">
        <v>15</v>
      </c>
      <c r="G52" s="61"/>
      <c r="H52" s="61"/>
      <c r="I52" s="61"/>
      <c r="J52" s="61"/>
      <c r="K52" s="61"/>
    </row>
    <row r="53" spans="1:11" x14ac:dyDescent="0.25">
      <c r="A53" s="23" t="s">
        <v>209</v>
      </c>
      <c r="B53" s="24" t="s">
        <v>123</v>
      </c>
      <c r="C53" s="63">
        <v>2.2216299333333329</v>
      </c>
      <c r="D53" s="63">
        <v>-11.672084999999999</v>
      </c>
      <c r="E53" s="63">
        <v>-0.1266805</v>
      </c>
      <c r="F53" s="8" t="s">
        <v>17</v>
      </c>
      <c r="G53" s="61"/>
      <c r="H53" s="61"/>
      <c r="I53" s="61"/>
      <c r="J53" s="61"/>
      <c r="K53" s="61"/>
    </row>
    <row r="54" spans="1:11" x14ac:dyDescent="0.25">
      <c r="A54" s="5" t="s">
        <v>211</v>
      </c>
      <c r="B54" s="7" t="s">
        <v>125</v>
      </c>
      <c r="C54" s="64">
        <v>2.196413516666667</v>
      </c>
      <c r="D54" s="64">
        <v>-9.6987769999999998</v>
      </c>
      <c r="E54" s="64">
        <v>-1.1318889999999999</v>
      </c>
      <c r="F54" s="6" t="s">
        <v>17</v>
      </c>
      <c r="G54" s="61"/>
      <c r="H54" s="61"/>
      <c r="I54" s="61"/>
      <c r="J54" s="61"/>
      <c r="K54" s="61"/>
    </row>
    <row r="55" spans="1:11" x14ac:dyDescent="0.25">
      <c r="A55" s="23" t="s">
        <v>212</v>
      </c>
      <c r="B55" s="24" t="s">
        <v>57</v>
      </c>
      <c r="C55" s="63">
        <v>2.047145463200208</v>
      </c>
      <c r="D55" s="63">
        <v>-5.5019613700000001</v>
      </c>
      <c r="E55" s="63">
        <v>-0.32545630300000006</v>
      </c>
      <c r="F55" s="8" t="s">
        <v>11</v>
      </c>
      <c r="G55" s="61"/>
      <c r="H55" s="61"/>
      <c r="I55" s="61"/>
      <c r="J55" s="61"/>
      <c r="K55" s="61"/>
    </row>
    <row r="56" spans="1:11" x14ac:dyDescent="0.25">
      <c r="A56" s="5" t="s">
        <v>210</v>
      </c>
      <c r="B56" s="7" t="s">
        <v>120</v>
      </c>
      <c r="C56" s="64">
        <v>2.0380965234999997</v>
      </c>
      <c r="D56" s="64">
        <v>-1.9756332697600001</v>
      </c>
      <c r="E56" s="64">
        <v>-0.1686486535</v>
      </c>
      <c r="F56" s="6" t="s">
        <v>10</v>
      </c>
      <c r="G56" s="61"/>
      <c r="H56" s="61"/>
      <c r="I56" s="61"/>
      <c r="J56" s="61"/>
      <c r="K56" s="61"/>
    </row>
    <row r="57" spans="1:11" x14ac:dyDescent="0.25">
      <c r="A57" s="23" t="s">
        <v>208</v>
      </c>
      <c r="B57" s="24" t="s">
        <v>155</v>
      </c>
      <c r="C57" s="63">
        <v>2.037869414583334</v>
      </c>
      <c r="D57" s="63">
        <v>-1.4601565000000001</v>
      </c>
      <c r="E57" s="63">
        <v>5.0059100000000016E-2</v>
      </c>
      <c r="F57" s="8" t="s">
        <v>14</v>
      </c>
      <c r="G57" s="61"/>
      <c r="H57" s="61"/>
      <c r="I57" s="61"/>
      <c r="J57" s="61"/>
      <c r="K57" s="61"/>
    </row>
    <row r="58" spans="1:11" x14ac:dyDescent="0.25">
      <c r="A58" s="5" t="s">
        <v>216</v>
      </c>
      <c r="B58" s="7" t="s">
        <v>94</v>
      </c>
      <c r="C58" s="64">
        <v>2.003013404166667</v>
      </c>
      <c r="D58" s="64">
        <v>-9.6954379999999993</v>
      </c>
      <c r="E58" s="64">
        <v>-3.4991140000000001</v>
      </c>
      <c r="F58" s="6" t="s">
        <v>11</v>
      </c>
      <c r="G58" s="61"/>
      <c r="H58" s="61"/>
      <c r="I58" s="61"/>
      <c r="J58" s="61"/>
      <c r="K58" s="61"/>
    </row>
    <row r="59" spans="1:11" x14ac:dyDescent="0.25">
      <c r="A59" s="23" t="s">
        <v>218</v>
      </c>
      <c r="B59" s="24" t="s">
        <v>115</v>
      </c>
      <c r="C59" s="63">
        <v>1.9371993020833331</v>
      </c>
      <c r="D59" s="63">
        <v>2.0675150000000002</v>
      </c>
      <c r="E59" s="63">
        <v>-1.5493585000000001</v>
      </c>
      <c r="F59" s="8" t="s">
        <v>13</v>
      </c>
      <c r="G59" s="61"/>
      <c r="H59" s="61"/>
      <c r="I59" s="61"/>
      <c r="J59" s="61"/>
      <c r="K59" s="61"/>
    </row>
    <row r="60" spans="1:11" x14ac:dyDescent="0.25">
      <c r="A60" s="5" t="s">
        <v>223</v>
      </c>
      <c r="B60" s="7" t="s">
        <v>134</v>
      </c>
      <c r="C60" s="64">
        <v>1.7400603187500001</v>
      </c>
      <c r="D60" s="64">
        <v>-1.3662485</v>
      </c>
      <c r="E60" s="64">
        <v>-2.4886594999999998</v>
      </c>
      <c r="F60" s="6" t="s">
        <v>170</v>
      </c>
      <c r="G60" s="61"/>
      <c r="H60" s="61"/>
      <c r="I60" s="61"/>
      <c r="J60" s="61"/>
      <c r="K60" s="61"/>
    </row>
    <row r="61" spans="1:11" x14ac:dyDescent="0.25">
      <c r="A61" s="23" t="s">
        <v>232</v>
      </c>
      <c r="B61" s="24" t="s">
        <v>100</v>
      </c>
      <c r="C61" s="63">
        <v>1.677111639583333</v>
      </c>
      <c r="D61" s="63">
        <v>-5.1994195000000003</v>
      </c>
      <c r="E61" s="63">
        <v>2.9778665000000002</v>
      </c>
      <c r="F61" s="8" t="s">
        <v>11</v>
      </c>
      <c r="G61" s="61"/>
      <c r="H61" s="61"/>
      <c r="I61" s="61"/>
      <c r="J61" s="61"/>
      <c r="K61" s="61"/>
    </row>
    <row r="62" spans="1:11" x14ac:dyDescent="0.25">
      <c r="A62" s="5" t="s">
        <v>221</v>
      </c>
      <c r="B62" s="7" t="s">
        <v>116</v>
      </c>
      <c r="C62" s="64">
        <v>1.554369133333334</v>
      </c>
      <c r="D62" s="64">
        <v>1.692855</v>
      </c>
      <c r="E62" s="64">
        <v>-1.9972989999999999</v>
      </c>
      <c r="F62" s="6" t="s">
        <v>11</v>
      </c>
      <c r="G62" s="61"/>
      <c r="H62" s="61"/>
      <c r="I62" s="61"/>
      <c r="J62" s="61"/>
      <c r="K62" s="61"/>
    </row>
    <row r="63" spans="1:11" x14ac:dyDescent="0.25">
      <c r="A63" s="23" t="s">
        <v>229</v>
      </c>
      <c r="B63" s="24" t="s">
        <v>97</v>
      </c>
      <c r="C63" s="63">
        <v>1.3999255708675</v>
      </c>
      <c r="D63" s="63">
        <v>-10.549740000029999</v>
      </c>
      <c r="E63" s="63">
        <v>-0.28546487409999999</v>
      </c>
      <c r="F63" s="8" t="s">
        <v>17</v>
      </c>
      <c r="G63" s="61"/>
      <c r="H63" s="61"/>
      <c r="I63" s="61"/>
      <c r="J63" s="61"/>
      <c r="K63" s="61"/>
    </row>
    <row r="64" spans="1:11" x14ac:dyDescent="0.25">
      <c r="A64" s="5" t="s">
        <v>217</v>
      </c>
      <c r="B64" s="7" t="s">
        <v>149</v>
      </c>
      <c r="C64" s="64">
        <v>1.334202904166667</v>
      </c>
      <c r="D64" s="64">
        <v>0.37234690000000004</v>
      </c>
      <c r="E64" s="64">
        <v>1.9019999999999959E-3</v>
      </c>
      <c r="F64" s="6" t="s">
        <v>170</v>
      </c>
      <c r="G64" s="61"/>
      <c r="H64" s="61"/>
      <c r="I64" s="61"/>
      <c r="J64" s="61"/>
      <c r="K64" s="61"/>
    </row>
    <row r="65" spans="1:11" x14ac:dyDescent="0.25">
      <c r="A65" s="23" t="s">
        <v>231</v>
      </c>
      <c r="B65" s="24" t="s">
        <v>117</v>
      </c>
      <c r="C65" s="63">
        <v>1.3199468875</v>
      </c>
      <c r="D65" s="63">
        <v>-15.691321</v>
      </c>
      <c r="E65" s="63">
        <v>-6.2132139999999998</v>
      </c>
      <c r="F65" s="8" t="s">
        <v>170</v>
      </c>
      <c r="G65" s="61"/>
      <c r="H65" s="61"/>
      <c r="I65" s="61"/>
      <c r="J65" s="61"/>
      <c r="K65" s="61"/>
    </row>
    <row r="66" spans="1:11" x14ac:dyDescent="0.25">
      <c r="A66" s="5" t="s">
        <v>227</v>
      </c>
      <c r="B66" s="7" t="s">
        <v>131</v>
      </c>
      <c r="C66" s="64">
        <v>1.2946612</v>
      </c>
      <c r="D66" s="64">
        <v>-2.6315529999999998</v>
      </c>
      <c r="E66" s="64">
        <v>-1.6242300000000001</v>
      </c>
      <c r="F66" s="6" t="s">
        <v>17</v>
      </c>
      <c r="G66" s="61"/>
      <c r="H66" s="61"/>
      <c r="I66" s="61"/>
      <c r="J66" s="61"/>
      <c r="K66" s="61"/>
    </row>
    <row r="67" spans="1:11" x14ac:dyDescent="0.25">
      <c r="A67" s="23" t="s">
        <v>222</v>
      </c>
      <c r="B67" s="24" t="s">
        <v>133</v>
      </c>
      <c r="C67" s="63">
        <v>1.2786689375</v>
      </c>
      <c r="D67" s="63">
        <v>3.9565039999999998</v>
      </c>
      <c r="E67" s="63">
        <v>0.88422699999999999</v>
      </c>
      <c r="F67" s="8" t="s">
        <v>167</v>
      </c>
      <c r="G67" s="61"/>
      <c r="H67" s="61"/>
      <c r="I67" s="61"/>
      <c r="J67" s="61"/>
      <c r="K67" s="61"/>
    </row>
    <row r="68" spans="1:11" x14ac:dyDescent="0.25">
      <c r="A68" s="5" t="s">
        <v>220</v>
      </c>
      <c r="B68" s="7" t="s">
        <v>141</v>
      </c>
      <c r="C68" s="64">
        <v>1.2518437083333329</v>
      </c>
      <c r="D68" s="64">
        <v>-0.68741200000000002</v>
      </c>
      <c r="E68" s="64">
        <v>-0.12338200000000001</v>
      </c>
      <c r="F68" s="6" t="s">
        <v>11</v>
      </c>
      <c r="G68" s="61"/>
      <c r="H68" s="61"/>
      <c r="I68" s="61"/>
      <c r="J68" s="61"/>
      <c r="K68" s="61"/>
    </row>
    <row r="69" spans="1:11" x14ac:dyDescent="0.25">
      <c r="A69" s="23" t="s">
        <v>230</v>
      </c>
      <c r="B69" s="24" t="s">
        <v>143</v>
      </c>
      <c r="C69" s="63">
        <v>1.2397343860709582</v>
      </c>
      <c r="D69" s="63">
        <v>-2.3223755352</v>
      </c>
      <c r="E69" s="63">
        <v>1.9845027231999999</v>
      </c>
      <c r="F69" s="8" t="s">
        <v>17</v>
      </c>
      <c r="G69" s="61"/>
      <c r="H69" s="61"/>
      <c r="I69" s="61"/>
      <c r="J69" s="61"/>
      <c r="K69" s="61"/>
    </row>
    <row r="70" spans="1:11" x14ac:dyDescent="0.25">
      <c r="A70" s="5" t="s">
        <v>225</v>
      </c>
      <c r="B70" s="7" t="s">
        <v>156</v>
      </c>
      <c r="C70" s="64">
        <v>1.1862539562500001</v>
      </c>
      <c r="D70" s="64">
        <v>6.4270100000000052E-2</v>
      </c>
      <c r="E70" s="64">
        <v>3.2620700000000002E-2</v>
      </c>
      <c r="F70" s="6" t="s">
        <v>14</v>
      </c>
      <c r="G70" s="61"/>
      <c r="H70" s="61"/>
      <c r="I70" s="61"/>
      <c r="J70" s="61"/>
      <c r="K70" s="61"/>
    </row>
    <row r="71" spans="1:11" x14ac:dyDescent="0.25">
      <c r="A71" s="23" t="s">
        <v>226</v>
      </c>
      <c r="B71" s="24" t="s">
        <v>96</v>
      </c>
      <c r="C71" s="63">
        <v>1.115517493765833</v>
      </c>
      <c r="D71" s="63">
        <v>-4.21993050788</v>
      </c>
      <c r="E71" s="63">
        <v>-0.93092967594999998</v>
      </c>
      <c r="F71" s="8" t="s">
        <v>14</v>
      </c>
      <c r="G71" s="61"/>
      <c r="H71" s="61"/>
      <c r="I71" s="61"/>
      <c r="J71" s="61"/>
      <c r="K71" s="61"/>
    </row>
    <row r="72" spans="1:11" x14ac:dyDescent="0.25">
      <c r="A72" s="5" t="s">
        <v>241</v>
      </c>
      <c r="B72" s="7" t="s">
        <v>151</v>
      </c>
      <c r="C72" s="64">
        <v>1.1141399791666671</v>
      </c>
      <c r="D72" s="64">
        <v>1.5650785</v>
      </c>
      <c r="E72" s="64">
        <v>2.2173060000000002</v>
      </c>
      <c r="F72" s="6" t="s">
        <v>168</v>
      </c>
      <c r="G72" s="61"/>
      <c r="H72" s="61"/>
      <c r="I72" s="61"/>
      <c r="J72" s="61"/>
      <c r="K72" s="61"/>
    </row>
    <row r="73" spans="1:11" x14ac:dyDescent="0.25">
      <c r="A73" s="23" t="s">
        <v>237</v>
      </c>
      <c r="B73" s="24" t="s">
        <v>135</v>
      </c>
      <c r="C73" s="63">
        <v>1.0908210295362502</v>
      </c>
      <c r="D73" s="63">
        <v>-1.50345935587</v>
      </c>
      <c r="E73" s="63">
        <v>5.5837041989999982E-2</v>
      </c>
      <c r="F73" s="8" t="s">
        <v>17</v>
      </c>
      <c r="G73" s="61"/>
      <c r="H73" s="61"/>
      <c r="I73" s="61"/>
      <c r="J73" s="61"/>
      <c r="K73" s="61"/>
    </row>
    <row r="74" spans="1:11" x14ac:dyDescent="0.25">
      <c r="A74" s="5" t="s">
        <v>224</v>
      </c>
      <c r="B74" s="7" t="s">
        <v>137</v>
      </c>
      <c r="C74" s="64">
        <v>1.0862916687499999</v>
      </c>
      <c r="D74" s="64">
        <v>-0.88255150000000004</v>
      </c>
      <c r="E74" s="64">
        <v>0.13646249999999999</v>
      </c>
      <c r="F74" s="6" t="s">
        <v>16</v>
      </c>
      <c r="G74" s="61"/>
      <c r="H74" s="61"/>
      <c r="I74" s="61"/>
      <c r="J74" s="61"/>
      <c r="K74" s="61"/>
    </row>
    <row r="75" spans="1:11" x14ac:dyDescent="0.25">
      <c r="A75" s="23" t="s">
        <v>228</v>
      </c>
      <c r="B75" s="24" t="s">
        <v>139</v>
      </c>
      <c r="C75" s="63">
        <v>1.0576477916666669</v>
      </c>
      <c r="D75" s="63">
        <v>-5.1780704999999996</v>
      </c>
      <c r="E75" s="63">
        <v>-0.75182550000000004</v>
      </c>
      <c r="F75" s="8" t="s">
        <v>17</v>
      </c>
      <c r="G75" s="61"/>
      <c r="H75" s="61"/>
      <c r="I75" s="61"/>
      <c r="J75" s="61"/>
      <c r="K75" s="61"/>
    </row>
    <row r="76" spans="1:11" x14ac:dyDescent="0.25">
      <c r="A76" s="5" t="s">
        <v>234</v>
      </c>
      <c r="B76" s="7" t="s">
        <v>138</v>
      </c>
      <c r="C76" s="64">
        <v>0.78015218750000004</v>
      </c>
      <c r="D76" s="64">
        <v>-5.4971329999999998</v>
      </c>
      <c r="E76" s="64">
        <v>-0.317081</v>
      </c>
      <c r="F76" s="6" t="s">
        <v>14</v>
      </c>
      <c r="G76" s="61"/>
      <c r="H76" s="61"/>
      <c r="I76" s="61"/>
      <c r="J76" s="61"/>
      <c r="K76" s="61"/>
    </row>
    <row r="77" spans="1:11" x14ac:dyDescent="0.25">
      <c r="A77" s="23" t="s">
        <v>244</v>
      </c>
      <c r="B77" s="24" t="s">
        <v>161</v>
      </c>
      <c r="C77" s="63">
        <v>0.74577001666666665</v>
      </c>
      <c r="D77" s="63">
        <v>-1.8742259999999999</v>
      </c>
      <c r="E77" s="63">
        <v>0.20086399999999999</v>
      </c>
      <c r="F77" s="8" t="s">
        <v>14</v>
      </c>
      <c r="G77" s="61"/>
      <c r="H77" s="61"/>
      <c r="I77" s="61"/>
      <c r="J77" s="61"/>
      <c r="K77" s="61"/>
    </row>
    <row r="78" spans="1:11" x14ac:dyDescent="0.25">
      <c r="A78" s="5" t="s">
        <v>239</v>
      </c>
      <c r="B78" s="7" t="s">
        <v>130</v>
      </c>
      <c r="C78" s="64">
        <v>0.70828739374999994</v>
      </c>
      <c r="D78" s="64">
        <v>-1.1051580000000001</v>
      </c>
      <c r="E78" s="64">
        <v>0.107699</v>
      </c>
      <c r="F78" s="6" t="s">
        <v>17</v>
      </c>
      <c r="G78" s="61"/>
      <c r="H78" s="61"/>
      <c r="I78" s="61"/>
      <c r="J78" s="61"/>
      <c r="K78" s="61"/>
    </row>
    <row r="79" spans="1:11" x14ac:dyDescent="0.25">
      <c r="A79" s="23" t="s">
        <v>238</v>
      </c>
      <c r="B79" s="24" t="s">
        <v>140</v>
      </c>
      <c r="C79" s="63">
        <v>0.69816380416666668</v>
      </c>
      <c r="D79" s="63">
        <v>-3.738918</v>
      </c>
      <c r="E79" s="63">
        <v>0.1238465</v>
      </c>
      <c r="F79" s="8" t="s">
        <v>17</v>
      </c>
      <c r="G79" s="61"/>
      <c r="H79" s="61"/>
      <c r="I79" s="61"/>
      <c r="J79" s="61"/>
      <c r="K79" s="61"/>
    </row>
    <row r="80" spans="1:11" x14ac:dyDescent="0.25">
      <c r="A80" s="5" t="s">
        <v>250</v>
      </c>
      <c r="B80" s="7" t="s">
        <v>163</v>
      </c>
      <c r="C80" s="64">
        <v>0.68134436458333336</v>
      </c>
      <c r="D80" s="64">
        <v>-2.8958029999999999</v>
      </c>
      <c r="E80" s="64">
        <v>-0.41449900000000001</v>
      </c>
      <c r="F80" s="6" t="s">
        <v>170</v>
      </c>
      <c r="G80" s="61"/>
      <c r="H80" s="61"/>
      <c r="I80" s="61"/>
      <c r="J80" s="61"/>
      <c r="K80" s="61"/>
    </row>
    <row r="81" spans="1:11" x14ac:dyDescent="0.25">
      <c r="A81" s="23" t="s">
        <v>236</v>
      </c>
      <c r="B81" s="24" t="s">
        <v>150</v>
      </c>
      <c r="C81" s="63">
        <v>0.63702277916666672</v>
      </c>
      <c r="D81" s="63">
        <v>-1.1109325000000001</v>
      </c>
      <c r="E81" s="63">
        <v>7.3827000000000004E-2</v>
      </c>
      <c r="F81" s="8" t="s">
        <v>17</v>
      </c>
      <c r="G81" s="61"/>
      <c r="H81" s="61"/>
      <c r="I81" s="61"/>
      <c r="J81" s="61"/>
      <c r="K81" s="61"/>
    </row>
    <row r="82" spans="1:11" x14ac:dyDescent="0.25">
      <c r="A82" s="5" t="s">
        <v>233</v>
      </c>
      <c r="B82" s="7" t="s">
        <v>129</v>
      </c>
      <c r="C82" s="64">
        <v>0.62798253125000003</v>
      </c>
      <c r="D82" s="64">
        <v>0.51093200000000005</v>
      </c>
      <c r="E82" s="64">
        <v>9.1085000000000003E-3</v>
      </c>
      <c r="F82" s="6" t="s">
        <v>170</v>
      </c>
      <c r="G82" s="61"/>
      <c r="H82" s="61"/>
      <c r="I82" s="61"/>
      <c r="J82" s="61"/>
      <c r="K82" s="61"/>
    </row>
    <row r="83" spans="1:11" x14ac:dyDescent="0.25">
      <c r="A83" s="23" t="s">
        <v>235</v>
      </c>
      <c r="B83" s="24" t="s">
        <v>128</v>
      </c>
      <c r="C83" s="63">
        <v>0.61521080440520837</v>
      </c>
      <c r="D83" s="63">
        <v>-0.58277858771999991</v>
      </c>
      <c r="E83" s="63">
        <v>2.0468468619999999E-2</v>
      </c>
      <c r="F83" s="8" t="s">
        <v>17</v>
      </c>
      <c r="G83" s="61"/>
      <c r="H83" s="61"/>
      <c r="I83" s="61"/>
      <c r="J83" s="61"/>
      <c r="K83" s="61"/>
    </row>
    <row r="84" spans="1:11" x14ac:dyDescent="0.25">
      <c r="A84" s="5" t="s">
        <v>240</v>
      </c>
      <c r="B84" s="7" t="s">
        <v>89</v>
      </c>
      <c r="C84" s="64">
        <v>0.57212279166666657</v>
      </c>
      <c r="D84" s="64">
        <v>-1.3607020000000001</v>
      </c>
      <c r="E84" s="64">
        <v>0.62021099999999996</v>
      </c>
      <c r="F84" s="6" t="s">
        <v>11</v>
      </c>
      <c r="G84" s="61"/>
      <c r="H84" s="61"/>
      <c r="I84" s="61"/>
      <c r="J84" s="61"/>
      <c r="K84" s="61"/>
    </row>
    <row r="85" spans="1:11" x14ac:dyDescent="0.25">
      <c r="A85" s="23" t="s">
        <v>253</v>
      </c>
      <c r="B85" s="24" t="s">
        <v>142</v>
      </c>
      <c r="C85" s="63">
        <v>0.53930692708333339</v>
      </c>
      <c r="D85" s="63">
        <v>-1.721511</v>
      </c>
      <c r="E85" s="63">
        <v>-0.24865200000000001</v>
      </c>
      <c r="F85" s="8" t="s">
        <v>11</v>
      </c>
      <c r="G85" s="61"/>
      <c r="H85" s="61"/>
      <c r="I85" s="61"/>
      <c r="J85" s="61"/>
      <c r="K85" s="61"/>
    </row>
    <row r="86" spans="1:11" x14ac:dyDescent="0.25">
      <c r="A86" s="5" t="s">
        <v>251</v>
      </c>
      <c r="B86" s="7" t="s">
        <v>166</v>
      </c>
      <c r="C86" s="64">
        <v>0.51418724999999998</v>
      </c>
      <c r="D86" s="64">
        <v>-3.1333920000000002</v>
      </c>
      <c r="E86" s="64">
        <v>-0.57591899999999996</v>
      </c>
      <c r="F86" s="6" t="s">
        <v>10</v>
      </c>
      <c r="G86" s="61"/>
      <c r="H86" s="61"/>
      <c r="I86" s="61"/>
      <c r="J86" s="61"/>
      <c r="K86" s="61"/>
    </row>
    <row r="87" spans="1:11" x14ac:dyDescent="0.25">
      <c r="A87" s="23" t="s">
        <v>246</v>
      </c>
      <c r="B87" s="24" t="s">
        <v>153</v>
      </c>
      <c r="C87" s="63">
        <v>0.4996918020833333</v>
      </c>
      <c r="D87" s="63">
        <v>-5.2000770000000003</v>
      </c>
      <c r="E87" s="63">
        <v>-0.39927200000000002</v>
      </c>
      <c r="F87" s="8" t="s">
        <v>168</v>
      </c>
      <c r="G87" s="61"/>
      <c r="H87" s="61"/>
      <c r="I87" s="61"/>
      <c r="J87" s="61"/>
      <c r="K87" s="61"/>
    </row>
    <row r="88" spans="1:11" x14ac:dyDescent="0.25">
      <c r="A88" s="5" t="s">
        <v>248</v>
      </c>
      <c r="B88" s="7" t="s">
        <v>118</v>
      </c>
      <c r="C88" s="64">
        <v>0.48247377083333332</v>
      </c>
      <c r="D88" s="64">
        <v>-1.30209</v>
      </c>
      <c r="E88" s="64">
        <v>-0.12584799999999999</v>
      </c>
      <c r="F88" s="6" t="s">
        <v>10</v>
      </c>
      <c r="G88" s="61"/>
      <c r="H88" s="61"/>
      <c r="I88" s="61"/>
      <c r="J88" s="61"/>
      <c r="K88" s="61"/>
    </row>
    <row r="89" spans="1:11" x14ac:dyDescent="0.25">
      <c r="A89" s="23" t="s">
        <v>245</v>
      </c>
      <c r="B89" s="24" t="s">
        <v>165</v>
      </c>
      <c r="C89" s="63">
        <v>0.45805856041666659</v>
      </c>
      <c r="D89" s="63">
        <v>3.5361546000000001</v>
      </c>
      <c r="E89" s="63">
        <v>0.12202930000000001</v>
      </c>
      <c r="F89" s="8" t="s">
        <v>14</v>
      </c>
      <c r="G89" s="61"/>
      <c r="H89" s="61"/>
      <c r="I89" s="61"/>
      <c r="J89" s="61"/>
      <c r="K89" s="61"/>
    </row>
    <row r="90" spans="1:11" x14ac:dyDescent="0.25">
      <c r="A90" s="5" t="s">
        <v>262</v>
      </c>
      <c r="B90" s="7" t="s">
        <v>263</v>
      </c>
      <c r="C90" s="64">
        <v>0.4563019791666667</v>
      </c>
      <c r="D90" s="64">
        <v>-0.56442599999999998</v>
      </c>
      <c r="E90" s="64">
        <v>-4.3340999999999998E-2</v>
      </c>
      <c r="F90" s="6" t="s">
        <v>16</v>
      </c>
      <c r="G90" s="61"/>
      <c r="H90" s="61"/>
      <c r="I90" s="61"/>
      <c r="J90" s="61"/>
      <c r="K90" s="61"/>
    </row>
    <row r="91" spans="1:11" x14ac:dyDescent="0.25">
      <c r="A91" s="23" t="s">
        <v>243</v>
      </c>
      <c r="B91" s="24" t="s">
        <v>126</v>
      </c>
      <c r="C91" s="63">
        <v>0.4390837020833333</v>
      </c>
      <c r="D91" s="63">
        <v>-0.97994809999999999</v>
      </c>
      <c r="E91" s="63">
        <v>2.3648099999999998E-2</v>
      </c>
      <c r="F91" s="8" t="s">
        <v>169</v>
      </c>
      <c r="G91" s="61"/>
      <c r="H91" s="61"/>
      <c r="I91" s="61"/>
      <c r="J91" s="61"/>
      <c r="K91" s="61"/>
    </row>
    <row r="92" spans="1:11" x14ac:dyDescent="0.25">
      <c r="A92" s="5" t="s">
        <v>256</v>
      </c>
      <c r="B92" s="7" t="s">
        <v>164</v>
      </c>
      <c r="C92" s="64">
        <v>0.39222477083333329</v>
      </c>
      <c r="D92" s="64">
        <v>-0.38792999999999989</v>
      </c>
      <c r="E92" s="64">
        <v>-9.3900999999999957E-2</v>
      </c>
      <c r="F92" s="6" t="s">
        <v>14</v>
      </c>
      <c r="G92" s="61"/>
      <c r="H92" s="61"/>
      <c r="I92" s="61"/>
      <c r="J92" s="61"/>
      <c r="K92" s="61"/>
    </row>
    <row r="93" spans="1:11" x14ac:dyDescent="0.25">
      <c r="A93" s="23" t="s">
        <v>249</v>
      </c>
      <c r="B93" s="24" t="s">
        <v>159</v>
      </c>
      <c r="C93" s="63">
        <v>0.3917651979166667</v>
      </c>
      <c r="D93" s="63">
        <v>0.83587400000000001</v>
      </c>
      <c r="E93" s="63">
        <v>-8.9714000000000002E-2</v>
      </c>
      <c r="F93" s="8" t="s">
        <v>168</v>
      </c>
      <c r="G93" s="61"/>
      <c r="H93" s="61"/>
      <c r="I93" s="61"/>
      <c r="J93" s="61"/>
      <c r="K93" s="61"/>
    </row>
    <row r="94" spans="1:11" x14ac:dyDescent="0.25">
      <c r="A94" s="5" t="s">
        <v>255</v>
      </c>
      <c r="B94" s="7" t="s">
        <v>157</v>
      </c>
      <c r="C94" s="64">
        <v>0.377977903625</v>
      </c>
      <c r="D94" s="64">
        <v>-4.4554834000000003</v>
      </c>
      <c r="E94" s="64">
        <v>-0.44118380000000001</v>
      </c>
      <c r="F94" s="6" t="s">
        <v>16</v>
      </c>
      <c r="G94" s="61"/>
      <c r="H94" s="61"/>
      <c r="I94" s="61"/>
      <c r="J94" s="61"/>
      <c r="K94" s="61"/>
    </row>
    <row r="95" spans="1:11" x14ac:dyDescent="0.25">
      <c r="A95" s="23" t="s">
        <v>242</v>
      </c>
      <c r="B95" s="24" t="s">
        <v>162</v>
      </c>
      <c r="C95" s="63">
        <v>0.3747517782</v>
      </c>
      <c r="D95" s="63">
        <v>2.3542013801000001</v>
      </c>
      <c r="E95" s="63">
        <v>0.2001571073</v>
      </c>
      <c r="F95" s="8" t="s">
        <v>170</v>
      </c>
      <c r="G95" s="61"/>
      <c r="H95" s="61"/>
      <c r="I95" s="61"/>
      <c r="J95" s="61"/>
      <c r="K95" s="61"/>
    </row>
    <row r="96" spans="1:11" x14ac:dyDescent="0.25">
      <c r="A96" s="5" t="s">
        <v>247</v>
      </c>
      <c r="B96" s="7" t="s">
        <v>160</v>
      </c>
      <c r="C96" s="64">
        <v>0.37065466458333329</v>
      </c>
      <c r="D96" s="64">
        <v>0.30897090000000005</v>
      </c>
      <c r="E96" s="64">
        <v>-2.3095999999999998E-3</v>
      </c>
      <c r="F96" s="6" t="s">
        <v>14</v>
      </c>
      <c r="G96" s="61"/>
      <c r="H96" s="61"/>
      <c r="I96" s="61"/>
      <c r="J96" s="61"/>
      <c r="K96" s="61"/>
    </row>
    <row r="97" spans="1:11" x14ac:dyDescent="0.25">
      <c r="A97" s="23" t="s">
        <v>264</v>
      </c>
      <c r="B97" s="24" t="s">
        <v>265</v>
      </c>
      <c r="C97" s="63">
        <v>0.36325069937500004</v>
      </c>
      <c r="D97" s="63">
        <v>-4.8978840000000003</v>
      </c>
      <c r="E97" s="63">
        <v>-0.209452</v>
      </c>
      <c r="F97" s="8" t="s">
        <v>15</v>
      </c>
      <c r="G97" s="61"/>
      <c r="H97" s="61"/>
      <c r="I97" s="61"/>
      <c r="J97" s="61"/>
      <c r="K97" s="61"/>
    </row>
    <row r="98" spans="1:11" x14ac:dyDescent="0.25">
      <c r="A98" s="5" t="s">
        <v>266</v>
      </c>
      <c r="B98" s="7" t="s">
        <v>267</v>
      </c>
      <c r="C98" s="64">
        <v>0.36114029166666667</v>
      </c>
      <c r="D98" s="64">
        <v>-4.475028</v>
      </c>
      <c r="E98" s="64">
        <v>-1.124879</v>
      </c>
      <c r="F98" s="6" t="s">
        <v>13</v>
      </c>
      <c r="G98" s="61"/>
      <c r="H98" s="61"/>
      <c r="I98" s="61"/>
      <c r="J98" s="61"/>
      <c r="K98" s="61"/>
    </row>
    <row r="99" spans="1:11" x14ac:dyDescent="0.25">
      <c r="A99" s="23" t="s">
        <v>273</v>
      </c>
      <c r="B99" s="24" t="s">
        <v>274</v>
      </c>
      <c r="C99" s="63">
        <v>0.35666487499999999</v>
      </c>
      <c r="D99" s="63">
        <v>-0.50874649999999999</v>
      </c>
      <c r="E99" s="63">
        <v>-0.8390765</v>
      </c>
      <c r="F99" s="8" t="s">
        <v>17</v>
      </c>
      <c r="G99" s="61"/>
      <c r="H99" s="61"/>
      <c r="I99" s="61"/>
      <c r="J99" s="61"/>
      <c r="K99" s="61"/>
    </row>
    <row r="100" spans="1:11" x14ac:dyDescent="0.25">
      <c r="A100" s="5" t="s">
        <v>252</v>
      </c>
      <c r="B100" s="7" t="s">
        <v>136</v>
      </c>
      <c r="C100" s="64">
        <v>0.35182942708333331</v>
      </c>
      <c r="D100" s="64">
        <v>-1.0358799999999999</v>
      </c>
      <c r="E100" s="64">
        <v>-3.0326999999999972E-2</v>
      </c>
      <c r="F100" s="6" t="s">
        <v>17</v>
      </c>
      <c r="G100" s="61"/>
      <c r="H100" s="61"/>
      <c r="I100" s="61"/>
      <c r="J100" s="61"/>
      <c r="K100" s="61"/>
    </row>
    <row r="101" spans="1:11" x14ac:dyDescent="0.25">
      <c r="A101" s="54" t="s">
        <v>254</v>
      </c>
      <c r="B101" s="55" t="s">
        <v>158</v>
      </c>
      <c r="C101" s="65">
        <v>0.34601160833333328</v>
      </c>
      <c r="D101" s="65">
        <v>-3.1611400000000012E-2</v>
      </c>
      <c r="E101" s="65">
        <v>-1.38779E-2</v>
      </c>
      <c r="F101" s="9" t="s">
        <v>13</v>
      </c>
      <c r="G101" s="61"/>
      <c r="H101" s="61"/>
      <c r="I101" s="61"/>
      <c r="J101" s="61"/>
      <c r="K101" s="61"/>
    </row>
    <row r="102" spans="1:11" x14ac:dyDescent="0.25">
      <c r="A102" s="51"/>
      <c r="B102" s="10"/>
      <c r="C102" s="10"/>
      <c r="D102" s="10"/>
      <c r="E102" s="10"/>
      <c r="F102" s="52"/>
      <c r="H102" s="44"/>
      <c r="J102" s="45"/>
    </row>
    <row r="104" spans="1:11" x14ac:dyDescent="0.25">
      <c r="A104" s="11" t="s">
        <v>67</v>
      </c>
    </row>
    <row r="105" spans="1:11" x14ac:dyDescent="0.25">
      <c r="A105" s="11" t="s">
        <v>82</v>
      </c>
    </row>
    <row r="106" spans="1:11" x14ac:dyDescent="0.25">
      <c r="A106" s="11" t="s">
        <v>146</v>
      </c>
    </row>
    <row r="107" spans="1:11" x14ac:dyDescent="0.25">
      <c r="A107" s="11" t="s">
        <v>145</v>
      </c>
    </row>
    <row r="108" spans="1:11" x14ac:dyDescent="0.25">
      <c r="A108" s="11" t="s">
        <v>152</v>
      </c>
    </row>
    <row r="109" spans="1:11" x14ac:dyDescent="0.2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34 B64 B8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2024-03-11T06:16:28Z</dcterms:modified>
</cp:coreProperties>
</file>