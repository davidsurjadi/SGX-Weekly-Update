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746A38C0-D7E9-43A3-A61A-CB83B317C9E2}"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 i="2" l="1"/>
  <c r="A3" i="2"/>
  <c r="A6" i="2"/>
  <c r="A5" i="2"/>
  <c r="K29" i="1"/>
  <c r="F5" i="1" l="1"/>
  <c r="A1" i="5"/>
  <c r="D32" i="4" l="1"/>
  <c r="C32" i="4"/>
  <c r="A6" i="3"/>
  <c r="A5" i="3"/>
  <c r="A4" i="3"/>
  <c r="A3" i="3"/>
  <c r="A1" i="4" l="1"/>
  <c r="C18" i="1" l="1"/>
  <c r="F18" i="1" s="1"/>
</calcChain>
</file>

<file path=xl/sharedStrings.xml><?xml version="1.0" encoding="utf-8"?>
<sst xmlns="http://schemas.openxmlformats.org/spreadsheetml/2006/main" count="517" uniqueCount="284">
  <si>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</si>
  <si>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</si>
  <si>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</si>
  <si>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</si>
  <si>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</si>
  <si>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</si>
  <si>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</si>
  <si>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</si>
  <si>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</si>
  <si>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</si>
  <si>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</si>
  <si>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</si>
  <si>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</si>
  <si>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</si>
  <si>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</si>
  <si>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</si>
  <si>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</si>
  <si>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</si>
  <si>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</si>
  <si>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</si>
  <si>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</si>
  <si>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</si>
  <si>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</si>
  <si>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</si>
  <si>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</si>
  <si>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</si>
  <si>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</si>
  <si>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</si>
  <si>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</si>
  <si>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</si>
  <si>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</si>
  <si>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</si>
  <si>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</si>
  <si>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</si>
  <si>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</si>
  <si>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</si>
  <si>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</si>
  <si>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</si>
  <si>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</si>
  <si>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</si>
  <si>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</si>
  <si>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</si>
  <si>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</si>
  <si>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</si>
  <si>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</si>
  <si>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</si>
  <si>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</si>
  <si>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</si>
  <si>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</si>
  <si>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</si>
  <si>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</si>
  <si>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</si>
  <si>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</si>
  <si>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</si>
  <si>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</si>
  <si>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</si>
  <si>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</si>
  <si>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</si>
  <si>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</si>
  <si>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</si>
  <si>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</si>
  <si>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</si>
  <si>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</si>
  <si>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</si>
  <si>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</si>
  <si>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</si>
  <si>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</si>
  <si>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</si>
  <si>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</si>
  <si>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</si>
  <si>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</si>
  <si>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</si>
  <si>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</si>
  <si>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</si>
  <si>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</si>
  <si>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</si>
  <si>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</si>
  <si>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</si>
  <si>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</si>
  <si>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</si>
  <si>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</si>
  <si>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</si>
  <si>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</si>
  <si>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</si>
  <si>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</si>
  <si>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</si>
  <si>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</si>
  <si>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</si>
  <si>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</si>
  <si>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</si>
  <si>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</si>
  <si>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</si>
  <si>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</si>
  <si>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</si>
  <si>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</si>
  <si>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</si>
  <si>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</si>
  <si>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</si>
  <si>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</si>
  <si>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</si>
  <si>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</si>
  <si>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</si>
  <si>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</si>
  <si>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</si>
  <si>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</si>
  <si>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</si>
  <si>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</si>
  <si>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</si>
  <si>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</si>
  <si>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</si>
  <si>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</si>
  <si>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</si>
  <si>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</si>
  <si>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</si>
  <si>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</si>
  <si>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</si>
  <si>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</si>
  <si>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</si>
  <si>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</si>
  <si>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</si>
  <si>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</si>
  <si>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</si>
  <si>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</si>
  <si>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</si>
  <si>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</si>
  <si>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</si>
  <si>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</si>
  <si>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</si>
  <si>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</si>
  <si>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</si>
  <si>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</si>
  <si>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</si>
  <si>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</si>
  <si>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</si>
  <si>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</si>
  <si>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</si>
  <si>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</si>
  <si>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</si>
  <si>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</si>
  <si>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</si>
  <si>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</si>
  <si>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</si>
  <si>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</si>
  <si>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</si>
  <si>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</si>
  <si>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</si>
  <si>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</si>
  <si>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</si>
  <si>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</si>
  <si>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</si>
  <si>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</si>
  <si>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</si>
  <si>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</si>
  <si>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</si>
  <si>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</si>
  <si>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</si>
  <si>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</si>
  <si>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</si>
  <si>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</si>
  <si>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</si>
  <si>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</si>
  <si>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</si>
  <si>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</si>
  <si>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</si>
  <si>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</si>
  <si>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</si>
  <si>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</si>
  <si>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</si>
  <si>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</si>
  <si>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</si>
  <si>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</si>
  <si>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</si>
  <si>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</si>
  <si>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</si>
  <si>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</si>
  <si>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</si>
  <si>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</si>
  <si>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</si>
  <si>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</si>
  <si>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</si>
  <si>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</si>
  <si>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</si>
  <si>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</si>
  <si>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</si>
  <si>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</si>
  <si>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</si>
  <si>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</si>
  <si>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</si>
  <si>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</si>
  <si>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</si>
  <si>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</si>
  <si>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</si>
  <si>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</si>
  <si>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</si>
  <si>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</si>
  <si>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</si>
  <si>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</si>
  <si>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</si>
  <si>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</si>
  <si>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</si>
  <si>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</si>
  <si>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</si>
  <si>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</si>
  <si>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</si>
  <si>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</si>
  <si>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</si>
  <si>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</si>
  <si>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</si>
  <si>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</si>
  <si>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</si>
  <si>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</si>
  <si>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</si>
  <si>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</si>
  <si>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</si>
  <si>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</si>
  <si>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</si>
  <si>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</si>
  <si>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</si>
  <si>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</si>
  <si>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</si>
  <si>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</si>
  <si>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</si>
  <si>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</si>
  <si>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</si>
  <si>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</si>
  <si>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</si>
  <si>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</si>
  <si>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</si>
  <si>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</si>
  <si>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</si>
  <si>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</si>
  <si>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</si>
  <si>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</si>
  <si>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</si>
  <si>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</si>
  <si>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</si>
  <si>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</si>
  <si>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</si>
  <si>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</si>
  <si>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</si>
  <si>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</si>
  <si>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</si>
  <si>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</si>
  <si>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</si>
  <si>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</si>
  <si>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</si>
  <si>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</si>
  <si>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</si>
  <si>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</si>
  <si>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</si>
  <si>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Japfa</t>
  </si>
  <si>
    <t>UD2</t>
  </si>
  <si>
    <t>558</t>
  </si>
  <si>
    <t>Mapletree Pan Asia Commercial Trust</t>
  </si>
  <si>
    <t>1MZ</t>
  </si>
  <si>
    <t>NamCheong</t>
  </si>
  <si>
    <t>S7P</t>
  </si>
  <si>
    <t>Soilbuild Const</t>
  </si>
  <si>
    <t>sgx.com/research</t>
  </si>
  <si>
    <t>To sign up for daily market updates or for more information, please contact research@SGX.com.</t>
  </si>
  <si>
    <t>5CP</t>
  </si>
  <si>
    <t>Silverlake Axis</t>
  </si>
  <si>
    <t>Sasseur Reit</t>
  </si>
  <si>
    <t>CRPU</t>
  </si>
  <si>
    <t>Centurion</t>
  </si>
  <si>
    <t>OU8</t>
  </si>
  <si>
    <t xml:space="preserve">Wilmar International </t>
  </si>
  <si>
    <t xml:space="preserve">Genting Singapore </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</si>
  <si>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</si>
  <si>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 xml:space="preserve">CapitaLand Investment </t>
  </si>
  <si>
    <t>Week of 30 September 2024</t>
  </si>
  <si>
    <r>
      <t xml:space="preserve">Retail investors net </t>
    </r>
    <r>
      <rPr>
        <b/>
        <sz val="11"/>
        <rFont val="Arial"/>
        <family val="2"/>
      </rPr>
      <t>sell</t>
    </r>
    <r>
      <rPr>
        <sz val="11"/>
        <rFont val="Arial"/>
        <family val="2"/>
      </rPr>
      <t xml:space="preserve"> (-S$167.6m) vs. (-S$89.9m) a week ago</t>
    </r>
  </si>
  <si>
    <t xml:space="preserve">Seatrium </t>
  </si>
  <si>
    <t xml:space="preserve">Venture Corporation </t>
  </si>
  <si>
    <t xml:space="preserve">Keppel </t>
  </si>
  <si>
    <t>Yangzijiang Financial</t>
  </si>
  <si>
    <t>NSL</t>
  </si>
  <si>
    <t>N02</t>
  </si>
  <si>
    <r>
      <t xml:space="preserve">Institutional investors net </t>
    </r>
    <r>
      <rPr>
        <b/>
        <sz val="11"/>
        <rFont val="Arial"/>
        <family val="2"/>
      </rPr>
      <t>buy</t>
    </r>
    <r>
      <rPr>
        <sz val="11"/>
        <rFont val="Arial"/>
        <family val="2"/>
      </rPr>
      <t xml:space="preserve"> (+S$238.8m) vs. (-S$242.1m) a week ago</t>
    </r>
  </si>
  <si>
    <t>NIO Inc</t>
  </si>
  <si>
    <t>Keppel Infrastructure Trust</t>
  </si>
  <si>
    <t>iFast Corporation</t>
  </si>
  <si>
    <t xml:space="preserve">Seatrium Ltd (from 7 May 2024) </t>
  </si>
  <si>
    <t>AIMS APAC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</si>
</sst>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0" fontId="14" fillId="0" borderId="0" xfId="0" applyFont="1" applyAlignment="1">
      <alignment vertical="center"/>
    </xf>
    <xf numFmtId="0" fontId="14" fillId="5" borderId="18" xfId="0" applyFont="1" applyFill="1" applyBorder="1" applyAlignment="1">
      <alignment vertical="center"/>
    </xf>
    <xf numFmtId="0" fontId="14" fillId="5" borderId="0" xfId="0" applyFont="1" applyFill="1" applyAlignment="1">
      <alignment vertical="center"/>
    </xf>
    <xf numFmtId="0" fontId="14" fillId="0" borderId="12" xfId="0" applyFont="1" applyBorder="1" applyAlignment="1">
      <alignmen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5703125" style="2" customWidth="1"/>
    <col min="9" max="9" width="17" style="40"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270</v>
      </c>
    </row>
    <row r="2" spans="1:13" ht="15" x14ac:dyDescent="0.25">
      <c r="A2" s="69" t="s">
        <v>278</v>
      </c>
      <c r="I2" s="50"/>
    </row>
    <row r="3" spans="1:13" ht="15" x14ac:dyDescent="0.25">
      <c r="A3" s="69" t="s">
        <v>271</v>
      </c>
      <c r="I3" s="50"/>
    </row>
    <row r="5" spans="1:13" ht="29.25" customHeight="1" x14ac:dyDescent="0.2">
      <c r="A5" s="3" t="s">
        <v>0</v>
      </c>
      <c r="B5" s="3" t="s">
        <v>1</v>
      </c>
      <c r="C5" s="4" t="s">
        <v>270</v>
      </c>
      <c r="D5" s="60" t="s">
        <v>2</v>
      </c>
      <c r="E5" s="60" t="s">
        <v>1</v>
      </c>
      <c r="F5" s="61" t="str">
        <f>+C5</f>
        <v>Week of 30 September 2024</v>
      </c>
    </row>
    <row r="6" spans="1:13" ht="15" x14ac:dyDescent="0.25">
      <c r="A6" s="34" t="s">
        <v>272</v>
      </c>
      <c r="B6" s="63" t="s">
        <v>249</v>
      </c>
      <c r="C6" s="74">
        <v>85.580378999999994</v>
      </c>
      <c r="D6" s="34" t="s">
        <v>28</v>
      </c>
      <c r="E6" s="63" t="s">
        <v>23</v>
      </c>
      <c r="F6" s="6">
        <v>-60.176321000000002</v>
      </c>
      <c r="I6" s="2"/>
      <c r="M6"/>
    </row>
    <row r="7" spans="1:13" ht="15" x14ac:dyDescent="0.25">
      <c r="A7" s="35" t="s">
        <v>26</v>
      </c>
      <c r="B7" s="10" t="s">
        <v>21</v>
      </c>
      <c r="C7" s="8">
        <v>47.349448000000002</v>
      </c>
      <c r="D7" s="35" t="s">
        <v>27</v>
      </c>
      <c r="E7" s="10" t="s">
        <v>22</v>
      </c>
      <c r="F7" s="8">
        <v>-37.982849000000002</v>
      </c>
      <c r="L7"/>
      <c r="M7"/>
    </row>
    <row r="8" spans="1:13" ht="15" x14ac:dyDescent="0.25">
      <c r="A8" s="36" t="s">
        <v>29</v>
      </c>
      <c r="B8" s="63" t="s">
        <v>24</v>
      </c>
      <c r="C8" s="6">
        <v>44.269132999999997</v>
      </c>
      <c r="D8" s="36" t="s">
        <v>244</v>
      </c>
      <c r="E8" s="63" t="s">
        <v>108</v>
      </c>
      <c r="F8" s="6">
        <v>-15.336527</v>
      </c>
      <c r="L8"/>
      <c r="M8"/>
    </row>
    <row r="9" spans="1:13" ht="15" x14ac:dyDescent="0.25">
      <c r="A9" s="35" t="s">
        <v>40</v>
      </c>
      <c r="B9" s="10" t="s">
        <v>38</v>
      </c>
      <c r="C9" s="8">
        <v>30.698239999999998</v>
      </c>
      <c r="D9" s="35" t="s">
        <v>49</v>
      </c>
      <c r="E9" s="10" t="s">
        <v>47</v>
      </c>
      <c r="F9" s="8">
        <v>-14.747684899999999</v>
      </c>
      <c r="L9"/>
      <c r="M9"/>
    </row>
    <row r="10" spans="1:13" ht="15" x14ac:dyDescent="0.25">
      <c r="A10" s="36" t="s">
        <v>267</v>
      </c>
      <c r="B10" s="63" t="s">
        <v>35</v>
      </c>
      <c r="C10" s="6">
        <v>26.9511045</v>
      </c>
      <c r="D10" s="36" t="s">
        <v>61</v>
      </c>
      <c r="E10" s="63" t="s">
        <v>53</v>
      </c>
      <c r="F10" s="6">
        <v>-14.579039</v>
      </c>
      <c r="L10"/>
      <c r="M10"/>
    </row>
    <row r="11" spans="1:13" ht="15" x14ac:dyDescent="0.25">
      <c r="A11" s="35" t="s">
        <v>34</v>
      </c>
      <c r="B11" s="10" t="s">
        <v>30</v>
      </c>
      <c r="C11" s="8">
        <v>26.157474000000001</v>
      </c>
      <c r="D11" s="35" t="s">
        <v>60</v>
      </c>
      <c r="E11" s="10" t="s">
        <v>51</v>
      </c>
      <c r="F11" s="8">
        <v>-12.784622499999999</v>
      </c>
      <c r="L11"/>
      <c r="M11"/>
    </row>
    <row r="12" spans="1:13" ht="15" x14ac:dyDescent="0.25">
      <c r="A12" s="36" t="s">
        <v>253</v>
      </c>
      <c r="B12" s="63" t="s">
        <v>58</v>
      </c>
      <c r="C12" s="6">
        <v>25.350752</v>
      </c>
      <c r="D12" s="36" t="s">
        <v>273</v>
      </c>
      <c r="E12" s="63" t="s">
        <v>43</v>
      </c>
      <c r="F12" s="6">
        <v>-5.1637420000000001</v>
      </c>
      <c r="L12"/>
      <c r="M12"/>
    </row>
    <row r="13" spans="1:13" ht="15" x14ac:dyDescent="0.25">
      <c r="A13" s="35" t="s">
        <v>269</v>
      </c>
      <c r="B13" s="10" t="s">
        <v>83</v>
      </c>
      <c r="C13" s="8">
        <v>24.908207999999998</v>
      </c>
      <c r="D13" s="35" t="s">
        <v>139</v>
      </c>
      <c r="E13" s="10" t="s">
        <v>105</v>
      </c>
      <c r="F13" s="8">
        <v>-3.8719670000000002</v>
      </c>
      <c r="L13"/>
      <c r="M13"/>
    </row>
    <row r="14" spans="1:13" ht="15" x14ac:dyDescent="0.25">
      <c r="A14" s="36" t="s">
        <v>274</v>
      </c>
      <c r="B14" s="63" t="s">
        <v>32</v>
      </c>
      <c r="C14" s="6">
        <v>24.628114</v>
      </c>
      <c r="D14" s="36" t="s">
        <v>279</v>
      </c>
      <c r="E14" s="63" t="s">
        <v>116</v>
      </c>
      <c r="F14" s="6">
        <v>-3.6958094844099998</v>
      </c>
      <c r="L14"/>
      <c r="M14"/>
    </row>
    <row r="15" spans="1:13" ht="15" x14ac:dyDescent="0.25">
      <c r="A15" s="37" t="s">
        <v>33</v>
      </c>
      <c r="B15" s="33" t="s">
        <v>31</v>
      </c>
      <c r="C15" s="9">
        <v>19.834572000000001</v>
      </c>
      <c r="D15" s="37" t="s">
        <v>280</v>
      </c>
      <c r="E15" s="33" t="s">
        <v>103</v>
      </c>
      <c r="F15" s="9">
        <v>-3.2090415000000001</v>
      </c>
      <c r="L15"/>
      <c r="M15"/>
    </row>
    <row r="16" spans="1:13" ht="15" x14ac:dyDescent="0.2">
      <c r="A16" s="10"/>
      <c r="B16" s="10"/>
      <c r="C16" s="10"/>
      <c r="D16" s="31"/>
      <c r="E16" s="10"/>
      <c r="F16" s="10"/>
    </row>
    <row r="17" spans="1:11" x14ac:dyDescent="0.2">
      <c r="A17" s="10"/>
      <c r="B17" s="10"/>
      <c r="C17" s="10"/>
      <c r="D17" s="10"/>
      <c r="E17" s="10"/>
      <c r="F17" s="10"/>
    </row>
    <row r="18" spans="1:11" ht="28.5" customHeight="1" x14ac:dyDescent="0.2">
      <c r="A18" s="39" t="s">
        <v>3</v>
      </c>
      <c r="B18" s="3" t="s">
        <v>1</v>
      </c>
      <c r="C18" s="4" t="str">
        <f>C5</f>
        <v>Week of 30 September 2024</v>
      </c>
      <c r="D18" s="62" t="s">
        <v>4</v>
      </c>
      <c r="E18" s="60" t="s">
        <v>1</v>
      </c>
      <c r="F18" s="61" t="str">
        <f>+C18</f>
        <v>Week of 30 September 2024</v>
      </c>
    </row>
    <row r="19" spans="1:11" x14ac:dyDescent="0.2">
      <c r="A19" s="36" t="s">
        <v>27</v>
      </c>
      <c r="B19" s="63" t="s">
        <v>22</v>
      </c>
      <c r="C19" s="20">
        <v>43.270358999999999</v>
      </c>
      <c r="D19" s="82" t="s">
        <v>272</v>
      </c>
      <c r="E19" s="19" t="s">
        <v>249</v>
      </c>
      <c r="F19" s="6">
        <v>-110.684802</v>
      </c>
      <c r="I19" s="2"/>
    </row>
    <row r="20" spans="1:11" x14ac:dyDescent="0.2">
      <c r="A20" s="35" t="s">
        <v>28</v>
      </c>
      <c r="B20" s="10" t="s">
        <v>23</v>
      </c>
      <c r="C20" s="8">
        <v>32.257213</v>
      </c>
      <c r="D20" s="81" t="s">
        <v>34</v>
      </c>
      <c r="E20" s="22" t="s">
        <v>30</v>
      </c>
      <c r="F20" s="8">
        <v>-34.651631000000002</v>
      </c>
      <c r="I20" s="2"/>
    </row>
    <row r="21" spans="1:11" x14ac:dyDescent="0.2">
      <c r="A21" s="36" t="s">
        <v>61</v>
      </c>
      <c r="B21" s="63" t="s">
        <v>53</v>
      </c>
      <c r="C21" s="6">
        <v>28.932379000000001</v>
      </c>
      <c r="D21" s="83" t="s">
        <v>29</v>
      </c>
      <c r="E21" s="7" t="s">
        <v>24</v>
      </c>
      <c r="F21" s="6">
        <v>-27.470134999999999</v>
      </c>
      <c r="I21" s="2"/>
    </row>
    <row r="22" spans="1:11" x14ac:dyDescent="0.2">
      <c r="A22" s="35" t="s">
        <v>244</v>
      </c>
      <c r="B22" s="10" t="s">
        <v>108</v>
      </c>
      <c r="C22" s="8">
        <v>10.776928</v>
      </c>
      <c r="D22" s="81" t="s">
        <v>33</v>
      </c>
      <c r="E22" s="22" t="s">
        <v>31</v>
      </c>
      <c r="F22" s="8">
        <v>-26.627714000000001</v>
      </c>
      <c r="I22" s="2"/>
    </row>
    <row r="23" spans="1:11" x14ac:dyDescent="0.2">
      <c r="A23" s="36" t="s">
        <v>26</v>
      </c>
      <c r="B23" s="63" t="s">
        <v>21</v>
      </c>
      <c r="C23" s="6">
        <v>10.433468</v>
      </c>
      <c r="D23" s="83" t="s">
        <v>148</v>
      </c>
      <c r="E23" s="7" t="s">
        <v>32</v>
      </c>
      <c r="F23" s="6">
        <v>-15.754841000000001</v>
      </c>
      <c r="I23" s="2"/>
    </row>
    <row r="24" spans="1:11" x14ac:dyDescent="0.2">
      <c r="A24" s="35" t="s">
        <v>266</v>
      </c>
      <c r="B24" s="10" t="s">
        <v>41</v>
      </c>
      <c r="C24" s="8">
        <v>7.6766769999999998</v>
      </c>
      <c r="D24" s="81" t="s">
        <v>267</v>
      </c>
      <c r="E24" s="22" t="s">
        <v>35</v>
      </c>
      <c r="F24" s="8">
        <v>-13.64528</v>
      </c>
      <c r="I24" s="2"/>
    </row>
    <row r="25" spans="1:11" x14ac:dyDescent="0.2">
      <c r="A25" s="36" t="s">
        <v>60</v>
      </c>
      <c r="B25" s="63" t="s">
        <v>51</v>
      </c>
      <c r="C25" s="6">
        <v>4.0166550000000001</v>
      </c>
      <c r="D25" s="83" t="s">
        <v>281</v>
      </c>
      <c r="E25" s="7" t="s">
        <v>123</v>
      </c>
      <c r="F25" s="6">
        <v>-9.6649670000000008</v>
      </c>
      <c r="I25" s="2"/>
    </row>
    <row r="26" spans="1:11" x14ac:dyDescent="0.2">
      <c r="A26" s="35" t="s">
        <v>273</v>
      </c>
      <c r="B26" s="10" t="s">
        <v>43</v>
      </c>
      <c r="C26" s="8">
        <v>3.446034</v>
      </c>
      <c r="D26" s="81" t="s">
        <v>269</v>
      </c>
      <c r="E26" s="22" t="s">
        <v>83</v>
      </c>
      <c r="F26" s="8">
        <v>-9.1393360000000001</v>
      </c>
      <c r="I26" s="2"/>
    </row>
    <row r="27" spans="1:11" x14ac:dyDescent="0.2">
      <c r="A27" s="36" t="s">
        <v>280</v>
      </c>
      <c r="B27" s="63" t="s">
        <v>103</v>
      </c>
      <c r="C27" s="6">
        <v>2.9120330000000001</v>
      </c>
      <c r="D27" s="36" t="s">
        <v>275</v>
      </c>
      <c r="E27" s="7" t="s">
        <v>111</v>
      </c>
      <c r="F27" s="6">
        <v>-7.1445460000000001</v>
      </c>
      <c r="I27" s="2"/>
    </row>
    <row r="28" spans="1:11" x14ac:dyDescent="0.2">
      <c r="A28" s="37" t="s">
        <v>283</v>
      </c>
      <c r="B28" s="33" t="s">
        <v>127</v>
      </c>
      <c r="C28" s="9">
        <v>2.822899</v>
      </c>
      <c r="D28" s="84" t="s">
        <v>64</v>
      </c>
      <c r="E28" s="77" t="s">
        <v>55</v>
      </c>
      <c r="F28" s="9">
        <v>-6.7840746403000001</v>
      </c>
      <c r="I28" s="2"/>
    </row>
    <row r="29" spans="1:11" x14ac:dyDescent="0.2">
      <c r="A29" s="10"/>
      <c r="B29" s="10"/>
      <c r="C29" s="10"/>
      <c r="D29" s="10"/>
      <c r="E29" s="10"/>
      <c r="F29" s="10"/>
      <c r="K29" s="2" t="str">
        <f t="shared" ref="K29" si="0">PROPER(D29)</f>
        <v/>
      </c>
    </row>
    <row r="30" spans="1:11" x14ac:dyDescent="0.2">
      <c r="A30" s="11" t="s">
        <v>242</v>
      </c>
      <c r="B30" s="11"/>
      <c r="C30" s="10"/>
      <c r="D30" s="10"/>
      <c r="E30" s="10"/>
      <c r="F30" s="10"/>
    </row>
    <row r="31" spans="1:11" x14ac:dyDescent="0.2">
      <c r="A31" s="11" t="s">
        <v>80</v>
      </c>
      <c r="B31" s="11"/>
      <c r="C31" s="10"/>
      <c r="D31" s="10"/>
      <c r="E31" s="10"/>
      <c r="F31" s="10"/>
    </row>
    <row r="32" spans="1:11" x14ac:dyDescent="0.2">
      <c r="A32" s="11" t="s">
        <v>243</v>
      </c>
      <c r="B32" s="11"/>
      <c r="C32" s="10"/>
      <c r="D32" s="10"/>
      <c r="E32" s="10"/>
      <c r="F32" s="10"/>
    </row>
    <row r="33" spans="1:9" x14ac:dyDescent="0.2">
      <c r="A33" s="11" t="s">
        <v>6</v>
      </c>
      <c r="B33" s="11"/>
      <c r="C33" s="10"/>
      <c r="D33" s="10"/>
      <c r="E33" s="10"/>
      <c r="F33" s="10"/>
    </row>
    <row r="34" spans="1:9" x14ac:dyDescent="0.2">
      <c r="A34" s="80"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259</v>
      </c>
      <c r="B38" s="24"/>
      <c r="C38" s="25"/>
      <c r="D38" s="25"/>
      <c r="E38" s="24"/>
      <c r="F38" s="24"/>
      <c r="I38" s="38"/>
    </row>
    <row r="39" spans="1:9" s="30" customFormat="1" ht="19.350000000000001" customHeight="1" x14ac:dyDescent="0.25">
      <c r="A39" s="27" t="s">
        <v>258</v>
      </c>
      <c r="B39" s="28"/>
      <c r="C39" s="29"/>
      <c r="D39" s="29"/>
      <c r="E39" s="28"/>
      <c r="F39" s="28"/>
      <c r="I39" s="41"/>
    </row>
    <row r="40" spans="1:9" ht="169.35" customHeight="1" x14ac:dyDescent="0.2">
      <c r="A40" s="85" t="s">
        <v>268</v>
      </c>
      <c r="B40" s="85"/>
      <c r="C40" s="85"/>
      <c r="D40" s="85"/>
      <c r="E40" s="85"/>
      <c r="F40" s="85"/>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6 E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6" t="s">
        <v>7</v>
      </c>
      <c r="B1" s="13"/>
      <c r="C1" s="88" t="s">
        <v>8</v>
      </c>
      <c r="D1" s="89"/>
      <c r="E1" s="89"/>
      <c r="F1" s="89"/>
      <c r="G1" s="89"/>
      <c r="H1" s="89"/>
      <c r="I1" s="89"/>
      <c r="J1" s="89"/>
      <c r="K1" s="89"/>
      <c r="L1" s="89"/>
      <c r="M1" s="89"/>
      <c r="N1" s="90"/>
    </row>
    <row r="2" spans="1:15" ht="75" x14ac:dyDescent="0.2">
      <c r="A2" s="87"/>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579.26187086877997</v>
      </c>
      <c r="B3" s="12">
        <v>45544</v>
      </c>
      <c r="C3" s="70">
        <v>4.7694001887599997</v>
      </c>
      <c r="D3" s="70">
        <v>-16.986942301200003</v>
      </c>
      <c r="E3" s="70">
        <v>13.7188921</v>
      </c>
      <c r="F3" s="70">
        <v>333.84616650000004</v>
      </c>
      <c r="G3" s="70">
        <v>-1.9753938484</v>
      </c>
      <c r="H3" s="70">
        <v>42.259565950359999</v>
      </c>
      <c r="I3" s="70">
        <v>-1.0360853999999997</v>
      </c>
      <c r="J3" s="70">
        <v>-13.272191615500001</v>
      </c>
      <c r="K3" s="70">
        <v>62.659459294759984</v>
      </c>
      <c r="L3" s="70">
        <v>-15.594180499999998</v>
      </c>
      <c r="M3" s="70">
        <v>145.40132740000001</v>
      </c>
      <c r="N3" s="70">
        <v>25.471853100000001</v>
      </c>
    </row>
    <row r="4" spans="1:15" ht="15" x14ac:dyDescent="0.25">
      <c r="A4" s="44">
        <f>SUM(C4:N4)</f>
        <v>361.41233199214997</v>
      </c>
      <c r="B4" s="71">
        <v>45551</v>
      </c>
      <c r="C4" s="15">
        <v>-3.6167976337299996</v>
      </c>
      <c r="D4" s="15">
        <v>-10.683264080099999</v>
      </c>
      <c r="E4" s="15">
        <v>0.57096060000000026</v>
      </c>
      <c r="F4" s="15">
        <v>272.78653009999999</v>
      </c>
      <c r="G4" s="15">
        <v>-0.95187777459999945</v>
      </c>
      <c r="H4" s="15">
        <v>97.585005001490018</v>
      </c>
      <c r="I4" s="15">
        <v>2.9515736999999995</v>
      </c>
      <c r="J4" s="15">
        <v>-14.528606932099999</v>
      </c>
      <c r="K4" s="15">
        <v>-125.22553398881</v>
      </c>
      <c r="L4" s="15">
        <v>-2.3070768000000004</v>
      </c>
      <c r="M4" s="15">
        <v>118.8972493</v>
      </c>
      <c r="N4" s="15">
        <v>25.9341705</v>
      </c>
    </row>
    <row r="5" spans="1:15" ht="15" x14ac:dyDescent="0.25">
      <c r="A5" s="44">
        <f>SUM(C5:N5)</f>
        <v>-242.11250134324004</v>
      </c>
      <c r="B5" s="12">
        <v>45558</v>
      </c>
      <c r="C5" s="70">
        <v>3.2855905503099998</v>
      </c>
      <c r="D5" s="70">
        <v>3.7810477172999981</v>
      </c>
      <c r="E5" s="70">
        <v>2.4007727999999999</v>
      </c>
      <c r="F5" s="70">
        <v>-182.06727930000002</v>
      </c>
      <c r="G5" s="70">
        <v>-6.914287668300001</v>
      </c>
      <c r="H5" s="70">
        <v>-51.449444447259985</v>
      </c>
      <c r="I5" s="70">
        <v>0.84545689999999984</v>
      </c>
      <c r="J5" s="70">
        <v>-7.472570157999999</v>
      </c>
      <c r="K5" s="70">
        <v>103.12008316270997</v>
      </c>
      <c r="L5" s="70">
        <v>0.39070790000000022</v>
      </c>
      <c r="M5" s="70">
        <v>-130.67926649999998</v>
      </c>
      <c r="N5" s="70">
        <v>22.646687699999998</v>
      </c>
    </row>
    <row r="6" spans="1:15" ht="15" x14ac:dyDescent="0.25">
      <c r="A6" s="44">
        <f>SUM(C6:N6)</f>
        <v>238.76614737414002</v>
      </c>
      <c r="B6" s="12">
        <v>45565</v>
      </c>
      <c r="C6" s="70">
        <v>25.209282964290004</v>
      </c>
      <c r="D6" s="70">
        <v>-12.2565188601</v>
      </c>
      <c r="E6" s="70">
        <v>3.7425486999999995</v>
      </c>
      <c r="F6" s="70">
        <v>23.14602469999998</v>
      </c>
      <c r="G6" s="70">
        <v>-0.25081433349999993</v>
      </c>
      <c r="H6" s="70">
        <v>166.67518639301002</v>
      </c>
      <c r="I6" s="70">
        <v>-3.7034397999999999</v>
      </c>
      <c r="J6" s="70">
        <v>15.502276154099999</v>
      </c>
      <c r="K6" s="70">
        <v>38.029876356340012</v>
      </c>
      <c r="L6" s="70">
        <v>2.8579928999999997</v>
      </c>
      <c r="M6" s="70">
        <v>-17.860573299999999</v>
      </c>
      <c r="N6" s="70">
        <v>-2.3256945</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6" t="s">
        <v>7</v>
      </c>
      <c r="B1" s="13"/>
      <c r="C1" s="88" t="s">
        <v>8</v>
      </c>
      <c r="D1" s="89"/>
      <c r="E1" s="89"/>
      <c r="F1" s="89"/>
      <c r="G1" s="89"/>
      <c r="H1" s="89"/>
      <c r="I1" s="89"/>
      <c r="J1" s="89"/>
      <c r="K1" s="89"/>
      <c r="L1" s="89"/>
      <c r="M1" s="89"/>
      <c r="N1" s="90"/>
    </row>
    <row r="2" spans="1:18" ht="75" x14ac:dyDescent="0.2">
      <c r="A2" s="87"/>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-749.29691154520992</v>
      </c>
      <c r="B3" s="64">
        <v>45544</v>
      </c>
      <c r="C3" s="56">
        <v>-8.7316629278199986</v>
      </c>
      <c r="D3" s="56">
        <v>9.8494995893000006</v>
      </c>
      <c r="E3" s="56">
        <v>-17.728075999999998</v>
      </c>
      <c r="F3" s="56">
        <v>-556.37350429999992</v>
      </c>
      <c r="G3" s="56">
        <v>3.0864258310000001</v>
      </c>
      <c r="H3" s="56">
        <v>-76.506139263180032</v>
      </c>
      <c r="I3" s="56">
        <v>-0.15559000000000006</v>
      </c>
      <c r="J3" s="56">
        <v>1.4411315452</v>
      </c>
      <c r="K3" s="56">
        <v>-7.6460319197100004</v>
      </c>
      <c r="L3" s="56">
        <v>11.1581344</v>
      </c>
      <c r="M3" s="56">
        <v>-84.647947299999998</v>
      </c>
      <c r="N3" s="56">
        <v>-23.043151200000001</v>
      </c>
      <c r="P3" s="14"/>
    </row>
    <row r="4" spans="1:18" ht="15" x14ac:dyDescent="0.25">
      <c r="A4" s="65">
        <f>SUM(C4:N4)</f>
        <v>-532.90444328361014</v>
      </c>
      <c r="B4" s="12">
        <v>45551</v>
      </c>
      <c r="C4" s="75">
        <v>-6.7504779066499996</v>
      </c>
      <c r="D4" s="75">
        <v>-0.79246723819999931</v>
      </c>
      <c r="E4" s="75">
        <v>-1.9802356999999997</v>
      </c>
      <c r="F4" s="75">
        <v>-389.37833090000004</v>
      </c>
      <c r="G4" s="75">
        <v>-1.6063528024999996</v>
      </c>
      <c r="H4" s="75">
        <v>-108.56912602737003</v>
      </c>
      <c r="I4" s="75">
        <v>0.30959619999999999</v>
      </c>
      <c r="J4" s="75">
        <v>12.281219553100001</v>
      </c>
      <c r="K4" s="75">
        <v>66.85371753800996</v>
      </c>
      <c r="L4" s="75">
        <v>-5.886774100000002</v>
      </c>
      <c r="M4" s="75">
        <v>-64.291403700000004</v>
      </c>
      <c r="N4" s="75">
        <v>-33.093808199999998</v>
      </c>
      <c r="P4" s="14"/>
    </row>
    <row r="5" spans="1:18" ht="15" x14ac:dyDescent="0.25">
      <c r="A5" s="65">
        <f>SUM(C5:N5)</f>
        <v>-89.878298098020025</v>
      </c>
      <c r="B5" s="64">
        <v>45558</v>
      </c>
      <c r="C5" s="56">
        <v>-22.33646664139</v>
      </c>
      <c r="D5" s="56">
        <v>-23.090540718599996</v>
      </c>
      <c r="E5" s="56">
        <v>-3.7698711000000014</v>
      </c>
      <c r="F5" s="56">
        <v>-13.813603200000003</v>
      </c>
      <c r="G5" s="56">
        <v>6.5413660613000006</v>
      </c>
      <c r="H5" s="56">
        <v>18.139884338449995</v>
      </c>
      <c r="I5" s="56">
        <v>-0.17825279999999999</v>
      </c>
      <c r="J5" s="56">
        <v>4.1217289680000002</v>
      </c>
      <c r="K5" s="56">
        <v>-37.228733305780011</v>
      </c>
      <c r="L5" s="56">
        <v>-6.3666527000000031</v>
      </c>
      <c r="M5" s="56">
        <v>19.831786700000002</v>
      </c>
      <c r="N5" s="56">
        <v>-31.728943700000002</v>
      </c>
      <c r="P5" s="14"/>
    </row>
    <row r="6" spans="1:18" ht="15" x14ac:dyDescent="0.25">
      <c r="A6" s="65">
        <f>SUM(C6:N6)</f>
        <v>-167.61482112674003</v>
      </c>
      <c r="B6" s="64">
        <v>45565</v>
      </c>
      <c r="C6" s="56">
        <v>-13.942945499149999</v>
      </c>
      <c r="D6" s="56">
        <v>8.6089647168000027</v>
      </c>
      <c r="E6" s="56">
        <v>-6.0740441999999994</v>
      </c>
      <c r="F6" s="56">
        <v>42.063998000000005</v>
      </c>
      <c r="G6" s="56">
        <v>0.68982875219999962</v>
      </c>
      <c r="H6" s="56">
        <v>-167.48584907013003</v>
      </c>
      <c r="I6" s="56">
        <v>3.4222087999999999</v>
      </c>
      <c r="J6" s="56">
        <v>-9.9906886403000019</v>
      </c>
      <c r="K6" s="56">
        <v>-10.17751298616</v>
      </c>
      <c r="L6" s="56">
        <v>-6.7956092999999989</v>
      </c>
      <c r="M6" s="56">
        <v>-2.8211069000000006</v>
      </c>
      <c r="N6" s="56">
        <v>-5.1120647999999997</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s="49"/>
      <c r="D15" s="49"/>
      <c r="E15" s="49"/>
      <c r="F15" s="49"/>
      <c r="G15" s="49"/>
      <c r="H15" s="49"/>
      <c r="I15" s="49"/>
      <c r="J15" s="49"/>
      <c r="K15" s="49"/>
      <c r="L15" s="49"/>
      <c r="M15" s="49"/>
      <c r="N15" s="49"/>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30 September 2024</v>
      </c>
      <c r="B1" s="16" t="s">
        <v>1</v>
      </c>
      <c r="C1" s="17" t="s">
        <v>71</v>
      </c>
      <c r="D1" s="17" t="s">
        <v>72</v>
      </c>
    </row>
    <row r="2" spans="1:5" x14ac:dyDescent="0.25">
      <c r="A2" s="18" t="s">
        <v>87</v>
      </c>
      <c r="B2" s="19" t="s">
        <v>25</v>
      </c>
      <c r="C2" s="20">
        <v>1.005668</v>
      </c>
      <c r="D2" s="20">
        <v>-1.481997</v>
      </c>
      <c r="E2" s="38"/>
    </row>
    <row r="3" spans="1:5" x14ac:dyDescent="0.25">
      <c r="A3" s="21" t="s">
        <v>77</v>
      </c>
      <c r="B3" s="22" t="s">
        <v>56</v>
      </c>
      <c r="C3" s="8">
        <v>-2.6173639999999998</v>
      </c>
      <c r="D3" s="8">
        <v>-0.64146499999999995</v>
      </c>
      <c r="E3" s="38"/>
    </row>
    <row r="4" spans="1:5" x14ac:dyDescent="0.25">
      <c r="A4" s="5" t="s">
        <v>84</v>
      </c>
      <c r="B4" s="7" t="s">
        <v>83</v>
      </c>
      <c r="C4" s="6">
        <v>24.908207999999998</v>
      </c>
      <c r="D4" s="6">
        <v>-9.1393360000000001</v>
      </c>
      <c r="E4" s="38"/>
    </row>
    <row r="5" spans="1:5" x14ac:dyDescent="0.25">
      <c r="A5" s="21" t="s">
        <v>63</v>
      </c>
      <c r="B5" s="22" t="s">
        <v>54</v>
      </c>
      <c r="C5" s="8">
        <v>8.0078069999999997</v>
      </c>
      <c r="D5" s="8">
        <v>-3.9235060000000002</v>
      </c>
      <c r="E5" s="38"/>
    </row>
    <row r="6" spans="1:5" x14ac:dyDescent="0.25">
      <c r="A6" s="5" t="s">
        <v>26</v>
      </c>
      <c r="B6" s="7" t="s">
        <v>21</v>
      </c>
      <c r="C6" s="6">
        <v>47.349448000000002</v>
      </c>
      <c r="D6" s="6">
        <v>10.433468</v>
      </c>
      <c r="E6" s="38"/>
    </row>
    <row r="7" spans="1:5" x14ac:dyDescent="0.25">
      <c r="A7" s="21" t="s">
        <v>85</v>
      </c>
      <c r="B7" s="22" t="s">
        <v>57</v>
      </c>
      <c r="C7" s="8">
        <v>1.9297439399</v>
      </c>
      <c r="D7" s="8">
        <v>0.22104091680000049</v>
      </c>
      <c r="E7" s="38"/>
    </row>
    <row r="8" spans="1:5" x14ac:dyDescent="0.25">
      <c r="A8" s="5" t="s">
        <v>244</v>
      </c>
      <c r="B8" s="7" t="s">
        <v>108</v>
      </c>
      <c r="C8" s="6">
        <v>-15.336527</v>
      </c>
      <c r="D8" s="6">
        <v>10.776928</v>
      </c>
      <c r="E8" s="38"/>
    </row>
    <row r="9" spans="1:5" x14ac:dyDescent="0.25">
      <c r="A9" s="21" t="s">
        <v>79</v>
      </c>
      <c r="B9" s="22" t="s">
        <v>78</v>
      </c>
      <c r="C9" s="8">
        <v>-2.3838849999999998</v>
      </c>
      <c r="D9" s="8">
        <v>-1.6883440000000001</v>
      </c>
      <c r="E9" s="38"/>
    </row>
    <row r="10" spans="1:5" x14ac:dyDescent="0.25">
      <c r="A10" s="5" t="s">
        <v>36</v>
      </c>
      <c r="B10" s="7" t="s">
        <v>35</v>
      </c>
      <c r="C10" s="6">
        <v>26.9511045</v>
      </c>
      <c r="D10" s="6">
        <v>-13.64528</v>
      </c>
      <c r="E10" s="38"/>
    </row>
    <row r="11" spans="1:5" x14ac:dyDescent="0.25">
      <c r="A11" s="21" t="s">
        <v>64</v>
      </c>
      <c r="B11" s="22" t="s">
        <v>55</v>
      </c>
      <c r="C11" s="8">
        <v>7.5769541540999974</v>
      </c>
      <c r="D11" s="8">
        <v>-6.7840746403000001</v>
      </c>
      <c r="E11" s="38"/>
    </row>
    <row r="12" spans="1:5" x14ac:dyDescent="0.25">
      <c r="A12" s="5" t="s">
        <v>50</v>
      </c>
      <c r="B12" s="7" t="s">
        <v>48</v>
      </c>
      <c r="C12" s="6">
        <v>1.856419</v>
      </c>
      <c r="D12" s="6">
        <v>0.12246899999999999</v>
      </c>
      <c r="E12" s="38"/>
    </row>
    <row r="13" spans="1:5" x14ac:dyDescent="0.25">
      <c r="A13" s="21" t="s">
        <v>62</v>
      </c>
      <c r="B13" s="22" t="s">
        <v>52</v>
      </c>
      <c r="C13" s="8">
        <v>13.5878734504</v>
      </c>
      <c r="D13" s="8">
        <v>-3.9691081050000001</v>
      </c>
      <c r="E13" s="38"/>
    </row>
    <row r="14" spans="1:5" x14ac:dyDescent="0.25">
      <c r="A14" s="5" t="s">
        <v>148</v>
      </c>
      <c r="B14" s="7" t="s">
        <v>32</v>
      </c>
      <c r="C14" s="6">
        <v>24.628114</v>
      </c>
      <c r="D14" s="6">
        <v>-15.754841000000001</v>
      </c>
      <c r="E14" s="38"/>
    </row>
    <row r="15" spans="1:5" x14ac:dyDescent="0.25">
      <c r="A15" s="21" t="s">
        <v>75</v>
      </c>
      <c r="B15" s="22" t="s">
        <v>74</v>
      </c>
      <c r="C15" s="8">
        <v>-2.0132910000000002</v>
      </c>
      <c r="D15" s="8">
        <v>-6.0991569999999999</v>
      </c>
      <c r="E15" s="38"/>
    </row>
    <row r="16" spans="1:5" x14ac:dyDescent="0.25">
      <c r="A16" s="5" t="s">
        <v>40</v>
      </c>
      <c r="B16" s="7" t="s">
        <v>38</v>
      </c>
      <c r="C16" s="6">
        <v>30.698239999999998</v>
      </c>
      <c r="D16" s="6">
        <v>-0.88628499999999999</v>
      </c>
      <c r="E16" s="38"/>
    </row>
    <row r="17" spans="1:5" x14ac:dyDescent="0.25">
      <c r="A17" s="21" t="s">
        <v>253</v>
      </c>
      <c r="B17" s="22" t="s">
        <v>58</v>
      </c>
      <c r="C17" s="8">
        <v>25.350752</v>
      </c>
      <c r="D17" s="8">
        <v>-2.5170539999999999</v>
      </c>
      <c r="E17" s="38"/>
    </row>
    <row r="18" spans="1:5" x14ac:dyDescent="0.25">
      <c r="A18" s="5" t="s">
        <v>27</v>
      </c>
      <c r="B18" s="7" t="s">
        <v>22</v>
      </c>
      <c r="C18" s="6">
        <v>-37.982849000000002</v>
      </c>
      <c r="D18" s="6">
        <v>43.270358999999999</v>
      </c>
      <c r="E18" s="38"/>
    </row>
    <row r="19" spans="1:5" x14ac:dyDescent="0.25">
      <c r="A19" s="21" t="s">
        <v>34</v>
      </c>
      <c r="B19" s="22" t="s">
        <v>30</v>
      </c>
      <c r="C19" s="8">
        <v>26.157474000000001</v>
      </c>
      <c r="D19" s="8">
        <v>-34.651631000000002</v>
      </c>
      <c r="E19" s="38"/>
    </row>
    <row r="20" spans="1:5" x14ac:dyDescent="0.25">
      <c r="A20" s="5" t="s">
        <v>142</v>
      </c>
      <c r="B20" s="7" t="s">
        <v>249</v>
      </c>
      <c r="C20" s="6">
        <v>85.580378999999994</v>
      </c>
      <c r="D20" s="6">
        <v>-110.684802</v>
      </c>
      <c r="E20" s="38"/>
    </row>
    <row r="21" spans="1:5" x14ac:dyDescent="0.25">
      <c r="A21" s="21" t="s">
        <v>45</v>
      </c>
      <c r="B21" s="22" t="s">
        <v>42</v>
      </c>
      <c r="C21" s="8">
        <v>-2.0729829999999998</v>
      </c>
      <c r="D21" s="8">
        <v>-5.2803779999999998</v>
      </c>
      <c r="E21" s="38"/>
    </row>
    <row r="22" spans="1:5" x14ac:dyDescent="0.25">
      <c r="A22" s="5" t="s">
        <v>33</v>
      </c>
      <c r="B22" s="7" t="s">
        <v>31</v>
      </c>
      <c r="C22" s="6">
        <v>19.834572000000001</v>
      </c>
      <c r="D22" s="6">
        <v>-26.627714000000001</v>
      </c>
      <c r="E22" s="38"/>
    </row>
    <row r="23" spans="1:5" x14ac:dyDescent="0.25">
      <c r="A23" s="21" t="s">
        <v>29</v>
      </c>
      <c r="B23" s="22" t="s">
        <v>24</v>
      </c>
      <c r="C23" s="8">
        <v>44.269132999999997</v>
      </c>
      <c r="D23" s="8">
        <v>-27.470134999999999</v>
      </c>
      <c r="E23" s="38"/>
    </row>
    <row r="24" spans="1:5" x14ac:dyDescent="0.25">
      <c r="A24" s="5" t="s">
        <v>39</v>
      </c>
      <c r="B24" s="7" t="s">
        <v>37</v>
      </c>
      <c r="C24" s="6">
        <v>11.759857</v>
      </c>
      <c r="D24" s="6">
        <v>-3.2006269999999999</v>
      </c>
      <c r="E24" s="38"/>
    </row>
    <row r="25" spans="1:5" x14ac:dyDescent="0.25">
      <c r="A25" s="21" t="s">
        <v>49</v>
      </c>
      <c r="B25" s="22" t="s">
        <v>47</v>
      </c>
      <c r="C25" s="8">
        <v>-14.747684899999999</v>
      </c>
      <c r="D25" s="8">
        <v>-5.4802115000000002</v>
      </c>
      <c r="E25" s="38"/>
    </row>
    <row r="26" spans="1:5" x14ac:dyDescent="0.25">
      <c r="A26" s="5" t="s">
        <v>60</v>
      </c>
      <c r="B26" s="7" t="s">
        <v>51</v>
      </c>
      <c r="C26" s="6">
        <v>-12.784622499999999</v>
      </c>
      <c r="D26" s="6">
        <v>4.0166550000000001</v>
      </c>
      <c r="E26" s="38"/>
    </row>
    <row r="27" spans="1:5" x14ac:dyDescent="0.25">
      <c r="A27" s="21" t="s">
        <v>28</v>
      </c>
      <c r="B27" s="22" t="s">
        <v>23</v>
      </c>
      <c r="C27" s="8">
        <v>-60.176321000000002</v>
      </c>
      <c r="D27" s="8">
        <v>32.257213</v>
      </c>
      <c r="E27" s="38"/>
    </row>
    <row r="28" spans="1:5" x14ac:dyDescent="0.25">
      <c r="A28" s="5" t="s">
        <v>65</v>
      </c>
      <c r="B28" s="7" t="s">
        <v>59</v>
      </c>
      <c r="C28" s="6">
        <v>2.84531</v>
      </c>
      <c r="D28" s="6">
        <v>-2.635008</v>
      </c>
      <c r="E28" s="38"/>
    </row>
    <row r="29" spans="1:5" x14ac:dyDescent="0.25">
      <c r="A29" s="21" t="s">
        <v>46</v>
      </c>
      <c r="B29" s="22" t="s">
        <v>43</v>
      </c>
      <c r="C29" s="8">
        <v>-5.1637420000000001</v>
      </c>
      <c r="D29" s="8">
        <v>3.446034</v>
      </c>
      <c r="E29" s="38"/>
    </row>
    <row r="30" spans="1:5" x14ac:dyDescent="0.25">
      <c r="A30" s="5" t="s">
        <v>44</v>
      </c>
      <c r="B30" s="7" t="s">
        <v>41</v>
      </c>
      <c r="C30" s="6">
        <v>-8.7549000000000002E-2</v>
      </c>
      <c r="D30" s="6">
        <v>7.6766769999999998</v>
      </c>
      <c r="E30" s="38"/>
    </row>
    <row r="31" spans="1:5" ht="15.75" thickBot="1" x14ac:dyDescent="0.3">
      <c r="A31" s="21" t="s">
        <v>61</v>
      </c>
      <c r="B31" s="22" t="s">
        <v>53</v>
      </c>
      <c r="C31" s="8">
        <v>-14.579039</v>
      </c>
      <c r="D31" s="8">
        <v>28.932379000000001</v>
      </c>
      <c r="E31" s="38"/>
    </row>
    <row r="32" spans="1:5" ht="21" customHeight="1" thickBot="1" x14ac:dyDescent="0.3">
      <c r="A32" s="91" t="s">
        <v>66</v>
      </c>
      <c r="B32" s="92"/>
      <c r="C32" s="58">
        <f>SUM(C2:C31)</f>
        <v>234.35119964439991</v>
      </c>
      <c r="D32" s="59">
        <f>SUM(D2:D31)</f>
        <v>-141.40773132850001</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30 September 2024</v>
      </c>
      <c r="B1" s="16" t="s">
        <v>1</v>
      </c>
      <c r="C1" s="47" t="s">
        <v>98</v>
      </c>
      <c r="D1" s="17" t="s">
        <v>97</v>
      </c>
      <c r="E1" s="17" t="s">
        <v>99</v>
      </c>
      <c r="F1" s="17" t="s">
        <v>100</v>
      </c>
      <c r="G1" s="52"/>
      <c r="H1" s="79"/>
      <c r="I1" s="79"/>
      <c r="J1" s="79"/>
      <c r="L1" s="79"/>
      <c r="M1" s="79"/>
    </row>
    <row r="2" spans="1:17" x14ac:dyDescent="0.25">
      <c r="A2" s="18" t="s">
        <v>26</v>
      </c>
      <c r="B2" s="19" t="s">
        <v>21</v>
      </c>
      <c r="C2" s="53">
        <v>158.4950836954167</v>
      </c>
      <c r="D2" s="53">
        <v>-30.296735699999982</v>
      </c>
      <c r="E2" s="53">
        <v>47.349448000000002</v>
      </c>
      <c r="F2" s="20" t="s">
        <v>13</v>
      </c>
      <c r="G2" s="52"/>
      <c r="O2" s="73"/>
      <c r="P2" s="73"/>
      <c r="Q2" s="73"/>
    </row>
    <row r="3" spans="1:17" x14ac:dyDescent="0.25">
      <c r="A3" s="21" t="s">
        <v>49</v>
      </c>
      <c r="B3" s="22" t="s">
        <v>47</v>
      </c>
      <c r="C3" s="54">
        <v>96.425666508687499</v>
      </c>
      <c r="D3" s="54">
        <v>837.4217617999999</v>
      </c>
      <c r="E3" s="54">
        <v>-14.747684900000001</v>
      </c>
      <c r="F3" s="8" t="s">
        <v>157</v>
      </c>
      <c r="G3" s="52"/>
      <c r="O3" s="73"/>
      <c r="P3" s="73"/>
      <c r="Q3" s="73"/>
    </row>
    <row r="4" spans="1:17" x14ac:dyDescent="0.25">
      <c r="A4" s="5" t="s">
        <v>28</v>
      </c>
      <c r="B4" s="7" t="s">
        <v>23</v>
      </c>
      <c r="C4" s="55">
        <v>84.768893907817713</v>
      </c>
      <c r="D4" s="55">
        <v>498.07185480000004</v>
      </c>
      <c r="E4" s="55">
        <v>-60.176321000000002</v>
      </c>
      <c r="F4" s="6" t="s">
        <v>13</v>
      </c>
      <c r="G4" s="52"/>
      <c r="O4" s="73"/>
      <c r="P4" s="73"/>
      <c r="Q4" s="73"/>
    </row>
    <row r="5" spans="1:17" x14ac:dyDescent="0.25">
      <c r="A5" s="21" t="s">
        <v>161</v>
      </c>
      <c r="B5" s="22" t="s">
        <v>22</v>
      </c>
      <c r="C5" s="54">
        <v>79.022743505661452</v>
      </c>
      <c r="D5" s="54">
        <v>249.73717209999998</v>
      </c>
      <c r="E5" s="54">
        <v>-37.982849000000002</v>
      </c>
      <c r="F5" s="8" t="s">
        <v>13</v>
      </c>
      <c r="G5" s="52"/>
      <c r="O5" s="73"/>
      <c r="P5" s="73"/>
      <c r="Q5" s="73"/>
    </row>
    <row r="6" spans="1:17" x14ac:dyDescent="0.25">
      <c r="A6" s="5" t="s">
        <v>282</v>
      </c>
      <c r="B6" s="7" t="s">
        <v>249</v>
      </c>
      <c r="C6" s="55">
        <v>59.584842911584907</v>
      </c>
      <c r="D6" s="55">
        <v>-113.75886</v>
      </c>
      <c r="E6" s="55">
        <v>85.580378999999994</v>
      </c>
      <c r="F6" s="6" t="s">
        <v>14</v>
      </c>
      <c r="G6" s="52"/>
      <c r="O6" s="73"/>
      <c r="P6" s="73"/>
      <c r="Q6" s="73"/>
    </row>
    <row r="7" spans="1:17" x14ac:dyDescent="0.25">
      <c r="A7" s="21" t="s">
        <v>162</v>
      </c>
      <c r="B7" s="22" t="s">
        <v>56</v>
      </c>
      <c r="C7" s="54">
        <v>49.62984829755208</v>
      </c>
      <c r="D7" s="54">
        <v>-26.470376000000002</v>
      </c>
      <c r="E7" s="54">
        <v>-2.6173639999999998</v>
      </c>
      <c r="F7" s="8" t="s">
        <v>17</v>
      </c>
      <c r="G7" s="52"/>
      <c r="O7" s="73"/>
      <c r="P7" s="73"/>
      <c r="Q7" s="73"/>
    </row>
    <row r="8" spans="1:17" x14ac:dyDescent="0.25">
      <c r="A8" s="5" t="s">
        <v>164</v>
      </c>
      <c r="B8" s="7" t="s">
        <v>53</v>
      </c>
      <c r="C8" s="55">
        <v>46.583041897177075</v>
      </c>
      <c r="D8" s="55">
        <v>17.338041799999999</v>
      </c>
      <c r="E8" s="55">
        <v>-14.579039</v>
      </c>
      <c r="F8" s="6" t="s">
        <v>14</v>
      </c>
      <c r="G8" s="52"/>
      <c r="O8" s="73"/>
      <c r="P8" s="73"/>
      <c r="Q8" s="73"/>
    </row>
    <row r="9" spans="1:17" x14ac:dyDescent="0.25">
      <c r="A9" s="21" t="s">
        <v>33</v>
      </c>
      <c r="B9" s="22" t="s">
        <v>31</v>
      </c>
      <c r="C9" s="54">
        <v>38.269431519531253</v>
      </c>
      <c r="D9" s="54">
        <v>-504.44741099999999</v>
      </c>
      <c r="E9" s="54">
        <v>19.834572000000001</v>
      </c>
      <c r="F9" s="8" t="s">
        <v>14</v>
      </c>
      <c r="G9" s="52"/>
      <c r="O9" s="73"/>
      <c r="P9" s="73"/>
      <c r="Q9" s="73"/>
    </row>
    <row r="10" spans="1:17" x14ac:dyDescent="0.25">
      <c r="A10" s="5" t="s">
        <v>163</v>
      </c>
      <c r="B10" s="7" t="s">
        <v>25</v>
      </c>
      <c r="C10" s="55">
        <v>34.92976801442709</v>
      </c>
      <c r="D10" s="55">
        <v>-149.61869100000001</v>
      </c>
      <c r="E10" s="55">
        <v>1.005668</v>
      </c>
      <c r="F10" s="6" t="s">
        <v>17</v>
      </c>
      <c r="G10" s="52"/>
      <c r="O10" s="73"/>
      <c r="P10" s="73"/>
      <c r="Q10" s="73"/>
    </row>
    <row r="11" spans="1:17" x14ac:dyDescent="0.25">
      <c r="A11" s="21" t="s">
        <v>166</v>
      </c>
      <c r="B11" s="22" t="s">
        <v>38</v>
      </c>
      <c r="C11" s="54">
        <v>33.505845124270827</v>
      </c>
      <c r="D11" s="54">
        <v>-217.496486</v>
      </c>
      <c r="E11" s="54">
        <v>30.698239999999998</v>
      </c>
      <c r="F11" s="8" t="s">
        <v>17</v>
      </c>
      <c r="G11" s="52"/>
      <c r="O11" s="73"/>
      <c r="P11" s="73"/>
      <c r="Q11" s="73"/>
    </row>
    <row r="12" spans="1:17" x14ac:dyDescent="0.25">
      <c r="A12" s="5" t="s">
        <v>165</v>
      </c>
      <c r="B12" s="7" t="s">
        <v>83</v>
      </c>
      <c r="C12" s="55">
        <v>27.911900322390633</v>
      </c>
      <c r="D12" s="55">
        <v>-66.643815000000004</v>
      </c>
      <c r="E12" s="55">
        <v>24.908207999999998</v>
      </c>
      <c r="F12" s="6" t="s">
        <v>13</v>
      </c>
      <c r="G12" s="52"/>
      <c r="O12" s="73"/>
      <c r="P12" s="73"/>
      <c r="Q12" s="73"/>
    </row>
    <row r="13" spans="1:17" x14ac:dyDescent="0.25">
      <c r="A13" s="21" t="s">
        <v>167</v>
      </c>
      <c r="B13" s="22" t="s">
        <v>35</v>
      </c>
      <c r="C13" s="54">
        <v>26.60437796001041</v>
      </c>
      <c r="D13" s="54">
        <v>-147.92236299999999</v>
      </c>
      <c r="E13" s="54">
        <v>26.9511045</v>
      </c>
      <c r="F13" s="8" t="s">
        <v>10</v>
      </c>
      <c r="G13" s="52"/>
      <c r="O13" s="73"/>
      <c r="P13" s="73"/>
      <c r="Q13" s="73"/>
    </row>
    <row r="14" spans="1:17" x14ac:dyDescent="0.25">
      <c r="A14" s="5" t="s">
        <v>148</v>
      </c>
      <c r="B14" s="7" t="s">
        <v>32</v>
      </c>
      <c r="C14" s="55">
        <v>24.983306524015621</v>
      </c>
      <c r="D14" s="55">
        <v>-6.4546849999999996</v>
      </c>
      <c r="E14" s="55">
        <v>24.628114</v>
      </c>
      <c r="F14" s="6" t="s">
        <v>14</v>
      </c>
      <c r="G14" s="52"/>
      <c r="O14" s="73"/>
      <c r="P14" s="73"/>
      <c r="Q14" s="73"/>
    </row>
    <row r="15" spans="1:17" x14ac:dyDescent="0.25">
      <c r="A15" s="21" t="s">
        <v>173</v>
      </c>
      <c r="B15" s="22" t="s">
        <v>58</v>
      </c>
      <c r="C15" s="54">
        <v>23.243926536874998</v>
      </c>
      <c r="D15" s="54">
        <v>-63.479529999999997</v>
      </c>
      <c r="E15" s="54">
        <v>25.350752</v>
      </c>
      <c r="F15" s="8" t="s">
        <v>17</v>
      </c>
      <c r="G15" s="52"/>
      <c r="O15" s="73"/>
      <c r="P15" s="73"/>
      <c r="Q15" s="73"/>
    </row>
    <row r="16" spans="1:17" x14ac:dyDescent="0.25">
      <c r="A16" s="5" t="s">
        <v>29</v>
      </c>
      <c r="B16" s="7" t="s">
        <v>24</v>
      </c>
      <c r="C16" s="55">
        <v>20.717019781041671</v>
      </c>
      <c r="D16" s="55">
        <v>237.84911399999999</v>
      </c>
      <c r="E16" s="55">
        <v>44.269132999999997</v>
      </c>
      <c r="F16" s="6" t="s">
        <v>13</v>
      </c>
      <c r="G16" s="52"/>
      <c r="O16" s="73"/>
      <c r="P16" s="73"/>
      <c r="Q16" s="73"/>
    </row>
    <row r="17" spans="1:17" x14ac:dyDescent="0.25">
      <c r="A17" s="21" t="s">
        <v>175</v>
      </c>
      <c r="B17" s="22" t="s">
        <v>48</v>
      </c>
      <c r="C17" s="54">
        <v>19.041539009947911</v>
      </c>
      <c r="D17" s="54">
        <v>-50.291767999999998</v>
      </c>
      <c r="E17" s="54">
        <v>1.856419</v>
      </c>
      <c r="F17" s="8" t="s">
        <v>10</v>
      </c>
      <c r="G17" s="52"/>
      <c r="O17" s="73"/>
      <c r="P17" s="73"/>
      <c r="Q17" s="73"/>
    </row>
    <row r="18" spans="1:17" x14ac:dyDescent="0.25">
      <c r="A18" s="5" t="s">
        <v>39</v>
      </c>
      <c r="B18" s="7" t="s">
        <v>37</v>
      </c>
      <c r="C18" s="55">
        <v>18.497600961625</v>
      </c>
      <c r="D18" s="55">
        <v>199.60946000000001</v>
      </c>
      <c r="E18" s="55">
        <v>11.759857</v>
      </c>
      <c r="F18" s="6" t="s">
        <v>14</v>
      </c>
      <c r="G18" s="52"/>
      <c r="O18" s="73"/>
      <c r="P18" s="73"/>
      <c r="Q18" s="73"/>
    </row>
    <row r="19" spans="1:17" x14ac:dyDescent="0.25">
      <c r="A19" s="21" t="s">
        <v>171</v>
      </c>
      <c r="B19" s="22" t="s">
        <v>42</v>
      </c>
      <c r="C19" s="54">
        <v>17.677384909635421</v>
      </c>
      <c r="D19" s="54">
        <v>55.532834200000003</v>
      </c>
      <c r="E19" s="54">
        <v>-2.0729829999999998</v>
      </c>
      <c r="F19" s="8" t="s">
        <v>19</v>
      </c>
      <c r="G19" s="52"/>
      <c r="O19" s="73"/>
      <c r="P19" s="73"/>
      <c r="Q19" s="73"/>
    </row>
    <row r="20" spans="1:17" x14ac:dyDescent="0.25">
      <c r="A20" s="5" t="s">
        <v>170</v>
      </c>
      <c r="B20" s="7" t="s">
        <v>41</v>
      </c>
      <c r="C20" s="55">
        <v>16.87911722500521</v>
      </c>
      <c r="D20" s="55">
        <v>-78.242029000000002</v>
      </c>
      <c r="E20" s="55">
        <v>-8.7549000000000002E-2</v>
      </c>
      <c r="F20" s="6" t="s">
        <v>11</v>
      </c>
      <c r="G20" s="52"/>
      <c r="O20" s="73"/>
      <c r="P20" s="73"/>
      <c r="Q20" s="73"/>
    </row>
    <row r="21" spans="1:17" x14ac:dyDescent="0.25">
      <c r="A21" s="21" t="s">
        <v>177</v>
      </c>
      <c r="B21" s="22" t="s">
        <v>54</v>
      </c>
      <c r="C21" s="54">
        <v>16.575307265625</v>
      </c>
      <c r="D21" s="54">
        <v>-240.2978166</v>
      </c>
      <c r="E21" s="54">
        <v>8.0078069999999997</v>
      </c>
      <c r="F21" s="8" t="s">
        <v>16</v>
      </c>
      <c r="G21" s="52"/>
      <c r="O21" s="73"/>
      <c r="P21" s="73"/>
      <c r="Q21" s="73"/>
    </row>
    <row r="22" spans="1:17" x14ac:dyDescent="0.25">
      <c r="A22" s="5" t="s">
        <v>174</v>
      </c>
      <c r="B22" s="7" t="s">
        <v>51</v>
      </c>
      <c r="C22" s="55">
        <v>16.077737056250001</v>
      </c>
      <c r="D22" s="55">
        <v>44.865475000000011</v>
      </c>
      <c r="E22" s="55">
        <v>-12.784622499999999</v>
      </c>
      <c r="F22" s="6" t="s">
        <v>11</v>
      </c>
      <c r="G22" s="52"/>
      <c r="O22" s="73"/>
      <c r="P22" s="73"/>
      <c r="Q22" s="73"/>
    </row>
    <row r="23" spans="1:17" x14ac:dyDescent="0.25">
      <c r="A23" s="21" t="s">
        <v>34</v>
      </c>
      <c r="B23" s="22" t="s">
        <v>30</v>
      </c>
      <c r="C23" s="54">
        <v>15.27928529427083</v>
      </c>
      <c r="D23" s="54">
        <v>169.11167699999999</v>
      </c>
      <c r="E23" s="54">
        <v>26.157474000000001</v>
      </c>
      <c r="F23" s="8" t="s">
        <v>14</v>
      </c>
      <c r="G23" s="52"/>
      <c r="O23" s="73"/>
      <c r="P23" s="73"/>
      <c r="Q23" s="73"/>
    </row>
    <row r="24" spans="1:17" x14ac:dyDescent="0.25">
      <c r="A24" s="5" t="s">
        <v>169</v>
      </c>
      <c r="B24" s="7" t="s">
        <v>52</v>
      </c>
      <c r="C24" s="55">
        <v>14.424869907465139</v>
      </c>
      <c r="D24" s="55">
        <v>8.3872755341500032</v>
      </c>
      <c r="E24" s="55">
        <v>13.5878734504</v>
      </c>
      <c r="F24" s="6" t="s">
        <v>14</v>
      </c>
      <c r="G24" s="52"/>
      <c r="O24" s="73"/>
      <c r="P24" s="73"/>
      <c r="Q24" s="73"/>
    </row>
    <row r="25" spans="1:17" x14ac:dyDescent="0.25">
      <c r="A25" s="21" t="s">
        <v>172</v>
      </c>
      <c r="B25" s="22" t="s">
        <v>74</v>
      </c>
      <c r="C25" s="54">
        <v>14.25882396895833</v>
      </c>
      <c r="D25" s="54">
        <v>-78.444462999999999</v>
      </c>
      <c r="E25" s="54">
        <v>-2.0132910000000002</v>
      </c>
      <c r="F25" s="8" t="s">
        <v>17</v>
      </c>
      <c r="G25" s="52"/>
      <c r="O25" s="73"/>
      <c r="P25" s="73"/>
      <c r="Q25" s="73"/>
    </row>
    <row r="26" spans="1:17" x14ac:dyDescent="0.25">
      <c r="A26" s="5" t="s">
        <v>181</v>
      </c>
      <c r="B26" s="7" t="s">
        <v>78</v>
      </c>
      <c r="C26" s="55">
        <v>12.87267069770833</v>
      </c>
      <c r="D26" s="55">
        <v>-78.282821999999996</v>
      </c>
      <c r="E26" s="55">
        <v>-2.3838849999999998</v>
      </c>
      <c r="F26" s="6" t="s">
        <v>17</v>
      </c>
      <c r="G26" s="52"/>
      <c r="O26" s="73"/>
      <c r="P26" s="73"/>
      <c r="Q26" s="73"/>
    </row>
    <row r="27" spans="1:17" x14ac:dyDescent="0.25">
      <c r="A27" s="21" t="s">
        <v>168</v>
      </c>
      <c r="B27" s="22" t="s">
        <v>76</v>
      </c>
      <c r="C27" s="54">
        <v>11.110385345625</v>
      </c>
      <c r="D27" s="54">
        <v>-10.806926000000001</v>
      </c>
      <c r="E27" s="54">
        <v>-2.3407330000000002</v>
      </c>
      <c r="F27" s="8" t="s">
        <v>17</v>
      </c>
      <c r="G27" s="52"/>
      <c r="O27" s="73"/>
      <c r="P27" s="73"/>
      <c r="Q27" s="73"/>
    </row>
    <row r="28" spans="1:17" x14ac:dyDescent="0.25">
      <c r="A28" s="5" t="s">
        <v>176</v>
      </c>
      <c r="B28" s="7" t="s">
        <v>59</v>
      </c>
      <c r="C28" s="55">
        <v>10.92798362010417</v>
      </c>
      <c r="D28" s="55">
        <v>-116.779573</v>
      </c>
      <c r="E28" s="55">
        <v>2.84531</v>
      </c>
      <c r="F28" s="6" t="s">
        <v>16</v>
      </c>
      <c r="G28" s="52"/>
      <c r="O28" s="73"/>
      <c r="P28" s="73"/>
      <c r="Q28" s="73"/>
    </row>
    <row r="29" spans="1:17" x14ac:dyDescent="0.25">
      <c r="A29" s="21" t="s">
        <v>183</v>
      </c>
      <c r="B29" s="22" t="s">
        <v>88</v>
      </c>
      <c r="C29" s="54">
        <v>10.281807402604171</v>
      </c>
      <c r="D29" s="54">
        <v>69.847200999999998</v>
      </c>
      <c r="E29" s="54">
        <v>-0.96621000000000001</v>
      </c>
      <c r="F29" s="8" t="s">
        <v>17</v>
      </c>
      <c r="G29" s="52"/>
      <c r="O29" s="73"/>
      <c r="P29" s="73"/>
      <c r="Q29" s="73"/>
    </row>
    <row r="30" spans="1:17" x14ac:dyDescent="0.25">
      <c r="A30" s="5" t="s">
        <v>178</v>
      </c>
      <c r="B30" s="7" t="s">
        <v>43</v>
      </c>
      <c r="C30" s="55">
        <v>10.180785348781251</v>
      </c>
      <c r="D30" s="55">
        <v>76.068891179999994</v>
      </c>
      <c r="E30" s="55">
        <v>-5.1637420000000001</v>
      </c>
      <c r="F30" s="6" t="s">
        <v>158</v>
      </c>
      <c r="G30" s="52"/>
      <c r="O30" s="73"/>
      <c r="P30" s="73"/>
      <c r="Q30" s="73"/>
    </row>
    <row r="31" spans="1:17" x14ac:dyDescent="0.25">
      <c r="A31" s="21" t="s">
        <v>182</v>
      </c>
      <c r="B31" s="22" t="s">
        <v>55</v>
      </c>
      <c r="C31" s="54">
        <v>10.13117941962304</v>
      </c>
      <c r="D31" s="54">
        <v>4.4911713129999979</v>
      </c>
      <c r="E31" s="54">
        <v>7.5769541541000001</v>
      </c>
      <c r="F31" s="8" t="s">
        <v>16</v>
      </c>
      <c r="G31" s="52"/>
      <c r="O31" s="73"/>
      <c r="P31" s="73"/>
      <c r="Q31" s="73"/>
    </row>
    <row r="32" spans="1:17" x14ac:dyDescent="0.25">
      <c r="A32" s="5" t="s">
        <v>139</v>
      </c>
      <c r="B32" s="7" t="s">
        <v>105</v>
      </c>
      <c r="C32" s="55">
        <v>8.6165506130208342</v>
      </c>
      <c r="D32" s="55">
        <v>104.029535</v>
      </c>
      <c r="E32" s="55">
        <v>-3.8719670000000002</v>
      </c>
      <c r="F32" s="6" t="s">
        <v>14</v>
      </c>
      <c r="G32" s="52"/>
      <c r="O32" s="73"/>
      <c r="P32" s="73"/>
      <c r="Q32" s="73"/>
    </row>
    <row r="33" spans="1:17" x14ac:dyDescent="0.25">
      <c r="A33" s="21" t="s">
        <v>180</v>
      </c>
      <c r="B33" s="22" t="s">
        <v>108</v>
      </c>
      <c r="C33" s="54">
        <v>7.9062611328125003</v>
      </c>
      <c r="D33" s="54">
        <v>-33.941932000000001</v>
      </c>
      <c r="E33" s="54">
        <v>-15.336527</v>
      </c>
      <c r="F33" s="8" t="s">
        <v>17</v>
      </c>
      <c r="G33" s="52"/>
      <c r="O33" s="73"/>
      <c r="P33" s="73"/>
      <c r="Q33" s="73"/>
    </row>
    <row r="34" spans="1:17" x14ac:dyDescent="0.25">
      <c r="A34" s="5" t="s">
        <v>179</v>
      </c>
      <c r="B34" s="7" t="s">
        <v>101</v>
      </c>
      <c r="C34" s="55">
        <v>6.8809138921458342</v>
      </c>
      <c r="D34" s="55">
        <v>-14.5510009</v>
      </c>
      <c r="E34" s="55">
        <v>-0.72343599999999997</v>
      </c>
      <c r="F34" s="6" t="s">
        <v>17</v>
      </c>
      <c r="G34" s="52"/>
      <c r="O34" s="73"/>
      <c r="P34" s="73"/>
      <c r="Q34" s="73"/>
    </row>
    <row r="35" spans="1:17" x14ac:dyDescent="0.25">
      <c r="A35" s="21" t="s">
        <v>186</v>
      </c>
      <c r="B35" s="22" t="s">
        <v>109</v>
      </c>
      <c r="C35" s="54">
        <v>6.113895555729167</v>
      </c>
      <c r="D35" s="54">
        <v>-3.938755</v>
      </c>
      <c r="E35" s="54">
        <v>0.23211899999999999</v>
      </c>
      <c r="F35" s="8" t="s">
        <v>158</v>
      </c>
      <c r="G35" s="52"/>
      <c r="O35" s="73"/>
      <c r="P35" s="73"/>
      <c r="Q35" s="73"/>
    </row>
    <row r="36" spans="1:17" x14ac:dyDescent="0.25">
      <c r="A36" s="5" t="s">
        <v>185</v>
      </c>
      <c r="B36" s="7" t="s">
        <v>91</v>
      </c>
      <c r="C36" s="55">
        <v>5.3766136240885416</v>
      </c>
      <c r="D36" s="55">
        <v>-73.202883499999999</v>
      </c>
      <c r="E36" s="55">
        <v>2.3617335000000002</v>
      </c>
      <c r="F36" s="6" t="s">
        <v>17</v>
      </c>
      <c r="G36" s="52"/>
      <c r="O36" s="73"/>
      <c r="P36" s="73"/>
      <c r="Q36" s="73"/>
    </row>
    <row r="37" spans="1:17" x14ac:dyDescent="0.25">
      <c r="A37" s="21" t="s">
        <v>187</v>
      </c>
      <c r="B37" s="22" t="s">
        <v>252</v>
      </c>
      <c r="C37" s="54">
        <v>5.3058579541666662</v>
      </c>
      <c r="D37" s="54">
        <v>-50.047258999999997</v>
      </c>
      <c r="E37" s="54">
        <v>0.53489299999999995</v>
      </c>
      <c r="F37" s="8" t="s">
        <v>158</v>
      </c>
      <c r="G37" s="52"/>
      <c r="O37" s="73"/>
      <c r="P37" s="73"/>
      <c r="Q37" s="73"/>
    </row>
    <row r="38" spans="1:17" x14ac:dyDescent="0.25">
      <c r="A38" s="5" t="s">
        <v>184</v>
      </c>
      <c r="B38" s="7" t="s">
        <v>89</v>
      </c>
      <c r="C38" s="55">
        <v>5.1508006901848962</v>
      </c>
      <c r="D38" s="55">
        <v>-98.648751223999994</v>
      </c>
      <c r="E38" s="55">
        <v>0.83158299999999996</v>
      </c>
      <c r="F38" s="6" t="s">
        <v>158</v>
      </c>
      <c r="G38" s="52"/>
      <c r="O38" s="73"/>
      <c r="P38" s="73"/>
      <c r="Q38" s="73"/>
    </row>
    <row r="39" spans="1:17" x14ac:dyDescent="0.25">
      <c r="A39" s="21" t="s">
        <v>209</v>
      </c>
      <c r="B39" s="22" t="s">
        <v>128</v>
      </c>
      <c r="C39" s="54">
        <v>4.6763884994791658</v>
      </c>
      <c r="D39" s="54">
        <v>45.361328</v>
      </c>
      <c r="E39" s="54">
        <v>1.6811990000000001</v>
      </c>
      <c r="F39" s="8" t="s">
        <v>159</v>
      </c>
      <c r="G39" s="52"/>
      <c r="O39" s="73"/>
      <c r="P39" s="73"/>
      <c r="Q39" s="73"/>
    </row>
    <row r="40" spans="1:17" x14ac:dyDescent="0.25">
      <c r="A40" s="5" t="s">
        <v>190</v>
      </c>
      <c r="B40" s="7" t="s">
        <v>123</v>
      </c>
      <c r="C40" s="55">
        <v>3.872639044010417</v>
      </c>
      <c r="D40" s="55">
        <v>20.055333000000001</v>
      </c>
      <c r="E40" s="55">
        <v>6.8537650000000001</v>
      </c>
      <c r="F40" s="6" t="s">
        <v>158</v>
      </c>
      <c r="G40" s="52"/>
      <c r="O40" s="73"/>
      <c r="P40" s="73"/>
      <c r="Q40" s="73"/>
    </row>
    <row r="41" spans="1:17" x14ac:dyDescent="0.25">
      <c r="A41" s="21" t="s">
        <v>204</v>
      </c>
      <c r="B41" s="22" t="s">
        <v>107</v>
      </c>
      <c r="C41" s="54">
        <v>3.6485680627083332</v>
      </c>
      <c r="D41" s="54">
        <v>-51.953491499999998</v>
      </c>
      <c r="E41" s="54">
        <v>-1.4386695</v>
      </c>
      <c r="F41" s="8" t="s">
        <v>11</v>
      </c>
      <c r="G41" s="52"/>
      <c r="O41" s="73"/>
      <c r="P41" s="73"/>
      <c r="Q41" s="73"/>
    </row>
    <row r="42" spans="1:17" x14ac:dyDescent="0.25">
      <c r="A42" s="5" t="s">
        <v>191</v>
      </c>
      <c r="B42" s="7" t="s">
        <v>110</v>
      </c>
      <c r="C42" s="55">
        <v>3.5755555791666671</v>
      </c>
      <c r="D42" s="55">
        <v>-20.250452500000002</v>
      </c>
      <c r="E42" s="55">
        <v>0.43768449999999998</v>
      </c>
      <c r="F42" s="6" t="s">
        <v>158</v>
      </c>
      <c r="G42" s="52"/>
      <c r="O42" s="73"/>
      <c r="P42" s="73"/>
      <c r="Q42" s="73"/>
    </row>
    <row r="43" spans="1:17" x14ac:dyDescent="0.25">
      <c r="A43" s="21" t="s">
        <v>193</v>
      </c>
      <c r="B43" s="22" t="s">
        <v>115</v>
      </c>
      <c r="C43" s="54">
        <v>3.5249562507291659</v>
      </c>
      <c r="D43" s="54">
        <v>-13.2084765</v>
      </c>
      <c r="E43" s="54">
        <v>-2.1689050000000001</v>
      </c>
      <c r="F43" s="8" t="s">
        <v>157</v>
      </c>
      <c r="G43" s="52"/>
      <c r="O43" s="73"/>
      <c r="P43" s="73"/>
      <c r="Q43" s="73"/>
    </row>
    <row r="44" spans="1:17" x14ac:dyDescent="0.25">
      <c r="A44" s="5" t="s">
        <v>192</v>
      </c>
      <c r="B44" s="7" t="s">
        <v>102</v>
      </c>
      <c r="C44" s="55">
        <v>3.2842147121875001</v>
      </c>
      <c r="D44" s="55">
        <v>-8.2725660000000012</v>
      </c>
      <c r="E44" s="55">
        <v>2.4239215000000001</v>
      </c>
      <c r="F44" s="6" t="s">
        <v>17</v>
      </c>
      <c r="G44" s="52"/>
      <c r="O44" s="73"/>
      <c r="P44" s="73"/>
      <c r="Q44" s="73"/>
    </row>
    <row r="45" spans="1:17" x14ac:dyDescent="0.25">
      <c r="A45" s="21" t="s">
        <v>197</v>
      </c>
      <c r="B45" s="22" t="s">
        <v>106</v>
      </c>
      <c r="C45" s="54">
        <v>2.8978592360937503</v>
      </c>
      <c r="D45" s="54">
        <v>-21.443873069999999</v>
      </c>
      <c r="E45" s="54">
        <v>0.71149899999999999</v>
      </c>
      <c r="F45" s="8" t="s">
        <v>17</v>
      </c>
      <c r="G45" s="52"/>
      <c r="O45" s="73"/>
      <c r="P45" s="73"/>
      <c r="Q45" s="73"/>
    </row>
    <row r="46" spans="1:17" x14ac:dyDescent="0.25">
      <c r="A46" s="5" t="s">
        <v>203</v>
      </c>
      <c r="B46" s="7" t="s">
        <v>103</v>
      </c>
      <c r="C46" s="55">
        <v>2.8332328816145829</v>
      </c>
      <c r="D46" s="55">
        <v>-28.629272499999999</v>
      </c>
      <c r="E46" s="55">
        <v>-3.2090415000000001</v>
      </c>
      <c r="F46" s="6" t="s">
        <v>15</v>
      </c>
      <c r="G46" s="52"/>
      <c r="O46" s="73"/>
      <c r="P46" s="73"/>
      <c r="Q46" s="73"/>
    </row>
    <row r="47" spans="1:17" x14ac:dyDescent="0.25">
      <c r="A47" s="21" t="s">
        <v>189</v>
      </c>
      <c r="B47" s="22" t="s">
        <v>94</v>
      </c>
      <c r="C47" s="54">
        <v>2.7477900156250001</v>
      </c>
      <c r="D47" s="54">
        <v>7.8694110000000004</v>
      </c>
      <c r="E47" s="54">
        <v>-1.0554159999999999</v>
      </c>
      <c r="F47" s="8" t="s">
        <v>14</v>
      </c>
      <c r="G47" s="52"/>
      <c r="O47" s="73"/>
      <c r="P47" s="73"/>
      <c r="Q47" s="73"/>
    </row>
    <row r="48" spans="1:17" x14ac:dyDescent="0.25">
      <c r="A48" s="5" t="s">
        <v>213</v>
      </c>
      <c r="B48" s="7" t="s">
        <v>130</v>
      </c>
      <c r="C48" s="55">
        <v>2.7178097475</v>
      </c>
      <c r="D48" s="55">
        <v>5.6766905000000003</v>
      </c>
      <c r="E48" s="55">
        <v>-0.165911</v>
      </c>
      <c r="F48" s="6" t="s">
        <v>160</v>
      </c>
      <c r="G48" s="52"/>
      <c r="O48" s="73"/>
      <c r="P48" s="73"/>
      <c r="Q48" s="73"/>
    </row>
    <row r="49" spans="1:17" x14ac:dyDescent="0.25">
      <c r="A49" s="21" t="s">
        <v>194</v>
      </c>
      <c r="B49" s="22" t="s">
        <v>95</v>
      </c>
      <c r="C49" s="54">
        <v>2.5263950185416673</v>
      </c>
      <c r="D49" s="54">
        <v>-46.633895500000001</v>
      </c>
      <c r="E49" s="54">
        <v>4.6241849999999998</v>
      </c>
      <c r="F49" s="8" t="s">
        <v>17</v>
      </c>
      <c r="G49" s="52"/>
      <c r="O49" s="73"/>
      <c r="P49" s="73"/>
      <c r="Q49" s="73"/>
    </row>
    <row r="50" spans="1:17" x14ac:dyDescent="0.25">
      <c r="A50" s="5" t="s">
        <v>188</v>
      </c>
      <c r="B50" s="7" t="s">
        <v>120</v>
      </c>
      <c r="C50" s="55">
        <v>2.504456567708333</v>
      </c>
      <c r="D50" s="55">
        <v>1.2278895000000001</v>
      </c>
      <c r="E50" s="55">
        <v>-0.48991349999999989</v>
      </c>
      <c r="F50" s="6" t="s">
        <v>159</v>
      </c>
      <c r="G50" s="52"/>
      <c r="O50" s="73"/>
      <c r="P50" s="73"/>
      <c r="Q50" s="73"/>
    </row>
    <row r="51" spans="1:17" x14ac:dyDescent="0.25">
      <c r="A51" s="21" t="s">
        <v>196</v>
      </c>
      <c r="B51" s="22" t="s">
        <v>117</v>
      </c>
      <c r="C51" s="54">
        <v>2.4638267509531246</v>
      </c>
      <c r="D51" s="54">
        <v>-4.7915190000000001</v>
      </c>
      <c r="E51" s="54">
        <v>-5.3473999999999848E-2</v>
      </c>
      <c r="F51" s="8" t="s">
        <v>17</v>
      </c>
      <c r="G51" s="52"/>
      <c r="O51" s="73"/>
      <c r="P51" s="73"/>
      <c r="Q51" s="73"/>
    </row>
    <row r="52" spans="1:17" x14ac:dyDescent="0.25">
      <c r="A52" s="5" t="s">
        <v>205</v>
      </c>
      <c r="B52" s="7" t="s">
        <v>118</v>
      </c>
      <c r="C52" s="55">
        <v>2.4172291771831769</v>
      </c>
      <c r="D52" s="55">
        <v>-1.7981788844999969</v>
      </c>
      <c r="E52" s="55">
        <v>-0.89036920664999997</v>
      </c>
      <c r="F52" s="6" t="s">
        <v>17</v>
      </c>
      <c r="G52" s="52"/>
      <c r="O52" s="73"/>
      <c r="P52" s="73"/>
      <c r="Q52" s="73"/>
    </row>
    <row r="53" spans="1:17" x14ac:dyDescent="0.25">
      <c r="A53" s="21" t="s">
        <v>240</v>
      </c>
      <c r="B53" s="22" t="s">
        <v>151</v>
      </c>
      <c r="C53" s="54">
        <v>2.37201415403125</v>
      </c>
      <c r="D53" s="54">
        <v>-1.7871311000000001</v>
      </c>
      <c r="E53" s="54">
        <v>-1.0805564999999999</v>
      </c>
      <c r="F53" s="8" t="s">
        <v>16</v>
      </c>
      <c r="G53" s="52"/>
      <c r="O53" s="73"/>
      <c r="P53" s="73"/>
      <c r="Q53" s="73"/>
    </row>
    <row r="54" spans="1:17" x14ac:dyDescent="0.25">
      <c r="A54" s="5" t="s">
        <v>201</v>
      </c>
      <c r="B54" s="7" t="s">
        <v>121</v>
      </c>
      <c r="C54" s="55">
        <v>2.30592330625</v>
      </c>
      <c r="D54" s="55">
        <v>-24.374997</v>
      </c>
      <c r="E54" s="55">
        <v>-2.4413019999999999</v>
      </c>
      <c r="F54" s="6" t="s">
        <v>17</v>
      </c>
      <c r="G54" s="52"/>
      <c r="O54" s="73"/>
      <c r="P54" s="73"/>
      <c r="Q54" s="73"/>
    </row>
    <row r="55" spans="1:17" x14ac:dyDescent="0.25">
      <c r="A55" s="21" t="s">
        <v>206</v>
      </c>
      <c r="B55" s="22" t="s">
        <v>90</v>
      </c>
      <c r="C55" s="54">
        <v>2.2798628010416668</v>
      </c>
      <c r="D55" s="54">
        <v>-33.447606</v>
      </c>
      <c r="E55" s="54">
        <v>0.25039400000000001</v>
      </c>
      <c r="F55" s="8" t="s">
        <v>11</v>
      </c>
      <c r="G55" s="52"/>
      <c r="O55" s="73"/>
      <c r="P55" s="73"/>
      <c r="Q55" s="73"/>
    </row>
    <row r="56" spans="1:17" x14ac:dyDescent="0.25">
      <c r="A56" s="5" t="s">
        <v>202</v>
      </c>
      <c r="B56" s="7" t="s">
        <v>57</v>
      </c>
      <c r="C56" s="55">
        <v>2.2646684860790627</v>
      </c>
      <c r="D56" s="55">
        <v>-14.9684040923</v>
      </c>
      <c r="E56" s="55">
        <v>1.9297439399</v>
      </c>
      <c r="F56" s="6" t="s">
        <v>11</v>
      </c>
      <c r="G56" s="52"/>
      <c r="O56" s="73"/>
      <c r="P56" s="73"/>
      <c r="Q56" s="73"/>
    </row>
    <row r="57" spans="1:17" x14ac:dyDescent="0.25">
      <c r="A57" s="21" t="s">
        <v>208</v>
      </c>
      <c r="B57" s="22" t="s">
        <v>111</v>
      </c>
      <c r="C57" s="54">
        <v>2.0419806183333331</v>
      </c>
      <c r="D57" s="54">
        <v>27.454734500000001</v>
      </c>
      <c r="E57" s="54">
        <v>4.6587620000000003</v>
      </c>
      <c r="F57" s="8" t="s">
        <v>13</v>
      </c>
      <c r="G57" s="52"/>
      <c r="O57" s="73"/>
      <c r="P57" s="73"/>
      <c r="Q57" s="73"/>
    </row>
    <row r="58" spans="1:17" x14ac:dyDescent="0.25">
      <c r="A58" s="5" t="s">
        <v>247</v>
      </c>
      <c r="B58" s="7" t="s">
        <v>248</v>
      </c>
      <c r="C58" s="55">
        <v>2.0009553828125002</v>
      </c>
      <c r="D58" s="55">
        <v>55.098126999999998</v>
      </c>
      <c r="E58" s="55">
        <v>0</v>
      </c>
      <c r="F58" s="6" t="s">
        <v>13</v>
      </c>
      <c r="G58" s="52"/>
      <c r="O58" s="73"/>
      <c r="P58" s="73"/>
      <c r="Q58" s="73"/>
    </row>
    <row r="59" spans="1:17" x14ac:dyDescent="0.25">
      <c r="A59" s="21" t="s">
        <v>195</v>
      </c>
      <c r="B59" s="22" t="s">
        <v>104</v>
      </c>
      <c r="C59" s="54">
        <v>1.8895936588541671</v>
      </c>
      <c r="D59" s="54">
        <v>-3.9798122</v>
      </c>
      <c r="E59" s="54">
        <v>1.2159902</v>
      </c>
      <c r="F59" s="8" t="s">
        <v>159</v>
      </c>
      <c r="G59" s="52"/>
      <c r="O59" s="73"/>
      <c r="P59" s="73"/>
      <c r="Q59" s="73"/>
    </row>
    <row r="60" spans="1:17" x14ac:dyDescent="0.25">
      <c r="A60" s="5" t="s">
        <v>224</v>
      </c>
      <c r="B60" s="7" t="s">
        <v>133</v>
      </c>
      <c r="C60" s="55">
        <v>1.8874864765624999</v>
      </c>
      <c r="D60" s="55">
        <v>4.5049320000000002</v>
      </c>
      <c r="E60" s="55">
        <v>0.12168900000000001</v>
      </c>
      <c r="F60" s="6" t="s">
        <v>14</v>
      </c>
      <c r="G60" s="52"/>
      <c r="O60" s="73"/>
      <c r="P60" s="73"/>
      <c r="Q60" s="73"/>
    </row>
    <row r="61" spans="1:17" x14ac:dyDescent="0.25">
      <c r="A61" s="21" t="s">
        <v>221</v>
      </c>
      <c r="B61" s="22" t="s">
        <v>113</v>
      </c>
      <c r="C61" s="54">
        <v>1.877218255729167</v>
      </c>
      <c r="D61" s="54">
        <v>-74.865488499999998</v>
      </c>
      <c r="E61" s="54">
        <v>-1.0699155</v>
      </c>
      <c r="F61" s="8" t="s">
        <v>160</v>
      </c>
      <c r="G61" s="52"/>
      <c r="O61" s="73"/>
      <c r="P61" s="73"/>
      <c r="Q61" s="73"/>
    </row>
    <row r="62" spans="1:17" x14ac:dyDescent="0.25">
      <c r="A62" s="5" t="s">
        <v>199</v>
      </c>
      <c r="B62" s="7" t="s">
        <v>119</v>
      </c>
      <c r="C62" s="55">
        <v>1.7650654060416671</v>
      </c>
      <c r="D62" s="55">
        <v>-24.965190499999999</v>
      </c>
      <c r="E62" s="55">
        <v>3.6331669999999998</v>
      </c>
      <c r="F62" s="6" t="s">
        <v>17</v>
      </c>
      <c r="G62" s="52"/>
      <c r="O62" s="73"/>
      <c r="P62" s="73"/>
      <c r="Q62" s="73"/>
    </row>
    <row r="63" spans="1:17" x14ac:dyDescent="0.25">
      <c r="A63" s="21" t="s">
        <v>222</v>
      </c>
      <c r="B63" s="22" t="s">
        <v>96</v>
      </c>
      <c r="C63" s="54">
        <v>1.757413813541667</v>
      </c>
      <c r="D63" s="54">
        <v>-2.1776075000000001</v>
      </c>
      <c r="E63" s="54">
        <v>1.8026999999999932E-2</v>
      </c>
      <c r="F63" s="8" t="s">
        <v>11</v>
      </c>
      <c r="G63" s="52"/>
      <c r="O63" s="73"/>
      <c r="P63" s="73"/>
      <c r="Q63" s="73"/>
    </row>
    <row r="64" spans="1:17" x14ac:dyDescent="0.25">
      <c r="A64" s="5" t="s">
        <v>211</v>
      </c>
      <c r="B64" s="7" t="s">
        <v>112</v>
      </c>
      <c r="C64" s="55">
        <v>1.5535814937499999</v>
      </c>
      <c r="D64" s="55">
        <v>4.6702760000000003</v>
      </c>
      <c r="E64" s="55">
        <v>-0.38333600000000001</v>
      </c>
      <c r="F64" s="6" t="s">
        <v>11</v>
      </c>
      <c r="G64" s="52"/>
      <c r="O64" s="73"/>
      <c r="P64" s="73"/>
      <c r="Q64" s="73"/>
    </row>
    <row r="65" spans="1:17" x14ac:dyDescent="0.25">
      <c r="A65" s="21" t="s">
        <v>214</v>
      </c>
      <c r="B65" s="22" t="s">
        <v>132</v>
      </c>
      <c r="C65" s="54">
        <v>1.54669968015625</v>
      </c>
      <c r="D65" s="54">
        <v>-9.8103649999999991</v>
      </c>
      <c r="E65" s="54">
        <v>0.96694500000000005</v>
      </c>
      <c r="F65" s="8" t="s">
        <v>16</v>
      </c>
      <c r="G65" s="52"/>
      <c r="O65" s="73"/>
      <c r="P65" s="73"/>
      <c r="Q65" s="73"/>
    </row>
    <row r="66" spans="1:17" x14ac:dyDescent="0.25">
      <c r="A66" s="5" t="s">
        <v>200</v>
      </c>
      <c r="B66" s="7" t="s">
        <v>116</v>
      </c>
      <c r="C66" s="55">
        <v>1.4846279818790629</v>
      </c>
      <c r="D66" s="55">
        <v>-8.5322145633300011</v>
      </c>
      <c r="E66" s="55">
        <v>-3.6958094844100002</v>
      </c>
      <c r="F66" s="6" t="s">
        <v>10</v>
      </c>
      <c r="G66" s="52"/>
      <c r="O66" s="73"/>
      <c r="P66" s="73"/>
      <c r="Q66" s="73"/>
    </row>
    <row r="67" spans="1:17" x14ac:dyDescent="0.25">
      <c r="A67" s="21" t="s">
        <v>227</v>
      </c>
      <c r="B67" s="22" t="s">
        <v>131</v>
      </c>
      <c r="C67" s="54">
        <v>1.3638096837897919</v>
      </c>
      <c r="D67" s="54">
        <v>-9.52532168768</v>
      </c>
      <c r="E67" s="54">
        <v>-0.73953430831000011</v>
      </c>
      <c r="F67" s="8" t="s">
        <v>17</v>
      </c>
      <c r="G67" s="52"/>
      <c r="O67" s="73"/>
      <c r="P67" s="73"/>
      <c r="Q67" s="73"/>
    </row>
    <row r="68" spans="1:17" x14ac:dyDescent="0.25">
      <c r="A68" s="5" t="s">
        <v>198</v>
      </c>
      <c r="B68" s="7" t="s">
        <v>149</v>
      </c>
      <c r="C68" s="55">
        <v>1.305232811979167</v>
      </c>
      <c r="D68" s="55">
        <v>-0.29389380000000026</v>
      </c>
      <c r="E68" s="55">
        <v>0.14441370000000001</v>
      </c>
      <c r="F68" s="6" t="s">
        <v>14</v>
      </c>
      <c r="G68" s="52"/>
      <c r="O68" s="73"/>
      <c r="P68" s="73"/>
      <c r="Q68" s="73"/>
    </row>
    <row r="69" spans="1:17" x14ac:dyDescent="0.25">
      <c r="A69" s="21" t="s">
        <v>217</v>
      </c>
      <c r="B69" s="22" t="s">
        <v>127</v>
      </c>
      <c r="C69" s="54">
        <v>1.2313715137499999</v>
      </c>
      <c r="D69" s="54">
        <v>-6.9648130000000004</v>
      </c>
      <c r="E69" s="54">
        <v>-2.8391289999999998</v>
      </c>
      <c r="F69" s="8" t="s">
        <v>17</v>
      </c>
      <c r="G69" s="52"/>
      <c r="O69" s="73"/>
      <c r="P69" s="73"/>
      <c r="Q69" s="73"/>
    </row>
    <row r="70" spans="1:17" x14ac:dyDescent="0.25">
      <c r="A70" s="5" t="s">
        <v>212</v>
      </c>
      <c r="B70" s="7" t="s">
        <v>129</v>
      </c>
      <c r="C70" s="55">
        <v>1.2214583463541671</v>
      </c>
      <c r="D70" s="55">
        <v>11.943301</v>
      </c>
      <c r="E70" s="55">
        <v>-0.96391199999999999</v>
      </c>
      <c r="F70" s="6" t="s">
        <v>157</v>
      </c>
      <c r="G70" s="52"/>
      <c r="O70" s="73"/>
      <c r="P70" s="73"/>
      <c r="Q70" s="73"/>
    </row>
    <row r="71" spans="1:17" x14ac:dyDescent="0.25">
      <c r="A71" s="21" t="s">
        <v>276</v>
      </c>
      <c r="B71" s="22" t="s">
        <v>277</v>
      </c>
      <c r="C71" s="54">
        <v>1.205373766927083</v>
      </c>
      <c r="D71" s="54">
        <v>0.56595649999999997</v>
      </c>
      <c r="E71" s="54">
        <v>2.5500499999999999E-2</v>
      </c>
      <c r="F71" s="8" t="s">
        <v>15</v>
      </c>
      <c r="G71" s="52"/>
      <c r="O71" s="73"/>
      <c r="P71" s="73"/>
      <c r="Q71" s="73"/>
    </row>
    <row r="72" spans="1:17" x14ac:dyDescent="0.25">
      <c r="A72" s="5" t="s">
        <v>207</v>
      </c>
      <c r="B72" s="7" t="s">
        <v>143</v>
      </c>
      <c r="C72" s="55">
        <v>1.1504151296875</v>
      </c>
      <c r="D72" s="55">
        <v>0.47396949999999988</v>
      </c>
      <c r="E72" s="55">
        <v>6.7573999999999976E-3</v>
      </c>
      <c r="F72" s="6" t="s">
        <v>160</v>
      </c>
      <c r="G72" s="52"/>
      <c r="O72" s="73"/>
      <c r="P72" s="73"/>
      <c r="Q72" s="73"/>
    </row>
    <row r="73" spans="1:17" x14ac:dyDescent="0.25">
      <c r="A73" s="21" t="s">
        <v>245</v>
      </c>
      <c r="B73" s="22" t="s">
        <v>246</v>
      </c>
      <c r="C73" s="54">
        <v>1.1458056526041669</v>
      </c>
      <c r="D73" s="54">
        <v>4.9282624999999998</v>
      </c>
      <c r="E73" s="54">
        <v>0.18192160000000002</v>
      </c>
      <c r="F73" s="8" t="s">
        <v>159</v>
      </c>
      <c r="G73" s="52"/>
      <c r="O73" s="73"/>
      <c r="P73" s="73"/>
      <c r="Q73" s="73"/>
    </row>
    <row r="74" spans="1:17" x14ac:dyDescent="0.25">
      <c r="A74" s="5" t="s">
        <v>223</v>
      </c>
      <c r="B74" s="7" t="s">
        <v>125</v>
      </c>
      <c r="C74" s="55">
        <v>1.1267329869791669</v>
      </c>
      <c r="D74" s="55">
        <v>4.6478440000000001</v>
      </c>
      <c r="E74" s="55">
        <v>0.136932</v>
      </c>
      <c r="F74" s="6" t="s">
        <v>160</v>
      </c>
      <c r="G74" s="52"/>
      <c r="O74" s="73"/>
      <c r="P74" s="73"/>
      <c r="Q74" s="73"/>
    </row>
    <row r="75" spans="1:17" x14ac:dyDescent="0.25">
      <c r="A75" s="21" t="s">
        <v>219</v>
      </c>
      <c r="B75" s="22" t="s">
        <v>93</v>
      </c>
      <c r="C75" s="54">
        <v>1.1241746988320831</v>
      </c>
      <c r="D75" s="54">
        <v>-12.478926901000001</v>
      </c>
      <c r="E75" s="54">
        <v>0.14591450769999997</v>
      </c>
      <c r="F75" s="8" t="s">
        <v>17</v>
      </c>
      <c r="G75" s="52"/>
      <c r="O75" s="73"/>
      <c r="P75" s="73"/>
      <c r="Q75" s="73"/>
    </row>
    <row r="76" spans="1:17" x14ac:dyDescent="0.25">
      <c r="A76" s="5" t="s">
        <v>235</v>
      </c>
      <c r="B76" s="7" t="s">
        <v>147</v>
      </c>
      <c r="C76" s="55">
        <v>1.0714461381510418</v>
      </c>
      <c r="D76" s="55">
        <v>-0.8993255</v>
      </c>
      <c r="E76" s="55">
        <v>0.44045000000000001</v>
      </c>
      <c r="F76" s="6" t="s">
        <v>158</v>
      </c>
      <c r="G76" s="52"/>
      <c r="O76" s="73"/>
      <c r="P76" s="73"/>
      <c r="Q76" s="73"/>
    </row>
    <row r="77" spans="1:17" x14ac:dyDescent="0.25">
      <c r="A77" s="21" t="s">
        <v>237</v>
      </c>
      <c r="B77" s="22" t="s">
        <v>114</v>
      </c>
      <c r="C77" s="54">
        <v>1.069601036458333</v>
      </c>
      <c r="D77" s="54">
        <v>5.9155179999999987</v>
      </c>
      <c r="E77" s="54">
        <v>0</v>
      </c>
      <c r="F77" s="8" t="s">
        <v>10</v>
      </c>
      <c r="G77" s="52"/>
      <c r="O77" s="73"/>
      <c r="P77" s="73"/>
      <c r="Q77" s="73"/>
    </row>
    <row r="78" spans="1:17" x14ac:dyDescent="0.25">
      <c r="A78" s="5" t="s">
        <v>216</v>
      </c>
      <c r="B78" s="7" t="s">
        <v>92</v>
      </c>
      <c r="C78" s="55">
        <v>1.049754968380479</v>
      </c>
      <c r="D78" s="55">
        <v>-7.2466731357099992</v>
      </c>
      <c r="E78" s="55">
        <v>0.94398934261</v>
      </c>
      <c r="F78" s="6" t="s">
        <v>14</v>
      </c>
      <c r="G78" s="52"/>
      <c r="O78" s="73"/>
      <c r="P78" s="73"/>
      <c r="Q78" s="73"/>
    </row>
    <row r="79" spans="1:17" x14ac:dyDescent="0.25">
      <c r="A79" s="21" t="s">
        <v>229</v>
      </c>
      <c r="B79" s="22" t="s">
        <v>126</v>
      </c>
      <c r="C79" s="54">
        <v>1.033371947916667</v>
      </c>
      <c r="D79" s="54">
        <v>0.92358799999999996</v>
      </c>
      <c r="E79" s="54">
        <v>3.9729885</v>
      </c>
      <c r="F79" s="8" t="s">
        <v>17</v>
      </c>
      <c r="G79" s="52"/>
      <c r="O79" s="73"/>
      <c r="P79" s="73"/>
      <c r="Q79" s="73"/>
    </row>
    <row r="80" spans="1:17" x14ac:dyDescent="0.25">
      <c r="A80" s="5" t="s">
        <v>261</v>
      </c>
      <c r="B80" s="7" t="s">
        <v>260</v>
      </c>
      <c r="C80" s="55">
        <v>0.96959548958333341</v>
      </c>
      <c r="D80" s="55">
        <v>18.183292000000002</v>
      </c>
      <c r="E80" s="55">
        <v>-1.4322094999999999</v>
      </c>
      <c r="F80" s="6" t="s">
        <v>158</v>
      </c>
      <c r="G80" s="52"/>
      <c r="O80" s="73"/>
      <c r="P80" s="73"/>
      <c r="Q80" s="73"/>
    </row>
    <row r="81" spans="1:17" x14ac:dyDescent="0.25">
      <c r="A81" s="21" t="s">
        <v>231</v>
      </c>
      <c r="B81" s="22" t="s">
        <v>145</v>
      </c>
      <c r="C81" s="54">
        <v>0.92522591875000004</v>
      </c>
      <c r="D81" s="54">
        <v>5.0148890000000002</v>
      </c>
      <c r="E81" s="54">
        <v>-0.111925</v>
      </c>
      <c r="F81" s="8" t="s">
        <v>158</v>
      </c>
      <c r="G81" s="52"/>
      <c r="O81" s="73"/>
      <c r="P81" s="73"/>
      <c r="Q81" s="73"/>
    </row>
    <row r="82" spans="1:17" x14ac:dyDescent="0.25">
      <c r="A82" s="5" t="s">
        <v>220</v>
      </c>
      <c r="B82" s="7" t="s">
        <v>138</v>
      </c>
      <c r="C82" s="55">
        <v>0.90441506180065623</v>
      </c>
      <c r="D82" s="55">
        <v>-1.40009138092</v>
      </c>
      <c r="E82" s="55">
        <v>1.4029246292999999</v>
      </c>
      <c r="F82" s="6" t="s">
        <v>17</v>
      </c>
      <c r="G82" s="52"/>
      <c r="O82" s="73"/>
      <c r="P82" s="73"/>
      <c r="Q82" s="73"/>
    </row>
    <row r="83" spans="1:17" x14ac:dyDescent="0.25">
      <c r="A83" s="21" t="s">
        <v>234</v>
      </c>
      <c r="B83" s="22" t="s">
        <v>156</v>
      </c>
      <c r="C83" s="54">
        <v>0.88763553854166666</v>
      </c>
      <c r="D83" s="54">
        <v>1.725108800000001</v>
      </c>
      <c r="E83" s="54">
        <v>-0.1418095</v>
      </c>
      <c r="F83" s="8" t="s">
        <v>14</v>
      </c>
      <c r="G83" s="52"/>
      <c r="O83" s="73"/>
      <c r="P83" s="73"/>
      <c r="Q83" s="73"/>
    </row>
    <row r="84" spans="1:17" x14ac:dyDescent="0.25">
      <c r="A84" s="5" t="s">
        <v>236</v>
      </c>
      <c r="B84" s="7" t="s">
        <v>152</v>
      </c>
      <c r="C84" s="55">
        <v>0.87059553541666679</v>
      </c>
      <c r="D84" s="55">
        <v>0.97270500000000004</v>
      </c>
      <c r="E84" s="55">
        <v>0.126553</v>
      </c>
      <c r="F84" s="6" t="s">
        <v>14</v>
      </c>
      <c r="G84" s="52"/>
      <c r="O84" s="73"/>
      <c r="P84" s="73"/>
      <c r="Q84" s="73"/>
    </row>
    <row r="85" spans="1:17" x14ac:dyDescent="0.25">
      <c r="A85" s="21" t="s">
        <v>215</v>
      </c>
      <c r="B85" s="22" t="s">
        <v>150</v>
      </c>
      <c r="C85" s="54">
        <v>0.82083934010416681</v>
      </c>
      <c r="D85" s="54">
        <v>-0.80046479999999998</v>
      </c>
      <c r="E85" s="54">
        <v>0.16192120000000002</v>
      </c>
      <c r="F85" s="8" t="s">
        <v>14</v>
      </c>
      <c r="G85" s="52"/>
      <c r="O85" s="73"/>
      <c r="P85" s="73"/>
      <c r="Q85" s="73"/>
    </row>
    <row r="86" spans="1:17" x14ac:dyDescent="0.25">
      <c r="A86" s="5" t="s">
        <v>218</v>
      </c>
      <c r="B86" s="7" t="s">
        <v>134</v>
      </c>
      <c r="C86" s="55">
        <v>0.81719892395833338</v>
      </c>
      <c r="D86" s="55">
        <v>-10.420665</v>
      </c>
      <c r="E86" s="55">
        <v>0.22861049999999999</v>
      </c>
      <c r="F86" s="6" t="s">
        <v>17</v>
      </c>
      <c r="G86" s="52"/>
      <c r="O86" s="73"/>
      <c r="P86" s="73"/>
      <c r="Q86" s="73"/>
    </row>
    <row r="87" spans="1:17" x14ac:dyDescent="0.25">
      <c r="A87" s="21" t="s">
        <v>238</v>
      </c>
      <c r="B87" s="22" t="s">
        <v>154</v>
      </c>
      <c r="C87" s="54">
        <v>0.80711135270833334</v>
      </c>
      <c r="D87" s="54">
        <v>-14.077055</v>
      </c>
      <c r="E87" s="54">
        <v>0.49687399999999998</v>
      </c>
      <c r="F87" s="8" t="s">
        <v>160</v>
      </c>
      <c r="G87" s="52"/>
      <c r="O87" s="73"/>
      <c r="P87" s="73"/>
      <c r="Q87" s="73"/>
    </row>
    <row r="88" spans="1:17" x14ac:dyDescent="0.25">
      <c r="A88" s="5" t="s">
        <v>210</v>
      </c>
      <c r="B88" s="7" t="s">
        <v>136</v>
      </c>
      <c r="C88" s="55">
        <v>0.80499140468749997</v>
      </c>
      <c r="D88" s="55">
        <v>-3.1499695000000001</v>
      </c>
      <c r="E88" s="55">
        <v>-0.60789800000000005</v>
      </c>
      <c r="F88" s="6" t="s">
        <v>11</v>
      </c>
      <c r="G88" s="52"/>
      <c r="O88" s="73"/>
      <c r="P88" s="73"/>
      <c r="Q88" s="73"/>
    </row>
    <row r="89" spans="1:17" x14ac:dyDescent="0.25">
      <c r="A89" s="21" t="s">
        <v>226</v>
      </c>
      <c r="B89" s="22" t="s">
        <v>144</v>
      </c>
      <c r="C89" s="54">
        <v>0.80393875156250005</v>
      </c>
      <c r="D89" s="54">
        <v>3.5501394999999998</v>
      </c>
      <c r="E89" s="54">
        <v>-1.2050194999999999</v>
      </c>
      <c r="F89" s="8" t="s">
        <v>17</v>
      </c>
      <c r="G89" s="52"/>
      <c r="O89" s="73"/>
      <c r="P89" s="73"/>
      <c r="Q89" s="73"/>
    </row>
    <row r="90" spans="1:17" x14ac:dyDescent="0.25">
      <c r="A90" s="5" t="s">
        <v>228</v>
      </c>
      <c r="B90" s="7" t="s">
        <v>135</v>
      </c>
      <c r="C90" s="55">
        <v>0.78077325125000008</v>
      </c>
      <c r="D90" s="55">
        <v>-9.2601125</v>
      </c>
      <c r="E90" s="55">
        <v>0.54932400000000003</v>
      </c>
      <c r="F90" s="6" t="s">
        <v>17</v>
      </c>
      <c r="G90" s="52"/>
      <c r="O90" s="73"/>
      <c r="P90" s="73"/>
      <c r="Q90" s="73"/>
    </row>
    <row r="91" spans="1:17" x14ac:dyDescent="0.25">
      <c r="A91" s="21" t="s">
        <v>225</v>
      </c>
      <c r="B91" s="22" t="s">
        <v>124</v>
      </c>
      <c r="C91" s="54">
        <v>0.73042740973776055</v>
      </c>
      <c r="D91" s="54">
        <v>4.0244105228700002</v>
      </c>
      <c r="E91" s="54">
        <v>-3.053749280000001E-2</v>
      </c>
      <c r="F91" s="8" t="s">
        <v>17</v>
      </c>
      <c r="G91" s="52"/>
      <c r="O91" s="73"/>
      <c r="P91" s="73"/>
      <c r="Q91" s="73"/>
    </row>
    <row r="92" spans="1:17" x14ac:dyDescent="0.25">
      <c r="A92" s="5" t="s">
        <v>255</v>
      </c>
      <c r="B92" s="7" t="s">
        <v>254</v>
      </c>
      <c r="C92" s="55">
        <v>0.69062301958904115</v>
      </c>
      <c r="D92" s="55">
        <v>-5.7688525000000004</v>
      </c>
      <c r="E92" s="55">
        <v>-0.23221849999999999</v>
      </c>
      <c r="F92" s="6" t="s">
        <v>14</v>
      </c>
      <c r="G92" s="52"/>
      <c r="O92" s="73"/>
      <c r="P92" s="73"/>
      <c r="Q92" s="73"/>
    </row>
    <row r="93" spans="1:17" x14ac:dyDescent="0.25">
      <c r="A93" s="21" t="s">
        <v>232</v>
      </c>
      <c r="B93" s="22" t="s">
        <v>122</v>
      </c>
      <c r="C93" s="54">
        <v>0.6868032270833333</v>
      </c>
      <c r="D93" s="54">
        <v>-1.5055708999999999</v>
      </c>
      <c r="E93" s="54">
        <v>1.1496678999999999</v>
      </c>
      <c r="F93" s="8" t="s">
        <v>159</v>
      </c>
      <c r="G93" s="52"/>
      <c r="O93" s="73"/>
      <c r="P93" s="73"/>
      <c r="Q93" s="73"/>
    </row>
    <row r="94" spans="1:17" x14ac:dyDescent="0.25">
      <c r="A94" s="5" t="s">
        <v>241</v>
      </c>
      <c r="B94" s="7" t="s">
        <v>155</v>
      </c>
      <c r="C94" s="55">
        <v>0.58698452135416668</v>
      </c>
      <c r="D94" s="55">
        <v>9.3522269999999992</v>
      </c>
      <c r="E94" s="55">
        <v>0.91424000000000005</v>
      </c>
      <c r="F94" s="6" t="s">
        <v>14</v>
      </c>
      <c r="G94" s="52"/>
      <c r="O94" s="73"/>
      <c r="P94" s="73"/>
      <c r="Q94" s="73"/>
    </row>
    <row r="95" spans="1:17" x14ac:dyDescent="0.25">
      <c r="A95" s="21" t="s">
        <v>230</v>
      </c>
      <c r="B95" s="22" t="s">
        <v>86</v>
      </c>
      <c r="C95" s="54">
        <v>0.57026758333333338</v>
      </c>
      <c r="D95" s="54">
        <v>0.107178</v>
      </c>
      <c r="E95" s="54">
        <v>-1.7301500000000001E-2</v>
      </c>
      <c r="F95" s="8" t="s">
        <v>11</v>
      </c>
      <c r="G95" s="52"/>
      <c r="O95" s="73"/>
      <c r="P95" s="73"/>
      <c r="Q95" s="73"/>
    </row>
    <row r="96" spans="1:17" x14ac:dyDescent="0.25">
      <c r="A96" s="5" t="s">
        <v>262</v>
      </c>
      <c r="B96" s="7" t="s">
        <v>263</v>
      </c>
      <c r="C96" s="55">
        <v>0.54852572916666664</v>
      </c>
      <c r="D96" s="55">
        <v>-9.393675</v>
      </c>
      <c r="E96" s="55">
        <v>-2.0304774999999999</v>
      </c>
      <c r="F96" s="6" t="s">
        <v>17</v>
      </c>
      <c r="G96" s="52"/>
      <c r="O96" s="73"/>
      <c r="P96" s="73"/>
      <c r="Q96" s="73"/>
    </row>
    <row r="97" spans="1:17" x14ac:dyDescent="0.25">
      <c r="A97" s="21" t="s">
        <v>239</v>
      </c>
      <c r="B97" s="22" t="s">
        <v>137</v>
      </c>
      <c r="C97" s="54">
        <v>0.53083423541666674</v>
      </c>
      <c r="D97" s="54">
        <v>-11.0052235</v>
      </c>
      <c r="E97" s="54">
        <v>-4.8827500000000003E-2</v>
      </c>
      <c r="F97" s="8" t="s">
        <v>11</v>
      </c>
      <c r="G97" s="52"/>
      <c r="O97" s="73"/>
      <c r="P97" s="73"/>
      <c r="Q97" s="73"/>
    </row>
    <row r="98" spans="1:17" x14ac:dyDescent="0.25">
      <c r="A98" s="5" t="s">
        <v>257</v>
      </c>
      <c r="B98" s="7" t="s">
        <v>256</v>
      </c>
      <c r="C98" s="55">
        <v>0.47564481666666669</v>
      </c>
      <c r="D98" s="55">
        <v>-1.2720292</v>
      </c>
      <c r="E98" s="55">
        <v>-8.2304299999999997E-2</v>
      </c>
      <c r="F98" s="6" t="s">
        <v>14</v>
      </c>
      <c r="G98" s="52"/>
      <c r="O98" s="73"/>
      <c r="P98" s="73"/>
      <c r="Q98" s="73"/>
    </row>
    <row r="99" spans="1:17" x14ac:dyDescent="0.25">
      <c r="A99" s="21" t="s">
        <v>233</v>
      </c>
      <c r="B99" s="22" t="s">
        <v>153</v>
      </c>
      <c r="C99" s="54">
        <v>0.47362959531250004</v>
      </c>
      <c r="D99" s="54">
        <v>-1.6464675</v>
      </c>
      <c r="E99" s="54">
        <v>0.61048550000000001</v>
      </c>
      <c r="F99" s="8" t="s">
        <v>14</v>
      </c>
      <c r="G99" s="52"/>
      <c r="O99" s="73"/>
      <c r="P99" s="73"/>
      <c r="Q99" s="73"/>
    </row>
    <row r="100" spans="1:17" x14ac:dyDescent="0.25">
      <c r="A100" s="5" t="s">
        <v>250</v>
      </c>
      <c r="B100" s="7" t="s">
        <v>251</v>
      </c>
      <c r="C100" s="55">
        <v>0.44322122447916662</v>
      </c>
      <c r="D100" s="55">
        <v>3.2595787000000001</v>
      </c>
      <c r="E100" s="55">
        <v>6.3316499999999998E-2</v>
      </c>
      <c r="F100" s="6" t="s">
        <v>11</v>
      </c>
      <c r="G100" s="52"/>
      <c r="O100" s="73"/>
      <c r="P100" s="73"/>
      <c r="Q100" s="73"/>
    </row>
    <row r="101" spans="1:17" x14ac:dyDescent="0.25">
      <c r="A101" s="76" t="s">
        <v>264</v>
      </c>
      <c r="B101" s="77" t="s">
        <v>265</v>
      </c>
      <c r="C101" s="78">
        <v>0.43038358333333332</v>
      </c>
      <c r="D101" s="78">
        <v>-10.5129655</v>
      </c>
      <c r="E101" s="78">
        <v>1.4290000000000001E-2</v>
      </c>
      <c r="F101" s="9" t="s">
        <v>16</v>
      </c>
      <c r="G101" s="52"/>
      <c r="O101" s="73"/>
      <c r="P101" s="73"/>
      <c r="Q101" s="73"/>
    </row>
    <row r="102" spans="1:17" x14ac:dyDescent="0.25">
      <c r="A102" s="45"/>
      <c r="B102" s="10"/>
      <c r="C102" s="10"/>
      <c r="D102" s="10"/>
      <c r="E102" s="10"/>
      <c r="F102" s="46"/>
    </row>
    <row r="105" spans="1:17" x14ac:dyDescent="0.25">
      <c r="A105" s="11" t="s">
        <v>80</v>
      </c>
    </row>
    <row r="106" spans="1:17" x14ac:dyDescent="0.25">
      <c r="A106" s="11" t="s">
        <v>141</v>
      </c>
    </row>
    <row r="107" spans="1:17" x14ac:dyDescent="0.25">
      <c r="A107" s="11" t="s">
        <v>140</v>
      </c>
    </row>
    <row r="108" spans="1:17" x14ac:dyDescent="0.25">
      <c r="A108" s="11" t="s">
        <v>146</v>
      </c>
    </row>
    <row r="109" spans="1:17" x14ac:dyDescent="0.2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 B37 B72 B7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Raphael Lim</cp:lastModifiedBy>
  <cp:lastPrinted>2024-07-01T01:26:22Z</cp:lastPrinted>
  <dcterms:created xsi:type="dcterms:W3CDTF">2020-01-13T01:31:10Z</dcterms:created>
  <dcterms:modified xsi:type="dcterms:W3CDTF">2024-10-07T03:56:22Z</dcterms:modified>
</cp:coreProperties>
</file>