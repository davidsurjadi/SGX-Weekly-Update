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5B7E0BEE-BB01-4D73-B842-8C2C0F5FC62C}"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<sst xmlns="http://schemas.openxmlformats.org/spreadsheetml/2006/main" count="139" uniqueCount="87">
  <si>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</si>
  <si>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</si>
  <si>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</si>
  <si>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</si>
  <si>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</si>
  <si>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</si>
  <si>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</si>
  <si>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</si>
  <si>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</si>
  <si>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</si>
  <si>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</si>
  <si>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</si>
  <si>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</si>
  <si>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</si>
  <si>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</si>
  <si>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</si>
  <si>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</si>
  <si>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</si>
  <si>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</si>
  <si>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</si>
  <si>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</si>
  <si>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</si>
  <si>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</si>
  <si>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</si>
  <si>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</si>
  <si>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</si>
  <si>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</si>
  <si>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</si>
  <si>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</si>
  <si>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</si>
  <si>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</si>
  <si>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</si>
  <si>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</si>
  <si>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</si>
  <si>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</si>
  <si>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</si>
  <si>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</si>
  <si>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</si>
  <si>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Yangzijiang Shipbuilding</t>
  </si>
  <si>
    <t>BS6</t>
  </si>
  <si>
    <t>SIA</t>
  </si>
  <si>
    <t>C6L</t>
  </si>
  <si>
    <t>UOB</t>
  </si>
  <si>
    <t>U11</t>
  </si>
  <si>
    <t>CapitaLand Integrated Commercial Trust</t>
  </si>
  <si>
    <t>C38U</t>
  </si>
  <si>
    <t>Keppel</t>
  </si>
  <si>
    <t>BN4</t>
  </si>
  <si>
    <t>Wilmar International</t>
  </si>
  <si>
    <t>F34</t>
  </si>
  <si>
    <t>CapitaLand Ascendas REIT</t>
  </si>
  <si>
    <t>A17U</t>
  </si>
  <si>
    <t>Hongkong Land</t>
  </si>
  <si>
    <t>H78</t>
  </si>
  <si>
    <t>Suntec REIT</t>
  </si>
  <si>
    <t>T82U</t>
  </si>
  <si>
    <t>CapitaLand Investment</t>
  </si>
  <si>
    <t>9CI</t>
  </si>
  <si>
    <t>UOB Kay Hian</t>
  </si>
  <si>
    <t>U10</t>
  </si>
  <si>
    <t>Venture Corporation</t>
  </si>
  <si>
    <t>V03</t>
  </si>
  <si>
    <t>Avi-Tech Hldg</t>
  </si>
  <si>
    <t>1R6</t>
  </si>
  <si>
    <t>Olam Group</t>
  </si>
  <si>
    <t>VC2</t>
  </si>
  <si>
    <t>Nanofilm</t>
  </si>
  <si>
    <t>MZH</t>
  </si>
  <si>
    <t>UMS</t>
  </si>
  <si>
    <t>558</t>
  </si>
  <si>
    <t>SGX</t>
  </si>
  <si>
    <t>S68</t>
  </si>
  <si>
    <t>SATS</t>
  </si>
  <si>
    <t>S58</t>
  </si>
  <si>
    <t>Keppel REIT</t>
  </si>
  <si>
    <t>K71U</t>
  </si>
  <si>
    <t>Seatrium</t>
  </si>
  <si>
    <t>5E2</t>
  </si>
  <si>
    <t>Sembcorp Industries</t>
  </si>
  <si>
    <t>U96</t>
  </si>
  <si>
    <t>Sheng Siong</t>
  </si>
  <si>
    <t>OV8</t>
  </si>
  <si>
    <t>Golden Agri-Resources</t>
  </si>
  <si>
    <t>E5H</t>
  </si>
  <si>
    <t>Week of 4 May 2026</t>
  </si>
  <si>
    <r>
      <t xml:space="preserve">Institutional investors net </t>
    </r>
    <r>
      <rPr>
        <b/>
        <sz val="11"/>
        <rFont val="Arial"/>
        <family val="2"/>
      </rPr>
      <t>sell</t>
    </r>
    <r>
      <rPr>
        <sz val="11"/>
        <rFont val="Arial"/>
        <family val="2"/>
      </rPr>
      <t xml:space="preserve"> (-S$86.5m) vs. (-S$379.4m) a week ago</t>
    </r>
  </si>
  <si>
    <r>
      <t xml:space="preserve">Retail investors net </t>
    </r>
    <r>
      <rPr>
        <b/>
        <sz val="11"/>
        <rFont val="Arial"/>
        <family val="2"/>
      </rPr>
      <t>buy</t>
    </r>
    <r>
      <rPr>
        <sz val="11"/>
        <rFont val="Arial"/>
        <family val="2"/>
      </rPr>
      <t xml:space="preserve"> (+S$280.4m) vs. (+S$298.6m)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</si>
</sst>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85</v>
      </c>
      <c r="I2" s="40"/>
    </row>
    <row r="3" spans="1:13" ht="15" x14ac:dyDescent="0.25">
      <c r="A3" s="52" t="s">
        <v>86</v>
      </c>
      <c r="I3" s="40"/>
    </row>
    <row r="5" spans="1:13" ht="29.25" customHeight="1" x14ac:dyDescent="0.2">
      <c r="A5" s="3" t="s">
        <v>0</v>
      </c>
      <c r="B5" s="3" t="s">
        <v>1</v>
      </c>
      <c r="C5" s="4" t="s">
        <v>84</v>
      </c>
      <c r="D5" s="43" t="s">
        <v>2</v>
      </c>
      <c r="E5" s="43" t="s">
        <v>1</v>
      </c>
      <c r="F5" s="44" t="str">
        <f>+C5</f>
        <v>Week of 4 May 2026</v>
      </c>
      <c r="I5" s="2"/>
    </row>
    <row r="6" spans="1:13" ht="15" x14ac:dyDescent="0.25">
      <c r="A6" s="28" t="s">
        <v>36</v>
      </c>
      <c r="B6" s="46" t="s">
        <v>37</v>
      </c>
      <c r="C6" s="5">
        <v>82.030844999999999</v>
      </c>
      <c r="D6" s="28" t="s">
        <v>22</v>
      </c>
      <c r="E6" s="46" t="s">
        <v>21</v>
      </c>
      <c r="F6" s="5">
        <v>-49.916778000000001</v>
      </c>
      <c r="G6" s="61"/>
      <c r="H6"/>
      <c r="I6" s="2"/>
      <c r="M6"/>
    </row>
    <row r="7" spans="1:13" ht="15" x14ac:dyDescent="0.25">
      <c r="A7" s="29" t="s">
        <v>52</v>
      </c>
      <c r="B7" s="9" t="s">
        <v>53</v>
      </c>
      <c r="C7" s="7">
        <v>50.141302163799999</v>
      </c>
      <c r="D7" s="29" t="s">
        <v>44</v>
      </c>
      <c r="E7" s="9" t="s">
        <v>45</v>
      </c>
      <c r="F7" s="7">
        <v>-39.496333</v>
      </c>
      <c r="G7" s="61"/>
      <c r="H7"/>
      <c r="I7" s="2"/>
      <c r="L7"/>
      <c r="M7"/>
    </row>
    <row r="8" spans="1:13" ht="15" x14ac:dyDescent="0.25">
      <c r="A8" s="30" t="s">
        <v>48</v>
      </c>
      <c r="B8" s="46" t="s">
        <v>49</v>
      </c>
      <c r="C8" s="5">
        <v>37.853113999999998</v>
      </c>
      <c r="D8" s="30" t="s">
        <v>34</v>
      </c>
      <c r="E8" s="46" t="s">
        <v>35</v>
      </c>
      <c r="F8" s="5">
        <v>-39.325060000000001</v>
      </c>
      <c r="G8" s="61"/>
      <c r="H8"/>
      <c r="I8" s="2"/>
      <c r="L8"/>
      <c r="M8"/>
    </row>
    <row r="9" spans="1:13" ht="15" x14ac:dyDescent="0.25">
      <c r="A9" s="29" t="s">
        <v>60</v>
      </c>
      <c r="B9" s="9" t="s">
        <v>61</v>
      </c>
      <c r="C9" s="7">
        <v>27.767327900000002</v>
      </c>
      <c r="D9" s="29" t="s">
        <v>40</v>
      </c>
      <c r="E9" s="9" t="s">
        <v>41</v>
      </c>
      <c r="F9" s="7">
        <v>-37.063223999999998</v>
      </c>
      <c r="G9" s="61"/>
      <c r="H9"/>
      <c r="I9" s="2"/>
      <c r="L9"/>
      <c r="M9"/>
    </row>
    <row r="10" spans="1:13" ht="15" x14ac:dyDescent="0.25">
      <c r="A10" s="30" t="s">
        <v>62</v>
      </c>
      <c r="B10" s="46" t="s">
        <v>63</v>
      </c>
      <c r="C10" s="5">
        <v>16.880559812000001</v>
      </c>
      <c r="D10" s="30" t="s">
        <v>42</v>
      </c>
      <c r="E10" s="46" t="s">
        <v>43</v>
      </c>
      <c r="F10" s="5">
        <v>-30.996974000000002</v>
      </c>
      <c r="G10" s="61"/>
      <c r="H10"/>
      <c r="I10" s="2"/>
      <c r="L10"/>
      <c r="M10"/>
    </row>
    <row r="11" spans="1:13" ht="15" x14ac:dyDescent="0.25">
      <c r="A11" s="29" t="s">
        <v>46</v>
      </c>
      <c r="B11" s="9" t="s">
        <v>47</v>
      </c>
      <c r="C11" s="7">
        <v>15.74325</v>
      </c>
      <c r="D11" s="29" t="s">
        <v>70</v>
      </c>
      <c r="E11" s="9" t="s">
        <v>71</v>
      </c>
      <c r="F11" s="7">
        <v>-29.489715</v>
      </c>
      <c r="G11" s="61"/>
      <c r="H11"/>
      <c r="I11" s="2"/>
      <c r="L11"/>
      <c r="M11"/>
    </row>
    <row r="12" spans="1:13" ht="15" x14ac:dyDescent="0.25">
      <c r="A12" s="30" t="s">
        <v>64</v>
      </c>
      <c r="B12" s="46" t="s">
        <v>65</v>
      </c>
      <c r="C12" s="5">
        <v>14.946156</v>
      </c>
      <c r="D12" s="30" t="s">
        <v>56</v>
      </c>
      <c r="E12" s="46" t="s">
        <v>57</v>
      </c>
      <c r="F12" s="5">
        <v>-19.29954</v>
      </c>
      <c r="G12" s="61"/>
      <c r="H12"/>
      <c r="I12" s="2"/>
      <c r="L12"/>
      <c r="M12"/>
    </row>
    <row r="13" spans="1:13" ht="15" x14ac:dyDescent="0.25">
      <c r="A13" s="29" t="s">
        <v>66</v>
      </c>
      <c r="B13" s="9" t="s">
        <v>67</v>
      </c>
      <c r="C13" s="7">
        <v>11.493702000000001</v>
      </c>
      <c r="D13" s="29" t="s">
        <v>38</v>
      </c>
      <c r="E13" s="9" t="s">
        <v>39</v>
      </c>
      <c r="F13" s="7">
        <v>-18.282993000000001</v>
      </c>
      <c r="G13" s="61"/>
      <c r="H13"/>
      <c r="I13" s="2"/>
      <c r="L13"/>
      <c r="M13"/>
    </row>
    <row r="14" spans="1:13" ht="15" x14ac:dyDescent="0.25">
      <c r="A14" s="30" t="s">
        <v>68</v>
      </c>
      <c r="B14" s="46" t="s">
        <v>69</v>
      </c>
      <c r="C14" s="5">
        <v>10.644466</v>
      </c>
      <c r="D14" s="30" t="s">
        <v>72</v>
      </c>
      <c r="E14" s="46" t="s">
        <v>73</v>
      </c>
      <c r="F14" s="5">
        <v>-15.994059</v>
      </c>
      <c r="G14" s="61"/>
      <c r="H14"/>
      <c r="I14" s="2"/>
      <c r="L14"/>
      <c r="M14"/>
    </row>
    <row r="15" spans="1:13" ht="15" x14ac:dyDescent="0.25">
      <c r="A15" s="31" t="s">
        <v>58</v>
      </c>
      <c r="B15" s="27" t="s">
        <v>59</v>
      </c>
      <c r="C15" s="8">
        <v>9.6776540000000004</v>
      </c>
      <c r="D15" s="31" t="s">
        <v>74</v>
      </c>
      <c r="E15" s="27" t="s">
        <v>75</v>
      </c>
      <c r="F15" s="8">
        <v>-14.856569500000001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4 May 2026</v>
      </c>
      <c r="D18" s="45" t="s">
        <v>4</v>
      </c>
      <c r="E18" s="43" t="s">
        <v>1</v>
      </c>
      <c r="F18" s="44" t="str">
        <f>+C18</f>
        <v>Week of 4 May 2026</v>
      </c>
    </row>
    <row r="19" spans="1:9" x14ac:dyDescent="0.2">
      <c r="A19" s="30" t="s">
        <v>22</v>
      </c>
      <c r="B19" s="46" t="s">
        <v>21</v>
      </c>
      <c r="C19" s="16">
        <v>91.722592000000006</v>
      </c>
      <c r="D19" s="30" t="s">
        <v>60</v>
      </c>
      <c r="E19" s="15" t="s">
        <v>61</v>
      </c>
      <c r="F19" s="5">
        <v>-51.714453900000002</v>
      </c>
      <c r="I19" s="2"/>
    </row>
    <row r="20" spans="1:9" ht="15" x14ac:dyDescent="0.25">
      <c r="A20" s="29" t="s">
        <v>38</v>
      </c>
      <c r="B20" s="9" t="s">
        <v>39</v>
      </c>
      <c r="C20" s="7">
        <v>58.685279000000001</v>
      </c>
      <c r="D20" s="29" t="s">
        <v>64</v>
      </c>
      <c r="E20" s="17" t="s">
        <v>65</v>
      </c>
      <c r="F20" s="7">
        <v>-22.184117000000001</v>
      </c>
      <c r="G20" s="61"/>
      <c r="I20" s="2"/>
    </row>
    <row r="21" spans="1:9" ht="15" x14ac:dyDescent="0.25">
      <c r="A21" s="30" t="s">
        <v>40</v>
      </c>
      <c r="B21" s="46" t="s">
        <v>41</v>
      </c>
      <c r="C21" s="5">
        <v>45.975434999999997</v>
      </c>
      <c r="D21" s="30" t="s">
        <v>52</v>
      </c>
      <c r="E21" s="6" t="s">
        <v>53</v>
      </c>
      <c r="F21" s="5">
        <v>-20.575822736599999</v>
      </c>
      <c r="G21" s="61"/>
      <c r="I21" s="2"/>
    </row>
    <row r="22" spans="1:9" ht="15" x14ac:dyDescent="0.25">
      <c r="A22" s="29" t="s">
        <v>34</v>
      </c>
      <c r="B22" s="9" t="s">
        <v>35</v>
      </c>
      <c r="C22" s="7">
        <v>43.031770000000002</v>
      </c>
      <c r="D22" s="29" t="s">
        <v>62</v>
      </c>
      <c r="E22" s="17" t="s">
        <v>63</v>
      </c>
      <c r="F22" s="7">
        <v>-16.914464811999999</v>
      </c>
      <c r="G22" s="61"/>
      <c r="I22" s="2"/>
    </row>
    <row r="23" spans="1:9" ht="15" x14ac:dyDescent="0.25">
      <c r="A23" s="30" t="s">
        <v>70</v>
      </c>
      <c r="B23" s="68" t="s">
        <v>71</v>
      </c>
      <c r="C23" s="69">
        <v>36.272765</v>
      </c>
      <c r="D23" s="30" t="s">
        <v>42</v>
      </c>
      <c r="E23" s="6" t="s">
        <v>43</v>
      </c>
      <c r="F23" s="5">
        <v>-11.948907999999999</v>
      </c>
      <c r="G23" s="61"/>
      <c r="I23" s="2"/>
    </row>
    <row r="24" spans="1:9" ht="15" x14ac:dyDescent="0.25">
      <c r="A24" s="70" t="s">
        <v>56</v>
      </c>
      <c r="B24" s="71" t="s">
        <v>57</v>
      </c>
      <c r="C24" s="72">
        <v>27.108944000000001</v>
      </c>
      <c r="D24" s="29" t="s">
        <v>58</v>
      </c>
      <c r="E24" s="17" t="s">
        <v>59</v>
      </c>
      <c r="F24" s="7">
        <v>-10.491773</v>
      </c>
      <c r="G24" s="61"/>
      <c r="I24" s="2"/>
    </row>
    <row r="25" spans="1:9" ht="15" x14ac:dyDescent="0.25">
      <c r="A25" s="30" t="s">
        <v>50</v>
      </c>
      <c r="B25" s="68" t="s">
        <v>51</v>
      </c>
      <c r="C25" s="69">
        <v>23.475473000000001</v>
      </c>
      <c r="D25" s="30" t="s">
        <v>54</v>
      </c>
      <c r="E25" s="6" t="s">
        <v>55</v>
      </c>
      <c r="F25" s="5">
        <v>-8.9810879999999997</v>
      </c>
      <c r="G25" s="61"/>
      <c r="I25" s="2"/>
    </row>
    <row r="26" spans="1:9" ht="15" x14ac:dyDescent="0.25">
      <c r="A26" s="70" t="s">
        <v>76</v>
      </c>
      <c r="B26" s="71" t="s">
        <v>77</v>
      </c>
      <c r="C26" s="72">
        <v>20.928984</v>
      </c>
      <c r="D26" s="29" t="s">
        <v>80</v>
      </c>
      <c r="E26" s="17" t="s">
        <v>81</v>
      </c>
      <c r="F26" s="7">
        <v>-8.9648299999999992</v>
      </c>
      <c r="G26" s="61"/>
      <c r="I26" s="2"/>
    </row>
    <row r="27" spans="1:9" ht="15" x14ac:dyDescent="0.25">
      <c r="A27" s="30" t="s">
        <v>78</v>
      </c>
      <c r="B27" s="46" t="s">
        <v>79</v>
      </c>
      <c r="C27" s="5">
        <v>18.719615000000001</v>
      </c>
      <c r="D27" s="30" t="s">
        <v>82</v>
      </c>
      <c r="E27" s="46" t="s">
        <v>83</v>
      </c>
      <c r="F27" s="5">
        <v>-8.3925649999999994</v>
      </c>
      <c r="G27" s="61"/>
      <c r="I27" s="2"/>
    </row>
    <row r="28" spans="1:9" ht="15" x14ac:dyDescent="0.25">
      <c r="A28" s="27" t="s">
        <v>44</v>
      </c>
      <c r="B28" s="56" t="s">
        <v>45</v>
      </c>
      <c r="C28" s="8">
        <v>17.840433999999998</v>
      </c>
      <c r="D28" s="67" t="s">
        <v>66</v>
      </c>
      <c r="E28" s="56" t="s">
        <v>67</v>
      </c>
      <c r="F28" s="8">
        <v>-8.0286419999999996</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73" t="s">
        <v>33</v>
      </c>
      <c r="B40" s="73"/>
      <c r="C40" s="73"/>
      <c r="D40" s="73"/>
      <c r="E40" s="73"/>
      <c r="F40" s="73"/>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6 B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74" t="s">
        <v>7</v>
      </c>
      <c r="B1" s="12"/>
      <c r="C1" s="76" t="s">
        <v>8</v>
      </c>
      <c r="D1" s="77"/>
      <c r="E1" s="77"/>
      <c r="F1" s="77"/>
      <c r="G1" s="77"/>
      <c r="H1" s="77"/>
      <c r="I1" s="77"/>
      <c r="J1" s="77"/>
      <c r="K1" s="77"/>
      <c r="L1" s="77"/>
      <c r="M1" s="77"/>
      <c r="N1" s="78"/>
    </row>
    <row r="2" spans="1:15" ht="75" x14ac:dyDescent="0.2">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-357.44986196277006</v>
      </c>
      <c r="B3" s="54">
        <v>46125</v>
      </c>
      <c r="C3" s="14">
        <v>6.1141201936800016</v>
      </c>
      <c r="D3" s="14">
        <v>-26.696586815700002</v>
      </c>
      <c r="E3" s="14">
        <v>-3.2732348999999998</v>
      </c>
      <c r="F3" s="14">
        <v>-182.41578999999999</v>
      </c>
      <c r="G3" s="14">
        <v>-0.29985381449999987</v>
      </c>
      <c r="H3" s="14">
        <v>-46.182626853649992</v>
      </c>
      <c r="I3" s="14">
        <v>-1.0260273</v>
      </c>
      <c r="J3" s="14">
        <v>-10.624705756000001</v>
      </c>
      <c r="K3" s="14">
        <v>-10.038164932999999</v>
      </c>
      <c r="L3" s="14">
        <v>50.666613816399988</v>
      </c>
      <c r="M3" s="14">
        <v>-140.1813008</v>
      </c>
      <c r="N3" s="14">
        <v>6.5076951999999997</v>
      </c>
    </row>
    <row r="4" spans="1:15" ht="15" x14ac:dyDescent="0.25">
      <c r="A4" s="38">
        <f>SUM(C4:N4)</f>
        <v>-551.75180964167009</v>
      </c>
      <c r="B4" s="42">
        <v>46132</v>
      </c>
      <c r="C4" s="53">
        <v>-22.500601799199991</v>
      </c>
      <c r="D4" s="53">
        <v>15.882503576099996</v>
      </c>
      <c r="E4" s="53">
        <v>-2.5103825999999998</v>
      </c>
      <c r="F4" s="53">
        <v>-87.040505599999989</v>
      </c>
      <c r="G4" s="53">
        <v>-17.597595161400005</v>
      </c>
      <c r="H4" s="53">
        <v>-128.28490886090009</v>
      </c>
      <c r="I4" s="53">
        <v>-7.5182275000000045</v>
      </c>
      <c r="J4" s="53">
        <v>-13.372526303999996</v>
      </c>
      <c r="K4" s="53">
        <v>-82.052037107869978</v>
      </c>
      <c r="L4" s="53">
        <v>34.338305615599999</v>
      </c>
      <c r="M4" s="53">
        <v>-235.07882720000001</v>
      </c>
      <c r="N4" s="53">
        <v>-6.0170067000000005</v>
      </c>
    </row>
    <row r="5" spans="1:15" ht="15" x14ac:dyDescent="0.25">
      <c r="A5" s="38">
        <f>SUM(C5:N5)</f>
        <v>-379.37348722645993</v>
      </c>
      <c r="B5" s="66">
        <v>46139</v>
      </c>
      <c r="C5" s="14">
        <v>-7.8585814228999995</v>
      </c>
      <c r="D5" s="14">
        <v>35.979109767700002</v>
      </c>
      <c r="E5" s="14">
        <v>1.1019364999999999</v>
      </c>
      <c r="F5" s="14">
        <v>-175.10087210000003</v>
      </c>
      <c r="G5" s="14">
        <v>-6.3949651968999994</v>
      </c>
      <c r="H5" s="14">
        <v>-119.603255457</v>
      </c>
      <c r="I5" s="14">
        <v>-3.6055850000000005</v>
      </c>
      <c r="J5" s="14">
        <v>7.9158858260999985</v>
      </c>
      <c r="K5" s="14">
        <v>-30.601014143459988</v>
      </c>
      <c r="L5" s="14">
        <v>9.0207435000000089</v>
      </c>
      <c r="M5" s="14">
        <v>-90.162643400000007</v>
      </c>
      <c r="N5" s="14">
        <v>-6.4246099999999834E-2</v>
      </c>
    </row>
    <row r="6" spans="1:15" ht="15" x14ac:dyDescent="0.25">
      <c r="A6" s="38">
        <f>SUM(C6:N6)</f>
        <v>-86.487532208800047</v>
      </c>
      <c r="B6" s="58">
        <v>46146</v>
      </c>
      <c r="C6" s="53">
        <v>-11.74046246414</v>
      </c>
      <c r="D6" s="53">
        <v>57.841085313000008</v>
      </c>
      <c r="E6" s="53">
        <v>-0.52046349999999986</v>
      </c>
      <c r="F6" s="53">
        <v>-166.57208330000003</v>
      </c>
      <c r="G6" s="53">
        <v>-8.8078473388000003</v>
      </c>
      <c r="H6" s="53">
        <v>-73.684327125600007</v>
      </c>
      <c r="I6" s="53">
        <v>-2.1985678999999996</v>
      </c>
      <c r="J6" s="53">
        <v>48.912285363799988</v>
      </c>
      <c r="K6" s="53">
        <v>-79.511353269059995</v>
      </c>
      <c r="L6" s="53">
        <v>79.625944411999996</v>
      </c>
      <c r="M6" s="53">
        <v>78.0061295</v>
      </c>
      <c r="N6" s="53">
        <v>-7.8378718999999997</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74" t="s">
        <v>7</v>
      </c>
      <c r="B1" s="12"/>
      <c r="C1" s="76" t="s">
        <v>8</v>
      </c>
      <c r="D1" s="77"/>
      <c r="E1" s="77"/>
      <c r="F1" s="77"/>
      <c r="G1" s="77"/>
      <c r="H1" s="77"/>
      <c r="I1" s="77"/>
      <c r="J1" s="77"/>
      <c r="K1" s="77"/>
      <c r="L1" s="77"/>
      <c r="M1" s="77"/>
      <c r="N1" s="78"/>
    </row>
    <row r="2" spans="1:20" ht="60" x14ac:dyDescent="0.2">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194.88145804061</v>
      </c>
      <c r="B3" s="47">
        <v>46125</v>
      </c>
      <c r="C3" s="60">
        <v>-2.8058384625999997</v>
      </c>
      <c r="D3" s="60">
        <v>43.871815760099999</v>
      </c>
      <c r="E3" s="60">
        <v>-7.2312048000000004</v>
      </c>
      <c r="F3" s="60">
        <v>89.517740000000003</v>
      </c>
      <c r="G3" s="60">
        <v>5.085898428800002</v>
      </c>
      <c r="H3" s="60">
        <v>127.46797113917999</v>
      </c>
      <c r="I3" s="60">
        <v>3.9820511000000005</v>
      </c>
      <c r="J3" s="60">
        <v>14.727465067300001</v>
      </c>
      <c r="K3" s="60">
        <v>-24.149271883769991</v>
      </c>
      <c r="L3" s="60">
        <v>-93.609490008399973</v>
      </c>
      <c r="M3" s="60">
        <v>51.781019699999995</v>
      </c>
      <c r="N3" s="60">
        <v>-13.756698</v>
      </c>
      <c r="P3" s="13"/>
    </row>
    <row r="4" spans="1:20" ht="15" x14ac:dyDescent="0.25">
      <c r="A4" s="48">
        <f>SUM(C4:N4)</f>
        <v>721.70845434967998</v>
      </c>
      <c r="B4" s="58">
        <v>46132</v>
      </c>
      <c r="C4" s="55">
        <v>32.160320297129999</v>
      </c>
      <c r="D4" s="55">
        <v>1.0988095139999983</v>
      </c>
      <c r="E4" s="55">
        <v>7.0185440000000003</v>
      </c>
      <c r="F4" s="55">
        <v>422.25299590000003</v>
      </c>
      <c r="G4" s="55">
        <v>26.225011665699995</v>
      </c>
      <c r="H4" s="55">
        <v>177.97119877949999</v>
      </c>
      <c r="I4" s="55">
        <v>8.259353400000002</v>
      </c>
      <c r="J4" s="55">
        <v>3.0209710779000001</v>
      </c>
      <c r="K4" s="55">
        <v>17.238329765450008</v>
      </c>
      <c r="L4" s="55">
        <v>-44.158908550000007</v>
      </c>
      <c r="M4" s="55">
        <v>64.55685489999999</v>
      </c>
      <c r="N4" s="55">
        <v>6.0649736000000001</v>
      </c>
      <c r="P4" s="13"/>
    </row>
    <row r="5" spans="1:20" ht="15" x14ac:dyDescent="0.25">
      <c r="A5" s="48">
        <f>SUM(C5:N5)</f>
        <v>298.62163700578003</v>
      </c>
      <c r="B5" s="66">
        <v>46139</v>
      </c>
      <c r="C5" s="60">
        <v>19.166126676810006</v>
      </c>
      <c r="D5" s="60">
        <v>-9.6497048102999994</v>
      </c>
      <c r="E5" s="60">
        <v>-1.2089656000000002</v>
      </c>
      <c r="F5" s="60">
        <v>-28.158516900000002</v>
      </c>
      <c r="G5" s="60">
        <v>7.0750317147000006</v>
      </c>
      <c r="H5" s="60">
        <v>165.37060647965004</v>
      </c>
      <c r="I5" s="60">
        <v>2.7251711999999997</v>
      </c>
      <c r="J5" s="60">
        <v>13.265931319500002</v>
      </c>
      <c r="K5" s="60">
        <v>68.738578575419965</v>
      </c>
      <c r="L5" s="60">
        <v>34.997628550000002</v>
      </c>
      <c r="M5" s="60">
        <v>16.936936299999999</v>
      </c>
      <c r="N5" s="60">
        <v>9.3628134999999997</v>
      </c>
      <c r="P5" s="13"/>
    </row>
    <row r="6" spans="1:20" ht="15" x14ac:dyDescent="0.25">
      <c r="A6" s="48">
        <f>SUM(C6:N6)</f>
        <v>280.42430311831004</v>
      </c>
      <c r="B6" s="58">
        <v>46146</v>
      </c>
      <c r="C6" s="55">
        <v>11.340407593889999</v>
      </c>
      <c r="D6" s="55">
        <v>-40.886353315600005</v>
      </c>
      <c r="E6" s="55">
        <v>6.7954031000000006</v>
      </c>
      <c r="F6" s="55">
        <v>178.17168290000001</v>
      </c>
      <c r="G6" s="55">
        <v>5.1692286996000014</v>
      </c>
      <c r="H6" s="55">
        <v>134.97949005264999</v>
      </c>
      <c r="I6" s="55">
        <v>1.6686988</v>
      </c>
      <c r="J6" s="55">
        <v>-29.123658336600005</v>
      </c>
      <c r="K6" s="55">
        <v>76.357438386369992</v>
      </c>
      <c r="L6" s="55">
        <v>-89.855219862000013</v>
      </c>
      <c r="M6" s="55">
        <v>0.56677829999999751</v>
      </c>
      <c r="N6" s="55">
        <v>25.240406799999999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2026-05-11T01:58:56Z</dcterms:modified>
</cp:coreProperties>
</file>