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DC86EB25-CE37-4779-936D-2C833A16EC9D}" xr6:coauthVersionLast="47" xr6:coauthVersionMax="47" xr10:uidLastSave="{00000000-0000-0000-0000-000000000000}"/>
  <bookViews>
    <workbookView xWindow="-57720" yWindow="-426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2" l="1"/>
  <c r="A5" i="2"/>
  <c r="A4" i="2"/>
  <c r="A3" i="2"/>
  <c r="A3" i="3"/>
  <c r="A4" i="3"/>
  <c r="A5" i="3"/>
  <c r="A6" i="3" l="1"/>
  <c r="A1" i="5"/>
  <c r="A1" i="4" l="1"/>
  <c r="C32" i="4" l="1"/>
  <c r="D32" i="4" l="1"/>
  <c r="C18" i="1" l="1"/>
  <c r="F18" i="1" s="1"/>
  <c r="F5" i="1"/>
</calcChain>
</file>

<file path=xl/sharedStrings.xml><?xml version="1.0" encoding="utf-8"?>
<sst xmlns="http://schemas.openxmlformats.org/spreadsheetml/2006/main" count="518" uniqueCount="275">
  <si>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</si>
  <si>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</si>
  <si>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</si>
  <si>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</si>
  <si>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</si>
  <si>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</si>
  <si>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</si>
  <si>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</si>
  <si>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</si>
  <si>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</si>
  <si>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</si>
  <si>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</si>
  <si>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</si>
  <si>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</si>
  <si>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</si>
  <si>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</si>
  <si>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</si>
  <si>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</si>
  <si>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</si>
  <si>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</si>
  <si>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</si>
  <si>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</si>
  <si>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</si>
  <si>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</si>
  <si>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</si>
  <si>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</si>
  <si>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</si>
  <si>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</si>
  <si>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</si>
  <si>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</si>
  <si>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</si>
  <si>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</si>
  <si>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</si>
  <si>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</si>
  <si>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</si>
  <si>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</si>
  <si>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</si>
  <si>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</si>
  <si>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</si>
  <si>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</si>
  <si>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</si>
  <si>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</si>
  <si>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</si>
  <si>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</si>
  <si>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</si>
  <si>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</si>
  <si>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</si>
  <si>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</si>
  <si>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</si>
  <si>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</si>
  <si>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</si>
  <si>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</si>
  <si>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</si>
  <si>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</si>
  <si>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</si>
  <si>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</si>
  <si>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</si>
  <si>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</si>
  <si>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</si>
  <si>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</si>
  <si>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</si>
  <si>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</si>
  <si>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</si>
  <si>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</si>
  <si>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</si>
  <si>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</si>
  <si>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</si>
  <si>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</si>
  <si>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</si>
  <si>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</si>
  <si>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</si>
  <si>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</si>
  <si>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</si>
  <si>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</si>
  <si>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</si>
  <si>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</si>
  <si>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</si>
  <si>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</si>
  <si>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</si>
  <si>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</si>
  <si>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</si>
  <si>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</si>
  <si>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</si>
  <si>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</si>
  <si>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</si>
  <si>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</si>
  <si>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</si>
  <si>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</si>
  <si>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</si>
  <si>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</si>
  <si>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S51</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</si>
  <si>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</si>
  <si>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</si>
  <si>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</si>
  <si>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</si>
  <si>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</si>
  <si>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</si>
  <si>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</si>
  <si>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</si>
  <si>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</si>
  <si>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</si>
  <si>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</si>
  <si>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</si>
  <si>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</si>
  <si>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</si>
  <si>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</si>
  <si>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</si>
  <si>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</si>
  <si>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</si>
  <si>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</si>
  <si>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</si>
  <si>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</si>
  <si>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</si>
  <si>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</si>
  <si>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</si>
  <si>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</si>
  <si>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</si>
  <si>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</si>
  <si>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</si>
  <si>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</si>
  <si>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</si>
  <si>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</si>
  <si>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</si>
  <si>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</si>
  <si>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</si>
  <si>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</si>
  <si>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</si>
  <si>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</si>
  <si>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</si>
  <si>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</si>
  <si>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</si>
  <si>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</si>
  <si>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</si>
  <si>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</si>
  <si>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</si>
  <si>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</si>
  <si>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</si>
  <si>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</si>
  <si>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</si>
  <si>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</si>
  <si>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</si>
  <si>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</si>
  <si>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</si>
  <si>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</si>
  <si>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</si>
  <si>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</si>
  <si>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</si>
  <si>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558</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</si>
  <si>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</si>
  <si>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</si>
  <si>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</si>
  <si>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</si>
  <si>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</si>
  <si>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</si>
  <si>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</si>
  <si>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</si>
  <si>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</si>
  <si>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</si>
  <si>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</si>
  <si>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T14</t>
  </si>
  <si>
    <t>H02</t>
  </si>
  <si>
    <t>S59</t>
  </si>
  <si>
    <t>5LY</t>
  </si>
  <si>
    <t>AGS</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</si>
  <si>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</si>
  <si>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</si>
  <si>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</si>
  <si>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</si>
  <si>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</si>
  <si>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</si>
  <si>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</si>
  <si>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</si>
  <si>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</si>
  <si>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</si>
  <si>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</si>
  <si>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</si>
  <si>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</si>
  <si>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</si>
  <si>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</si>
  <si>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</si>
  <si>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</si>
  <si>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</si>
  <si>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</si>
  <si>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</si>
  <si>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</si>
  <si>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</si>
  <si>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</si>
  <si>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</si>
  <si>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</si>
  <si>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</si>
  <si>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</si>
  <si>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</si>
  <si>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</si>
  <si>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</si>
  <si>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</si>
  <si>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</si>
  <si>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</si>
  <si>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</si>
  <si>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</si>
  <si>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</si>
  <si>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</si>
  <si>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</si>
  <si>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</si>
  <si>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</si>
  <si>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</si>
  <si>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</si>
  <si>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</si>
  <si>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</si>
  <si>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</si>
  <si>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</si>
  <si>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</si>
  <si>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</si>
  <si>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</si>
  <si>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</si>
  <si>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</si>
  <si>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</si>
  <si>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</si>
  <si>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</si>
  <si>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</si>
  <si>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</si>
  <si>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</si>
  <si>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</si>
  <si>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</si>
  <si>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</si>
  <si>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</si>
  <si>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</si>
  <si>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</si>
  <si>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</si>
  <si>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</si>
  <si>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</si>
  <si>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</si>
  <si>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</si>
  <si>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</si>
  <si>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</si>
  <si>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</si>
  <si>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</si>
  <si>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</si>
  <si>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</si>
  <si>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</si>
  <si>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</si>
  <si>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</si>
  <si>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</si>
  <si>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</si>
  <si>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</si>
  <si>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</si>
  <si>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Best World</t>
  </si>
  <si>
    <t>Haw Par</t>
  </si>
  <si>
    <t>TheHourGlass</t>
  </si>
  <si>
    <t>Sasseur Reit</t>
  </si>
  <si>
    <t>Delfi</t>
  </si>
  <si>
    <t>Yoma Strategic</t>
  </si>
  <si>
    <t>SIA Engineering</t>
  </si>
  <si>
    <t>Source: SGX.</t>
  </si>
  <si>
    <t>Mapletree Pan Asia Commercial Trust</t>
  </si>
  <si>
    <t>Wing Tai</t>
  </si>
  <si>
    <t>W05</t>
  </si>
  <si>
    <t>Straits Trading</t>
  </si>
  <si>
    <t>S20</t>
  </si>
  <si>
    <t>Daiwa Hse Log Tr</t>
  </si>
  <si>
    <t>DHLU</t>
  </si>
  <si>
    <t>Definition: Retail fund flow is derived by subtracting institutional Investmentestors account flow and MMAT flow from TOTAL ST markets flows. Net buy/sell amount is derived by subtracting total sell amount from total buy amount</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</si>
  <si>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Investmentestment product. This document/material has been published for general circulation only. It   does not address the specific Investmentestment objectives, financial situation or particular needs of any person. Advice should be sought from a   financial adviser regarding the suitability of any Investmentestment product before Investmentesting or adopting any Investmentestment strategies. Use of and/or reliance on this document/material is entirely at the reader’s own risk. Investmentestment products are subject to significant Investmentestment risks, including the possible loss of the principal amount Investmentested.  Past  performance of  Investmentestment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</si>
  <si>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Frasers Centrepoint Trust</t>
  </si>
  <si>
    <t>Mermaid Maritime</t>
  </si>
  <si>
    <t>DU4</t>
  </si>
  <si>
    <t>Bumitama Agri</t>
  </si>
  <si>
    <t>P8Z</t>
  </si>
  <si>
    <t>Great Eastern</t>
  </si>
  <si>
    <t>G07</t>
  </si>
  <si>
    <r>
      <t xml:space="preserve">Institutional investors net </t>
    </r>
    <r>
      <rPr>
        <b/>
        <sz val="11"/>
        <rFont val="Arial"/>
        <family val="2"/>
      </rPr>
      <t>buy</t>
    </r>
    <r>
      <rPr>
        <sz val="11"/>
        <rFont val="Arial"/>
        <family val="2"/>
      </rPr>
      <t xml:space="preserve"> (+S$5.8m) vs. (+S$221.7m) a week ago</t>
    </r>
  </si>
  <si>
    <r>
      <t xml:space="preserve">Retail investors net </t>
    </r>
    <r>
      <rPr>
        <b/>
        <sz val="11"/>
        <rFont val="Arial"/>
        <family val="2"/>
      </rPr>
      <t>buy</t>
    </r>
    <r>
      <rPr>
        <sz val="11"/>
        <rFont val="Arial"/>
        <family val="2"/>
      </rPr>
      <t xml:space="preserve"> (+S$22.8m) vs. (-S$478.6m) a week ago</t>
    </r>
  </si>
  <si>
    <t>Week of 29 April 2024</t>
  </si>
  <si>
    <t>Jardine Matheson Holdings</t>
  </si>
  <si>
    <t>Best World International</t>
  </si>
  <si>
    <t>iFast Corporation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</si>
</sst>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 numFmtId="171" formatCode="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1">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1" xfId="0" applyNumberFormat="1" applyFont="1" applyFill="1" applyBorder="1" applyAlignment="1">
      <alignment horizontal="center"/>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6" fillId="0" borderId="0" xfId="0" applyFont="1"/>
    <xf numFmtId="168" fontId="0" fillId="0" borderId="0" xfId="0" applyNumberFormat="1"/>
    <xf numFmtId="168" fontId="3" fillId="0" borderId="0" xfId="1" applyNumberFormat="1" applyFont="1" applyFill="1"/>
    <xf numFmtId="164" fontId="3" fillId="0" borderId="0" xfId="0" applyNumberFormat="1" applyFont="1" applyAlignment="1">
      <alignment horizontal="center" vertical="center"/>
    </xf>
    <xf numFmtId="15" fontId="3" fillId="0" borderId="0" xfId="0" applyNumberFormat="1" applyFont="1" applyAlignment="1">
      <alignment horizontal="left" vertical="center"/>
    </xf>
    <xf numFmtId="43" fontId="0" fillId="0" borderId="0" xfId="0" applyNumberFormat="1"/>
    <xf numFmtId="168" fontId="3" fillId="4" borderId="9" xfId="1" applyNumberFormat="1" applyFont="1" applyFill="1" applyBorder="1" applyAlignment="1">
      <alignment horizontal="right"/>
    </xf>
    <xf numFmtId="168" fontId="3" fillId="0" borderId="4" xfId="1" applyNumberFormat="1" applyFont="1" applyBorder="1" applyAlignment="1">
      <alignment horizontal="right"/>
    </xf>
    <xf numFmtId="168" fontId="3" fillId="4" borderId="4" xfId="1" applyNumberFormat="1" applyFont="1" applyFill="1" applyBorder="1" applyAlignment="1">
      <alignment horizontal="right"/>
    </xf>
    <xf numFmtId="168" fontId="3" fillId="0" borderId="5" xfId="1" applyNumberFormat="1" applyFont="1" applyBorder="1" applyAlignment="1">
      <alignment horizontal="right"/>
    </xf>
    <xf numFmtId="164" fontId="3" fillId="4" borderId="0" xfId="0" applyNumberFormat="1" applyFont="1" applyFill="1" applyAlignment="1">
      <alignment horizontal="center" vertical="center"/>
    </xf>
    <xf numFmtId="165" fontId="3" fillId="7" borderId="0" xfId="0" applyNumberFormat="1" applyFont="1" applyFill="1" applyAlignment="1">
      <alignment horizontal="left"/>
    </xf>
    <xf numFmtId="167" fontId="3" fillId="7" borderId="0" xfId="1" applyNumberFormat="1" applyFont="1" applyFill="1" applyAlignment="1">
      <alignment horizontal="center" vertical="center"/>
    </xf>
    <xf numFmtId="0" fontId="14" fillId="4" borderId="4" xfId="0" applyFont="1" applyFill="1" applyBorder="1" applyAlignment="1">
      <alignment vertical="center"/>
    </xf>
    <xf numFmtId="164" fontId="4" fillId="0" borderId="16" xfId="0" applyNumberFormat="1" applyFont="1" applyBorder="1" applyAlignment="1">
      <alignment horizontal="right" vertical="center" wrapText="1"/>
    </xf>
    <xf numFmtId="164"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6"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171" fontId="0" fillId="0" borderId="0" xfId="0" applyNumberFormat="1"/>
    <xf numFmtId="166" fontId="7" fillId="0" borderId="0" xfId="0" applyNumberFormat="1" applyFont="1" applyAlignment="1">
      <alignment horizontal="center"/>
    </xf>
    <xf numFmtId="0" fontId="15"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26.453125" style="2" customWidth="1"/>
    <col min="8" max="8" width="13.7265625" style="2" bestFit="1" customWidth="1"/>
    <col min="9" max="9" width="17" style="40" bestFit="1" customWidth="1"/>
    <col min="10" max="10" width="10.453125" style="2" bestFit="1" customWidth="1"/>
    <col min="11" max="11" width="9.453125" style="2"/>
    <col min="12" max="12" width="10.54296875" style="2" bestFit="1" customWidth="1"/>
    <col min="13" max="16384" width="9.453125" style="2"/>
  </cols>
  <sheetData>
    <row r="1" spans="1:13" x14ac:dyDescent="0.3">
      <c r="A1" s="1" t="s">
        <v>271</v>
      </c>
    </row>
    <row r="2" spans="1:13" x14ac:dyDescent="0.3">
      <c r="A2" s="80" t="s">
        <v>269</v>
      </c>
      <c r="I2" s="56"/>
    </row>
    <row r="3" spans="1:13" x14ac:dyDescent="0.3">
      <c r="A3" s="80" t="s">
        <v>270</v>
      </c>
      <c r="I3" s="56"/>
    </row>
    <row r="5" spans="1:13" ht="29.25" customHeight="1" x14ac:dyDescent="0.3">
      <c r="A5" s="3" t="s">
        <v>0</v>
      </c>
      <c r="B5" s="3" t="s">
        <v>1</v>
      </c>
      <c r="C5" s="4" t="s">
        <v>271</v>
      </c>
      <c r="D5" s="70" t="s">
        <v>2</v>
      </c>
      <c r="E5" s="70" t="s">
        <v>1</v>
      </c>
      <c r="F5" s="71" t="str">
        <f>+C5</f>
        <v>Week of 29 April 2024</v>
      </c>
    </row>
    <row r="6" spans="1:13" ht="14.5" x14ac:dyDescent="0.35">
      <c r="A6" s="34" t="s">
        <v>26</v>
      </c>
      <c r="B6" s="73" t="s">
        <v>21</v>
      </c>
      <c r="C6" s="6">
        <v>64.067910000000012</v>
      </c>
      <c r="D6" s="34" t="s">
        <v>89</v>
      </c>
      <c r="E6" s="73" t="s">
        <v>25</v>
      </c>
      <c r="F6" s="6">
        <v>-26.876542000000001</v>
      </c>
      <c r="K6" s="45"/>
      <c r="L6"/>
      <c r="M6"/>
    </row>
    <row r="7" spans="1:13" ht="14.5" x14ac:dyDescent="0.35">
      <c r="A7" s="35" t="s">
        <v>28</v>
      </c>
      <c r="B7" s="10" t="s">
        <v>23</v>
      </c>
      <c r="C7" s="8">
        <v>28.262129000000002</v>
      </c>
      <c r="D7" s="35" t="s">
        <v>33</v>
      </c>
      <c r="E7" s="10" t="s">
        <v>31</v>
      </c>
      <c r="F7" s="8">
        <v>-19.331869999999999</v>
      </c>
      <c r="K7" s="45"/>
      <c r="L7"/>
      <c r="M7"/>
    </row>
    <row r="8" spans="1:13" ht="14.5" x14ac:dyDescent="0.35">
      <c r="A8" s="36" t="s">
        <v>86</v>
      </c>
      <c r="B8" s="73" t="s">
        <v>85</v>
      </c>
      <c r="C8" s="6">
        <v>11.679808</v>
      </c>
      <c r="D8" s="36" t="s">
        <v>36</v>
      </c>
      <c r="E8" s="73" t="s">
        <v>35</v>
      </c>
      <c r="F8" s="6">
        <v>-16.133120000000002</v>
      </c>
      <c r="K8" s="45"/>
      <c r="L8"/>
      <c r="M8"/>
    </row>
    <row r="9" spans="1:13" ht="14.5" x14ac:dyDescent="0.35">
      <c r="A9" s="35" t="s">
        <v>146</v>
      </c>
      <c r="B9" s="10" t="s">
        <v>90</v>
      </c>
      <c r="C9" s="8">
        <v>7.4389720000000059</v>
      </c>
      <c r="D9" s="35" t="s">
        <v>81</v>
      </c>
      <c r="E9" s="10" t="s">
        <v>80</v>
      </c>
      <c r="F9" s="8">
        <v>-12.365686</v>
      </c>
      <c r="K9" s="45"/>
      <c r="L9"/>
      <c r="M9"/>
    </row>
    <row r="10" spans="1:13" ht="14.5" x14ac:dyDescent="0.35">
      <c r="A10" s="36" t="s">
        <v>65</v>
      </c>
      <c r="B10" s="73" t="s">
        <v>59</v>
      </c>
      <c r="C10" s="6">
        <v>6.1917340000000003</v>
      </c>
      <c r="D10" s="36" t="s">
        <v>272</v>
      </c>
      <c r="E10" s="73" t="s">
        <v>52</v>
      </c>
      <c r="F10" s="6">
        <v>-11.5605798334</v>
      </c>
      <c r="K10" s="45"/>
      <c r="L10"/>
      <c r="M10"/>
    </row>
    <row r="11" spans="1:13" ht="14.5" x14ac:dyDescent="0.35">
      <c r="A11" s="35" t="s">
        <v>63</v>
      </c>
      <c r="B11" s="10" t="s">
        <v>54</v>
      </c>
      <c r="C11" s="8">
        <v>5.8663759999999998</v>
      </c>
      <c r="D11" s="35" t="s">
        <v>253</v>
      </c>
      <c r="E11" s="10" t="s">
        <v>58</v>
      </c>
      <c r="F11" s="8">
        <v>-8.7257580000000008</v>
      </c>
      <c r="K11" s="45"/>
      <c r="L11"/>
      <c r="M11"/>
    </row>
    <row r="12" spans="1:13" ht="14.5" x14ac:dyDescent="0.35">
      <c r="A12" s="36" t="s">
        <v>274</v>
      </c>
      <c r="B12" s="73" t="s">
        <v>126</v>
      </c>
      <c r="C12" s="6">
        <v>4.8166149999999996</v>
      </c>
      <c r="D12" s="36" t="s">
        <v>49</v>
      </c>
      <c r="E12" s="73" t="s">
        <v>47</v>
      </c>
      <c r="F12" s="6">
        <v>-8.5165624999999991</v>
      </c>
      <c r="K12" s="45"/>
      <c r="L12"/>
      <c r="M12"/>
    </row>
    <row r="13" spans="1:13" ht="14.5" x14ac:dyDescent="0.35">
      <c r="A13" s="35" t="s">
        <v>40</v>
      </c>
      <c r="B13" s="10" t="s">
        <v>38</v>
      </c>
      <c r="C13" s="8">
        <v>4.4053610000000001</v>
      </c>
      <c r="D13" s="35" t="s">
        <v>153</v>
      </c>
      <c r="E13" s="10" t="s">
        <v>32</v>
      </c>
      <c r="F13" s="8">
        <v>-6.5207309999999996</v>
      </c>
      <c r="K13" s="45"/>
      <c r="L13"/>
      <c r="M13"/>
    </row>
    <row r="14" spans="1:13" ht="14.5" x14ac:dyDescent="0.35">
      <c r="A14" s="36" t="s">
        <v>273</v>
      </c>
      <c r="B14" s="73" t="s">
        <v>117</v>
      </c>
      <c r="C14" s="6">
        <v>2.963705</v>
      </c>
      <c r="D14" s="36" t="s">
        <v>44</v>
      </c>
      <c r="E14" s="73" t="s">
        <v>41</v>
      </c>
      <c r="F14" s="6">
        <v>-4.3965199999999998</v>
      </c>
      <c r="K14" s="45"/>
      <c r="L14"/>
      <c r="M14"/>
    </row>
    <row r="15" spans="1:13" ht="14.5" x14ac:dyDescent="0.35">
      <c r="A15" s="37" t="s">
        <v>143</v>
      </c>
      <c r="B15" s="33" t="s">
        <v>108</v>
      </c>
      <c r="C15" s="9">
        <v>2.944744</v>
      </c>
      <c r="D15" s="37" t="s">
        <v>45</v>
      </c>
      <c r="E15" s="33" t="s">
        <v>42</v>
      </c>
      <c r="F15" s="9">
        <v>-4.2327820000000003</v>
      </c>
      <c r="K15" s="45"/>
      <c r="L15"/>
      <c r="M15"/>
    </row>
    <row r="16" spans="1:13" ht="15.5" x14ac:dyDescent="0.35">
      <c r="A16" s="10"/>
      <c r="B16" s="10"/>
      <c r="C16" s="10"/>
      <c r="D16" s="31"/>
      <c r="E16" s="10"/>
      <c r="F16" s="10"/>
    </row>
    <row r="17" spans="1:13" x14ac:dyDescent="0.3">
      <c r="A17" s="10"/>
      <c r="B17" s="10"/>
      <c r="C17" s="10"/>
      <c r="D17" s="10"/>
      <c r="E17" s="10"/>
      <c r="F17" s="10"/>
    </row>
    <row r="18" spans="1:13" ht="28.5" customHeight="1" x14ac:dyDescent="0.3">
      <c r="A18" s="39" t="s">
        <v>3</v>
      </c>
      <c r="B18" s="3" t="s">
        <v>1</v>
      </c>
      <c r="C18" s="4" t="str">
        <f>C5</f>
        <v>Week of 29 April 2024</v>
      </c>
      <c r="D18" s="72" t="s">
        <v>4</v>
      </c>
      <c r="E18" s="70" t="s">
        <v>1</v>
      </c>
      <c r="F18" s="71" t="str">
        <f>+C18</f>
        <v>Week of 29 April 2024</v>
      </c>
    </row>
    <row r="19" spans="1:13" ht="14.5" x14ac:dyDescent="0.35">
      <c r="A19" s="67" t="s">
        <v>27</v>
      </c>
      <c r="B19" s="73" t="s">
        <v>22</v>
      </c>
      <c r="C19" s="6">
        <v>31.628858999999999</v>
      </c>
      <c r="D19" s="34" t="s">
        <v>26</v>
      </c>
      <c r="E19" s="73" t="s">
        <v>21</v>
      </c>
      <c r="F19" s="6">
        <v>-41.965155000000003</v>
      </c>
      <c r="I19" s="38"/>
      <c r="K19" s="45"/>
      <c r="L19"/>
      <c r="M19"/>
    </row>
    <row r="20" spans="1:13" ht="14.5" x14ac:dyDescent="0.35">
      <c r="A20" s="35" t="s">
        <v>44</v>
      </c>
      <c r="B20" s="10" t="s">
        <v>41</v>
      </c>
      <c r="C20" s="8">
        <v>12.626821</v>
      </c>
      <c r="D20" s="35" t="s">
        <v>28</v>
      </c>
      <c r="E20" s="10" t="s">
        <v>23</v>
      </c>
      <c r="F20" s="8">
        <v>-32.131556000000003</v>
      </c>
      <c r="I20" s="38"/>
      <c r="K20" s="45"/>
      <c r="L20"/>
      <c r="M20"/>
    </row>
    <row r="21" spans="1:13" ht="14.5" x14ac:dyDescent="0.35">
      <c r="A21" s="36" t="s">
        <v>33</v>
      </c>
      <c r="B21" s="73" t="s">
        <v>31</v>
      </c>
      <c r="C21" s="6">
        <v>11.752552</v>
      </c>
      <c r="D21" s="36" t="s">
        <v>146</v>
      </c>
      <c r="E21" s="73" t="s">
        <v>90</v>
      </c>
      <c r="F21" s="6">
        <v>-13.2087182</v>
      </c>
      <c r="I21" s="38"/>
      <c r="K21" s="45"/>
      <c r="L21"/>
      <c r="M21"/>
    </row>
    <row r="22" spans="1:13" ht="14.5" x14ac:dyDescent="0.35">
      <c r="A22" s="35" t="s">
        <v>36</v>
      </c>
      <c r="B22" s="10" t="s">
        <v>35</v>
      </c>
      <c r="C22" s="8">
        <v>11.547969</v>
      </c>
      <c r="D22" s="35" t="s">
        <v>60</v>
      </c>
      <c r="E22" s="10" t="s">
        <v>51</v>
      </c>
      <c r="F22" s="8">
        <v>-7.9489844999999999</v>
      </c>
      <c r="I22" s="38"/>
      <c r="K22" s="45"/>
      <c r="L22"/>
      <c r="M22"/>
    </row>
    <row r="23" spans="1:13" ht="14.5" x14ac:dyDescent="0.35">
      <c r="A23" s="36" t="s">
        <v>89</v>
      </c>
      <c r="B23" s="73" t="s">
        <v>25</v>
      </c>
      <c r="C23" s="6">
        <v>9.6432249999999993</v>
      </c>
      <c r="D23" s="36" t="s">
        <v>274</v>
      </c>
      <c r="E23" s="73" t="s">
        <v>126</v>
      </c>
      <c r="F23" s="6">
        <v>-6.0050239999999997</v>
      </c>
      <c r="I23" s="48"/>
      <c r="K23" s="45"/>
      <c r="L23"/>
      <c r="M23"/>
    </row>
    <row r="24" spans="1:13" ht="14.5" x14ac:dyDescent="0.35">
      <c r="A24" s="35" t="s">
        <v>253</v>
      </c>
      <c r="B24" s="10" t="s">
        <v>58</v>
      </c>
      <c r="C24" s="8">
        <v>7.2725200000000001</v>
      </c>
      <c r="D24" s="35" t="s">
        <v>64</v>
      </c>
      <c r="E24" s="10" t="s">
        <v>55</v>
      </c>
      <c r="F24" s="8">
        <v>-3.2420497107999999</v>
      </c>
      <c r="I24" s="38"/>
      <c r="K24" s="45"/>
      <c r="L24"/>
      <c r="M24"/>
    </row>
    <row r="25" spans="1:13" ht="14.5" x14ac:dyDescent="0.35">
      <c r="A25" s="36" t="s">
        <v>61</v>
      </c>
      <c r="B25" s="73" t="s">
        <v>53</v>
      </c>
      <c r="C25" s="6">
        <v>7.2454599999999996</v>
      </c>
      <c r="D25" s="36" t="s">
        <v>39</v>
      </c>
      <c r="E25" s="73" t="s">
        <v>37</v>
      </c>
      <c r="F25" s="6">
        <v>-3.0809340000000001</v>
      </c>
      <c r="I25" s="38"/>
      <c r="K25" s="45"/>
      <c r="L25"/>
      <c r="M25"/>
    </row>
    <row r="26" spans="1:13" ht="14.5" x14ac:dyDescent="0.35">
      <c r="A26" s="35" t="s">
        <v>77</v>
      </c>
      <c r="B26" s="10" t="s">
        <v>76</v>
      </c>
      <c r="C26" s="8">
        <v>7.1322919999999996</v>
      </c>
      <c r="D26" s="35" t="s">
        <v>34</v>
      </c>
      <c r="E26" s="10" t="s">
        <v>30</v>
      </c>
      <c r="F26" s="8">
        <v>-2.8521700000000001</v>
      </c>
      <c r="I26" s="38"/>
      <c r="K26" s="45"/>
      <c r="L26"/>
      <c r="M26"/>
    </row>
    <row r="27" spans="1:13" ht="14.5" x14ac:dyDescent="0.35">
      <c r="A27" s="36" t="s">
        <v>40</v>
      </c>
      <c r="B27" s="73" t="s">
        <v>38</v>
      </c>
      <c r="C27" s="6">
        <v>5.785825</v>
      </c>
      <c r="D27" s="36" t="s">
        <v>273</v>
      </c>
      <c r="E27" s="73" t="s">
        <v>117</v>
      </c>
      <c r="F27" s="6">
        <v>-2.8102839999999998</v>
      </c>
      <c r="I27" s="38"/>
      <c r="K27" s="45"/>
      <c r="L27"/>
      <c r="M27"/>
    </row>
    <row r="28" spans="1:13" ht="14.5" x14ac:dyDescent="0.35">
      <c r="A28" s="37" t="s">
        <v>49</v>
      </c>
      <c r="B28" s="33" t="s">
        <v>47</v>
      </c>
      <c r="C28" s="9">
        <v>4.2419894999999999</v>
      </c>
      <c r="D28" s="37" t="s">
        <v>143</v>
      </c>
      <c r="E28" s="33" t="s">
        <v>108</v>
      </c>
      <c r="F28" s="9">
        <v>-2.0833499999999998</v>
      </c>
      <c r="I28" s="38"/>
      <c r="K28" s="45"/>
      <c r="L28"/>
      <c r="M28"/>
    </row>
    <row r="29" spans="1:13" x14ac:dyDescent="0.3">
      <c r="A29" s="10"/>
      <c r="B29" s="10"/>
      <c r="C29" s="10"/>
      <c r="D29" s="10"/>
      <c r="E29" s="10"/>
      <c r="F29" s="10"/>
    </row>
    <row r="30" spans="1:13" ht="14.5" x14ac:dyDescent="0.35">
      <c r="A30" s="11" t="s">
        <v>252</v>
      </c>
      <c r="B30" s="11"/>
      <c r="C30" s="10"/>
      <c r="D30" s="10"/>
      <c r="E30" s="10"/>
      <c r="F30" s="10"/>
    </row>
    <row r="31" spans="1:13" ht="14.5" x14ac:dyDescent="0.35">
      <c r="A31" s="11" t="s">
        <v>82</v>
      </c>
      <c r="B31" s="11"/>
      <c r="C31" s="10"/>
      <c r="D31" s="10"/>
      <c r="E31" s="10"/>
      <c r="F31" s="10"/>
    </row>
    <row r="32" spans="1:13" ht="14.5" x14ac:dyDescent="0.35">
      <c r="A32" s="11" t="s">
        <v>260</v>
      </c>
      <c r="B32" s="11"/>
      <c r="C32" s="10"/>
      <c r="D32" s="10"/>
      <c r="E32" s="10"/>
      <c r="F32" s="10"/>
    </row>
    <row r="33" spans="1:9" ht="14.5" x14ac:dyDescent="0.35">
      <c r="A33" s="11" t="s">
        <v>6</v>
      </c>
      <c r="B33" s="11"/>
      <c r="C33" s="10"/>
      <c r="D33" s="10"/>
      <c r="E33" s="10"/>
      <c r="F33" s="10"/>
    </row>
    <row r="34" spans="1:9" ht="14.5" x14ac:dyDescent="0.35">
      <c r="A34" s="11" t="s">
        <v>75</v>
      </c>
      <c r="B34" s="11"/>
      <c r="C34" s="10"/>
      <c r="D34" s="10"/>
      <c r="E34" s="10"/>
      <c r="F34" s="10"/>
      <c r="G34" s="77"/>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69</v>
      </c>
      <c r="B38" s="24"/>
      <c r="C38" s="25"/>
      <c r="D38" s="25"/>
      <c r="E38" s="24"/>
      <c r="F38" s="24"/>
      <c r="I38" s="38"/>
    </row>
    <row r="39" spans="1:9" s="30" customFormat="1" ht="19.399999999999999" customHeight="1" x14ac:dyDescent="0.35">
      <c r="A39" s="27" t="s">
        <v>70</v>
      </c>
      <c r="B39" s="28"/>
      <c r="C39" s="29"/>
      <c r="D39" s="29"/>
      <c r="E39" s="28"/>
      <c r="F39" s="28"/>
      <c r="I39" s="41"/>
    </row>
    <row r="40" spans="1:9" ht="169.4" customHeight="1" x14ac:dyDescent="0.3">
      <c r="A40" s="83" t="s">
        <v>261</v>
      </c>
      <c r="B40" s="83"/>
      <c r="C40" s="83"/>
      <c r="D40" s="83"/>
      <c r="E40" s="83"/>
      <c r="F40" s="83"/>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81640625" style="2" bestFit="1" customWidth="1"/>
    <col min="11" max="11" width="7.54296875" style="2" bestFit="1" customWidth="1"/>
    <col min="12" max="12" width="13.81640625" style="2" customWidth="1"/>
    <col min="13" max="13" width="7.81640625" style="2" customWidth="1"/>
    <col min="14" max="14" width="8.54296875" style="2" customWidth="1"/>
    <col min="15" max="16384" width="9.453125" style="2"/>
  </cols>
  <sheetData>
    <row r="1" spans="1:15" ht="17.25" customHeight="1" x14ac:dyDescent="0.3">
      <c r="A1" s="84" t="s">
        <v>7</v>
      </c>
      <c r="B1" s="13"/>
      <c r="C1" s="86" t="s">
        <v>8</v>
      </c>
      <c r="D1" s="87"/>
      <c r="E1" s="87"/>
      <c r="F1" s="87"/>
      <c r="G1" s="87"/>
      <c r="H1" s="87"/>
      <c r="I1" s="87"/>
      <c r="J1" s="87"/>
      <c r="K1" s="87"/>
      <c r="L1" s="87"/>
      <c r="M1" s="87"/>
      <c r="N1" s="88"/>
    </row>
    <row r="2" spans="1:15" ht="60" customHeight="1" x14ac:dyDescent="0.3">
      <c r="A2" s="85"/>
      <c r="B2" s="13" t="s">
        <v>9</v>
      </c>
      <c r="C2" s="13" t="s">
        <v>10</v>
      </c>
      <c r="D2" s="13" t="s">
        <v>11</v>
      </c>
      <c r="E2" s="13" t="s">
        <v>12</v>
      </c>
      <c r="F2" s="13" t="s">
        <v>13</v>
      </c>
      <c r="G2" s="13" t="s">
        <v>71</v>
      </c>
      <c r="H2" s="13" t="s">
        <v>14</v>
      </c>
      <c r="I2" s="13" t="s">
        <v>15</v>
      </c>
      <c r="J2" s="13" t="s">
        <v>16</v>
      </c>
      <c r="K2" s="13" t="s">
        <v>17</v>
      </c>
      <c r="L2" s="13" t="s">
        <v>18</v>
      </c>
      <c r="M2" s="13" t="s">
        <v>72</v>
      </c>
      <c r="N2" s="13" t="s">
        <v>19</v>
      </c>
    </row>
    <row r="3" spans="1:15" x14ac:dyDescent="0.3">
      <c r="A3" s="47">
        <f>SUM(C3:N3)</f>
        <v>-58.12638117449999</v>
      </c>
      <c r="B3" s="12">
        <v>45390</v>
      </c>
      <c r="C3" s="81">
        <v>33.108235429300002</v>
      </c>
      <c r="D3" s="81">
        <v>9.3174450458000013</v>
      </c>
      <c r="E3" s="81">
        <v>4.5391655999999987</v>
      </c>
      <c r="F3" s="81">
        <v>21.4146535</v>
      </c>
      <c r="G3" s="81">
        <v>-2.6098244372000003</v>
      </c>
      <c r="H3" s="81">
        <v>-56.036524798399981</v>
      </c>
      <c r="I3" s="81">
        <v>-1.8968515000000004</v>
      </c>
      <c r="J3" s="81">
        <v>-7.1130968407999999</v>
      </c>
      <c r="K3" s="81">
        <v>-29.762097773200004</v>
      </c>
      <c r="L3" s="81">
        <v>0.69758830000000038</v>
      </c>
      <c r="M3" s="81">
        <v>-30.951977600000003</v>
      </c>
      <c r="N3" s="81">
        <v>1.1669039000000001</v>
      </c>
    </row>
    <row r="4" spans="1:15" x14ac:dyDescent="0.3">
      <c r="A4" s="47">
        <f t="shared" ref="A4:A6" si="0">SUM(C4:N4)</f>
        <v>-5.0376182973199608</v>
      </c>
      <c r="B4" s="82">
        <v>45397</v>
      </c>
      <c r="C4" s="15">
        <v>46.077448764629999</v>
      </c>
      <c r="D4" s="15">
        <v>-3.9079434110000002</v>
      </c>
      <c r="E4" s="15">
        <v>6.0619226999999993</v>
      </c>
      <c r="F4" s="15">
        <v>101.39426280000001</v>
      </c>
      <c r="G4" s="15">
        <v>2.8919260505999995</v>
      </c>
      <c r="H4" s="15">
        <v>-15.739626112210001</v>
      </c>
      <c r="I4" s="15">
        <v>1.2714581999999996</v>
      </c>
      <c r="J4" s="15">
        <v>-2.1720417300000006</v>
      </c>
      <c r="K4" s="15">
        <v>-129.03211305933999</v>
      </c>
      <c r="L4" s="15">
        <v>-4.8809306000000001</v>
      </c>
      <c r="M4" s="15">
        <v>-17.5289146</v>
      </c>
      <c r="N4" s="15">
        <v>10.526932700000001</v>
      </c>
    </row>
    <row r="5" spans="1:15" x14ac:dyDescent="0.3">
      <c r="A5" s="47">
        <f t="shared" si="0"/>
        <v>221.66095697690002</v>
      </c>
      <c r="B5" s="12">
        <v>45404</v>
      </c>
      <c r="C5" s="81">
        <v>-16.68281765839</v>
      </c>
      <c r="D5" s="81">
        <v>-5.0980385177000009</v>
      </c>
      <c r="E5" s="81">
        <v>1.0744531999999998</v>
      </c>
      <c r="F5" s="81">
        <v>182.7422924</v>
      </c>
      <c r="G5" s="81">
        <v>-0.9671196406</v>
      </c>
      <c r="H5" s="81">
        <v>59.939859165410041</v>
      </c>
      <c r="I5" s="81">
        <v>-2.0454790999999997</v>
      </c>
      <c r="J5" s="81">
        <v>29.373109492799998</v>
      </c>
      <c r="K5" s="81">
        <v>-30.993932064619997</v>
      </c>
      <c r="L5" s="81">
        <v>-10.116025299999995</v>
      </c>
      <c r="M5" s="81">
        <v>10.763677599999999</v>
      </c>
      <c r="N5" s="81">
        <v>3.6709773999999999</v>
      </c>
    </row>
    <row r="6" spans="1:15" x14ac:dyDescent="0.3">
      <c r="A6" s="47">
        <f t="shared" si="0"/>
        <v>5.7797650799399962</v>
      </c>
      <c r="B6" s="82">
        <v>45411</v>
      </c>
      <c r="C6" s="15">
        <v>-9.9219873852500022</v>
      </c>
      <c r="D6" s="15">
        <v>0.13432668060000008</v>
      </c>
      <c r="E6" s="15">
        <v>-0.70773909999999995</v>
      </c>
      <c r="F6" s="15">
        <v>100.8236144</v>
      </c>
      <c r="G6" s="15">
        <v>-2.8782525862999999</v>
      </c>
      <c r="H6" s="15">
        <v>-23.178207947709986</v>
      </c>
      <c r="I6" s="15">
        <v>-3.8624369999999999</v>
      </c>
      <c r="J6" s="15">
        <v>13.844569146400003</v>
      </c>
      <c r="K6" s="15">
        <v>-55.424454327800014</v>
      </c>
      <c r="L6" s="15">
        <v>1.4932069999999986</v>
      </c>
      <c r="M6" s="15">
        <v>-10.310987999999998</v>
      </c>
      <c r="N6" s="15">
        <v>-4.2318857999999997</v>
      </c>
    </row>
    <row r="7" spans="1:15" x14ac:dyDescent="0.3">
      <c r="A7" s="79"/>
      <c r="B7" s="65"/>
      <c r="C7" s="66"/>
      <c r="D7" s="66"/>
      <c r="E7" s="66"/>
      <c r="F7" s="66"/>
      <c r="G7" s="66"/>
      <c r="H7" s="66"/>
      <c r="I7" s="66"/>
      <c r="J7" s="66"/>
      <c r="K7" s="66"/>
      <c r="L7" s="66"/>
      <c r="M7" s="66"/>
      <c r="N7" s="66"/>
    </row>
    <row r="8" spans="1:15" ht="14.5" x14ac:dyDescent="0.35">
      <c r="B8" s="11" t="s">
        <v>5</v>
      </c>
      <c r="C8" s="11"/>
      <c r="D8" s="11"/>
    </row>
    <row r="9" spans="1:15" ht="14.5" x14ac:dyDescent="0.35">
      <c r="B9" s="11" t="s">
        <v>82</v>
      </c>
      <c r="C9" s="11"/>
      <c r="D9" s="11"/>
    </row>
    <row r="10" spans="1:15" ht="14.5" x14ac:dyDescent="0.35">
      <c r="B10" s="11" t="s">
        <v>6</v>
      </c>
      <c r="C10" s="11"/>
      <c r="D10" s="11"/>
    </row>
    <row r="11" spans="1:15" ht="14.5" x14ac:dyDescent="0.35">
      <c r="B11" s="11" t="s">
        <v>75</v>
      </c>
      <c r="C11" s="12"/>
      <c r="D11" s="12"/>
    </row>
    <row r="12" spans="1:15" ht="14.5" x14ac:dyDescent="0.35">
      <c r="B12"/>
    </row>
    <row r="13" spans="1:15" ht="14.5" x14ac:dyDescent="0.35">
      <c r="C13" s="78"/>
      <c r="D13" s="78"/>
      <c r="E13" s="78"/>
      <c r="F13" s="78"/>
      <c r="G13" s="78"/>
      <c r="H13" s="78"/>
      <c r="I13" s="78"/>
      <c r="J13" s="78"/>
      <c r="K13" s="78"/>
      <c r="L13" s="78"/>
      <c r="M13" s="78"/>
      <c r="N13" s="78"/>
    </row>
    <row r="14" spans="1:15" ht="14.5" x14ac:dyDescent="0.35">
      <c r="B14" s="55"/>
      <c r="C14" s="55"/>
      <c r="D14" s="55"/>
      <c r="E14" s="55"/>
      <c r="F14" s="55"/>
      <c r="G14" s="55"/>
      <c r="H14" s="55"/>
      <c r="I14" s="55"/>
      <c r="J14" s="55"/>
      <c r="K14" s="55"/>
      <c r="L14" s="55"/>
      <c r="M14" s="55"/>
      <c r="N14"/>
      <c r="O14" s="44"/>
    </row>
    <row r="15" spans="1:15" ht="14.5" x14ac:dyDescent="0.35">
      <c r="C15" s="55"/>
      <c r="D15" s="55"/>
      <c r="E15" s="55"/>
      <c r="F15" s="55"/>
      <c r="G15" s="55"/>
      <c r="H15" s="55"/>
      <c r="I15" s="55"/>
      <c r="J15" s="55"/>
      <c r="K15" s="55"/>
      <c r="L15" s="55"/>
      <c r="M15" s="55"/>
      <c r="N15" s="55"/>
      <c r="O15" s="55"/>
    </row>
    <row r="16" spans="1:15" ht="14.5" x14ac:dyDescent="0.35">
      <c r="C16" s="44"/>
      <c r="D16" s="44"/>
      <c r="E16" s="44"/>
      <c r="F16" s="44"/>
      <c r="G16" s="44"/>
      <c r="H16" s="44"/>
      <c r="I16" s="44"/>
      <c r="J16" s="44"/>
      <c r="K16" s="44"/>
      <c r="L16" s="44"/>
      <c r="M16" s="44"/>
      <c r="N16" s="44"/>
      <c r="O16" s="44"/>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0" width="7.81640625" style="2" bestFit="1" customWidth="1"/>
    <col min="11" max="11" width="7.1796875" style="2" bestFit="1" customWidth="1"/>
    <col min="12" max="12" width="13.81640625" style="2" customWidth="1"/>
    <col min="13" max="13" width="7.81640625" style="2" bestFit="1" customWidth="1"/>
    <col min="14" max="14" width="8.54296875" style="2" bestFit="1" customWidth="1"/>
    <col min="15" max="16384" width="9.453125" style="2"/>
  </cols>
  <sheetData>
    <row r="1" spans="1:18" ht="17.25" customHeight="1" x14ac:dyDescent="0.3">
      <c r="A1" s="84" t="s">
        <v>7</v>
      </c>
      <c r="B1" s="13"/>
      <c r="C1" s="86" t="s">
        <v>8</v>
      </c>
      <c r="D1" s="87"/>
      <c r="E1" s="87"/>
      <c r="F1" s="87"/>
      <c r="G1" s="87"/>
      <c r="H1" s="87"/>
      <c r="I1" s="87"/>
      <c r="J1" s="87"/>
      <c r="K1" s="87"/>
      <c r="L1" s="87"/>
      <c r="M1" s="87"/>
      <c r="N1" s="88"/>
    </row>
    <row r="2" spans="1:18" ht="56" x14ac:dyDescent="0.3">
      <c r="A2" s="85"/>
      <c r="B2" s="13" t="s">
        <v>20</v>
      </c>
      <c r="C2" s="13" t="s">
        <v>10</v>
      </c>
      <c r="D2" s="13" t="s">
        <v>11</v>
      </c>
      <c r="E2" s="13" t="s">
        <v>12</v>
      </c>
      <c r="F2" s="13" t="s">
        <v>13</v>
      </c>
      <c r="G2" s="13" t="s">
        <v>71</v>
      </c>
      <c r="H2" s="13" t="s">
        <v>14</v>
      </c>
      <c r="I2" s="13" t="s">
        <v>15</v>
      </c>
      <c r="J2" s="13" t="s">
        <v>16</v>
      </c>
      <c r="K2" s="13" t="s">
        <v>17</v>
      </c>
      <c r="L2" s="13" t="s">
        <v>18</v>
      </c>
      <c r="M2" s="13" t="s">
        <v>72</v>
      </c>
      <c r="N2" s="13" t="s">
        <v>19</v>
      </c>
    </row>
    <row r="3" spans="1:18" x14ac:dyDescent="0.3">
      <c r="A3" s="75">
        <f t="shared" ref="A3:A5" si="0">SUM(C3:N3)</f>
        <v>69.422018094660004</v>
      </c>
      <c r="B3" s="58">
        <v>45390</v>
      </c>
      <c r="C3" s="57">
        <v>-21.558901905840013</v>
      </c>
      <c r="D3" s="57">
        <v>-3.0247511846000004</v>
      </c>
      <c r="E3" s="57">
        <v>-3.6765742999999995</v>
      </c>
      <c r="F3" s="57">
        <v>-8.2566684000000006</v>
      </c>
      <c r="G3" s="57">
        <v>3.729176174</v>
      </c>
      <c r="H3" s="57">
        <v>33.569461491480013</v>
      </c>
      <c r="I3" s="57">
        <v>0.83852150000000003</v>
      </c>
      <c r="J3" s="57">
        <v>11.111939880599996</v>
      </c>
      <c r="K3" s="57">
        <v>34.11516873902</v>
      </c>
      <c r="L3" s="57">
        <v>-0.16624980000000045</v>
      </c>
      <c r="M3" s="57">
        <v>21.7076204</v>
      </c>
      <c r="N3" s="57">
        <v>1.0332754999999998</v>
      </c>
      <c r="P3" s="14"/>
    </row>
    <row r="4" spans="1:18" x14ac:dyDescent="0.3">
      <c r="A4" s="75">
        <f t="shared" si="0"/>
        <v>208.39259162056999</v>
      </c>
      <c r="B4" s="74">
        <v>45397</v>
      </c>
      <c r="C4" s="64">
        <v>-32.193060971349993</v>
      </c>
      <c r="D4" s="64">
        <v>12.701653668100002</v>
      </c>
      <c r="E4" s="64">
        <v>-3.1347222999999995</v>
      </c>
      <c r="F4" s="64">
        <v>-32.667133100000008</v>
      </c>
      <c r="G4" s="64">
        <v>-1.4297625983999995</v>
      </c>
      <c r="H4" s="64">
        <v>53.225762103779999</v>
      </c>
      <c r="I4" s="64">
        <v>9.6463499999999897E-2</v>
      </c>
      <c r="J4" s="64">
        <v>15.129824188500002</v>
      </c>
      <c r="K4" s="64">
        <v>161.64891662994</v>
      </c>
      <c r="L4" s="64">
        <v>10.495849099999997</v>
      </c>
      <c r="M4" s="64">
        <v>29.863687300000002</v>
      </c>
      <c r="N4" s="64">
        <v>-5.3448859000000004</v>
      </c>
      <c r="P4" s="14"/>
    </row>
    <row r="5" spans="1:18" x14ac:dyDescent="0.3">
      <c r="A5" s="75">
        <f t="shared" si="0"/>
        <v>-478.5735977536101</v>
      </c>
      <c r="B5" s="76">
        <v>45404</v>
      </c>
      <c r="C5" s="57">
        <v>7.7413377640100007</v>
      </c>
      <c r="D5" s="57">
        <v>-3.3282318231000003</v>
      </c>
      <c r="E5" s="57">
        <v>-0.29860449999999999</v>
      </c>
      <c r="F5" s="57">
        <v>-321.2190544</v>
      </c>
      <c r="G5" s="57">
        <v>-0.53487191989999994</v>
      </c>
      <c r="H5" s="57">
        <v>-138.22392243493005</v>
      </c>
      <c r="I5" s="57">
        <v>2.5471967999999996</v>
      </c>
      <c r="J5" s="57">
        <v>-27.143736713899994</v>
      </c>
      <c r="K5" s="57">
        <v>21.050791874209999</v>
      </c>
      <c r="L5" s="57">
        <v>3.5948875000000009</v>
      </c>
      <c r="M5" s="57">
        <v>-17.053743799999999</v>
      </c>
      <c r="N5" s="57">
        <v>-5.7056461000000001</v>
      </c>
      <c r="P5" s="14"/>
    </row>
    <row r="6" spans="1:18" x14ac:dyDescent="0.3">
      <c r="A6" s="75">
        <f t="shared" ref="A6" si="1">SUM(C6:N6)</f>
        <v>22.835948687369989</v>
      </c>
      <c r="B6" s="74">
        <v>45411</v>
      </c>
      <c r="C6" s="64">
        <v>6.983574892860001</v>
      </c>
      <c r="D6" s="64">
        <v>4.2816565323999978</v>
      </c>
      <c r="E6" s="64">
        <v>1.3419205000000001</v>
      </c>
      <c r="F6" s="64">
        <v>-39.299470100000008</v>
      </c>
      <c r="G6" s="64">
        <v>3.4734114390999999</v>
      </c>
      <c r="H6" s="64">
        <v>0.16755413236999425</v>
      </c>
      <c r="I6" s="64">
        <v>3.4996883999999993</v>
      </c>
      <c r="J6" s="64">
        <v>-8.0012266107999999</v>
      </c>
      <c r="K6" s="64">
        <v>45.606899801440001</v>
      </c>
      <c r="L6" s="64">
        <v>-3.2915907999999989</v>
      </c>
      <c r="M6" s="64">
        <v>4.8919192000000002</v>
      </c>
      <c r="N6" s="64">
        <v>3.1816113000000001</v>
      </c>
      <c r="P6" s="14"/>
    </row>
    <row r="7" spans="1:18" x14ac:dyDescent="0.3">
      <c r="A7" s="79"/>
      <c r="B7" s="58"/>
      <c r="C7" s="57"/>
      <c r="D7" s="57"/>
      <c r="E7" s="57"/>
      <c r="F7" s="57"/>
      <c r="G7" s="57"/>
      <c r="H7" s="57"/>
      <c r="I7" s="57"/>
      <c r="J7" s="57"/>
      <c r="K7" s="57"/>
      <c r="L7" s="57"/>
      <c r="M7" s="57"/>
      <c r="N7" s="57"/>
      <c r="P7" s="14"/>
    </row>
    <row r="8" spans="1:18" ht="14.5" x14ac:dyDescent="0.35">
      <c r="B8" s="11" t="s">
        <v>5</v>
      </c>
      <c r="C8" s="11"/>
      <c r="D8" s="11"/>
    </row>
    <row r="9" spans="1:18" ht="14.5" x14ac:dyDescent="0.35">
      <c r="B9" s="11" t="s">
        <v>84</v>
      </c>
      <c r="C9" s="11"/>
      <c r="D9" s="11"/>
    </row>
    <row r="10" spans="1:18" ht="14.5" x14ac:dyDescent="0.35">
      <c r="B10" s="11" t="s">
        <v>6</v>
      </c>
      <c r="C10" s="11"/>
      <c r="D10" s="11"/>
    </row>
    <row r="11" spans="1:18" ht="14.5" x14ac:dyDescent="0.35">
      <c r="B11" s="11" t="s">
        <v>75</v>
      </c>
      <c r="C11" s="12"/>
      <c r="D11" s="12"/>
    </row>
    <row r="12" spans="1:18" ht="14.5" x14ac:dyDescent="0.35">
      <c r="C12" s="55"/>
      <c r="D12" s="55"/>
      <c r="E12" s="55"/>
      <c r="F12" s="55"/>
      <c r="G12" s="55"/>
      <c r="H12" s="55"/>
      <c r="I12" s="55"/>
      <c r="J12" s="55"/>
      <c r="K12" s="55"/>
      <c r="L12" s="55"/>
      <c r="M12" s="55"/>
      <c r="N12" s="55"/>
    </row>
    <row r="13" spans="1:18" ht="14.5" x14ac:dyDescent="0.35">
      <c r="B13"/>
      <c r="C13" s="55"/>
      <c r="D13" s="55"/>
      <c r="E13" s="55"/>
      <c r="F13" s="55"/>
      <c r="G13" s="55"/>
      <c r="H13" s="55"/>
      <c r="I13" s="55"/>
      <c r="J13" s="55"/>
      <c r="K13" s="55"/>
      <c r="L13" s="55"/>
      <c r="M13" s="55"/>
      <c r="N13" s="55"/>
      <c r="O13" s="44"/>
      <c r="P13"/>
      <c r="Q13"/>
      <c r="R13"/>
    </row>
    <row r="14" spans="1:18" ht="14.5" x14ac:dyDescent="0.35">
      <c r="B14"/>
      <c r="C14"/>
      <c r="D14"/>
      <c r="E14"/>
      <c r="F14"/>
      <c r="G14"/>
      <c r="H14"/>
      <c r="I14"/>
      <c r="J14"/>
      <c r="K14"/>
      <c r="L14"/>
      <c r="M14"/>
      <c r="N14"/>
      <c r="O14"/>
      <c r="P14"/>
      <c r="Q14"/>
      <c r="R14"/>
    </row>
    <row r="15" spans="1:18" ht="14.5" x14ac:dyDescent="0.35">
      <c r="C15" s="55"/>
      <c r="D15" s="55"/>
      <c r="E15" s="55"/>
      <c r="F15" s="55"/>
      <c r="G15" s="55"/>
      <c r="H15" s="55"/>
      <c r="I15" s="55"/>
      <c r="J15" s="55"/>
      <c r="K15" s="55"/>
      <c r="L15" s="55"/>
      <c r="M15" s="55"/>
      <c r="N15" s="55"/>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4"/>
      <c r="D18" s="44"/>
      <c r="E18" s="44"/>
      <c r="F18" s="44"/>
      <c r="G18" s="44"/>
      <c r="H18" s="44"/>
      <c r="I18" s="44"/>
      <c r="J18" s="44"/>
      <c r="K18" s="44"/>
      <c r="L18" s="44"/>
      <c r="M18" s="44"/>
      <c r="N18" s="44"/>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s>
  <sheetData>
    <row r="1" spans="1:5" ht="56" x14ac:dyDescent="0.35">
      <c r="A1" s="32" t="str">
        <f>CONCATENATE("STI Constituents - ",'Weekly Top 10'!$C$5)</f>
        <v>STI Constituents - Week of 29 April 2024</v>
      </c>
      <c r="B1" s="16" t="s">
        <v>1</v>
      </c>
      <c r="C1" s="17" t="s">
        <v>73</v>
      </c>
      <c r="D1" s="17" t="s">
        <v>74</v>
      </c>
    </row>
    <row r="2" spans="1:5" x14ac:dyDescent="0.35">
      <c r="A2" s="18" t="s">
        <v>89</v>
      </c>
      <c r="B2" s="19" t="s">
        <v>25</v>
      </c>
      <c r="C2" s="20">
        <v>-26.876542000000001</v>
      </c>
      <c r="D2" s="20">
        <v>9.6432249999999993</v>
      </c>
      <c r="E2" s="38"/>
    </row>
    <row r="3" spans="1:5" x14ac:dyDescent="0.35">
      <c r="A3" s="21" t="s">
        <v>79</v>
      </c>
      <c r="B3" s="22" t="s">
        <v>56</v>
      </c>
      <c r="C3" s="8">
        <v>-0.57120899999999997</v>
      </c>
      <c r="D3" s="8">
        <v>1.9452259999999999</v>
      </c>
      <c r="E3" s="38"/>
    </row>
    <row r="4" spans="1:5" x14ac:dyDescent="0.35">
      <c r="A4" s="5" t="s">
        <v>86</v>
      </c>
      <c r="B4" s="7" t="s">
        <v>85</v>
      </c>
      <c r="C4" s="6">
        <v>11.679808</v>
      </c>
      <c r="D4" s="6">
        <v>1.4233450000000001</v>
      </c>
      <c r="E4" s="38"/>
    </row>
    <row r="5" spans="1:5" x14ac:dyDescent="0.35">
      <c r="A5" s="21" t="s">
        <v>63</v>
      </c>
      <c r="B5" s="22" t="s">
        <v>54</v>
      </c>
      <c r="C5" s="8">
        <v>5.8663759999999998</v>
      </c>
      <c r="D5" s="8">
        <v>-1.5056290000000001</v>
      </c>
      <c r="E5" s="38"/>
    </row>
    <row r="6" spans="1:5" x14ac:dyDescent="0.35">
      <c r="A6" s="5" t="s">
        <v>26</v>
      </c>
      <c r="B6" s="7" t="s">
        <v>21</v>
      </c>
      <c r="C6" s="6">
        <v>64.067910000000012</v>
      </c>
      <c r="D6" s="6">
        <v>-41.965155000000003</v>
      </c>
      <c r="E6" s="38"/>
    </row>
    <row r="7" spans="1:5" x14ac:dyDescent="0.35">
      <c r="A7" s="21" t="s">
        <v>87</v>
      </c>
      <c r="B7" s="22" t="s">
        <v>57</v>
      </c>
      <c r="C7" s="8">
        <v>0.53395788059999993</v>
      </c>
      <c r="D7" s="8">
        <v>-0.28880016759999999</v>
      </c>
      <c r="E7" s="38"/>
    </row>
    <row r="8" spans="1:5" x14ac:dyDescent="0.35">
      <c r="A8" s="5" t="s">
        <v>262</v>
      </c>
      <c r="B8" s="7" t="s">
        <v>111</v>
      </c>
      <c r="C8" s="6">
        <v>-3.5156879999999999</v>
      </c>
      <c r="D8" s="6">
        <v>2.2905060000000002</v>
      </c>
      <c r="E8" s="38"/>
    </row>
    <row r="9" spans="1:5" x14ac:dyDescent="0.35">
      <c r="A9" s="21" t="s">
        <v>81</v>
      </c>
      <c r="B9" s="22" t="s">
        <v>80</v>
      </c>
      <c r="C9" s="8">
        <v>-12.365686</v>
      </c>
      <c r="D9" s="8">
        <v>3.7938869999999998</v>
      </c>
      <c r="E9" s="38"/>
    </row>
    <row r="10" spans="1:5" x14ac:dyDescent="0.35">
      <c r="A10" s="5" t="s">
        <v>36</v>
      </c>
      <c r="B10" s="7" t="s">
        <v>35</v>
      </c>
      <c r="C10" s="6">
        <v>-16.133120000000002</v>
      </c>
      <c r="D10" s="6">
        <v>11.547969</v>
      </c>
      <c r="E10" s="38"/>
    </row>
    <row r="11" spans="1:5" x14ac:dyDescent="0.35">
      <c r="A11" s="21" t="s">
        <v>64</v>
      </c>
      <c r="B11" s="22" t="s">
        <v>55</v>
      </c>
      <c r="C11" s="8">
        <v>0.91576564640000047</v>
      </c>
      <c r="D11" s="8">
        <v>-3.2420497107999999</v>
      </c>
      <c r="E11" s="38"/>
    </row>
    <row r="12" spans="1:5" x14ac:dyDescent="0.35">
      <c r="A12" s="5" t="s">
        <v>50</v>
      </c>
      <c r="B12" s="7" t="s">
        <v>48</v>
      </c>
      <c r="C12" s="6">
        <v>2.124069</v>
      </c>
      <c r="D12" s="6">
        <v>-0.88871599999999995</v>
      </c>
      <c r="E12" s="38"/>
    </row>
    <row r="13" spans="1:5" x14ac:dyDescent="0.35">
      <c r="A13" s="21" t="s">
        <v>62</v>
      </c>
      <c r="B13" s="22" t="s">
        <v>52</v>
      </c>
      <c r="C13" s="8">
        <v>-11.5605798334</v>
      </c>
      <c r="D13" s="8">
        <v>-1.2638913324000001</v>
      </c>
      <c r="E13" s="38"/>
    </row>
    <row r="14" spans="1:5" x14ac:dyDescent="0.35">
      <c r="A14" s="5" t="s">
        <v>153</v>
      </c>
      <c r="B14" s="7" t="s">
        <v>32</v>
      </c>
      <c r="C14" s="6">
        <v>-6.5207309999999996</v>
      </c>
      <c r="D14" s="6">
        <v>3.774581</v>
      </c>
      <c r="E14" s="38"/>
    </row>
    <row r="15" spans="1:5" x14ac:dyDescent="0.35">
      <c r="A15" s="21" t="s">
        <v>77</v>
      </c>
      <c r="B15" s="22" t="s">
        <v>76</v>
      </c>
      <c r="C15" s="8">
        <v>-3.554983</v>
      </c>
      <c r="D15" s="8">
        <v>7.1322919999999996</v>
      </c>
      <c r="E15" s="38"/>
    </row>
    <row r="16" spans="1:5" x14ac:dyDescent="0.35">
      <c r="A16" s="5" t="s">
        <v>40</v>
      </c>
      <c r="B16" s="7" t="s">
        <v>38</v>
      </c>
      <c r="C16" s="6">
        <v>4.4053610000000001</v>
      </c>
      <c r="D16" s="6">
        <v>5.785825</v>
      </c>
      <c r="E16" s="38"/>
    </row>
    <row r="17" spans="1:5" x14ac:dyDescent="0.35">
      <c r="A17" s="21" t="s">
        <v>253</v>
      </c>
      <c r="B17" s="22" t="s">
        <v>58</v>
      </c>
      <c r="C17" s="8">
        <v>-8.7257580000000008</v>
      </c>
      <c r="D17" s="8">
        <v>7.2725200000000001</v>
      </c>
      <c r="E17" s="38"/>
    </row>
    <row r="18" spans="1:5" x14ac:dyDescent="0.35">
      <c r="A18" s="5" t="s">
        <v>27</v>
      </c>
      <c r="B18" s="7" t="s">
        <v>22</v>
      </c>
      <c r="C18" s="6">
        <v>-2.8551790000000001</v>
      </c>
      <c r="D18" s="6">
        <v>31.628858999999999</v>
      </c>
      <c r="E18" s="38"/>
    </row>
    <row r="19" spans="1:5" x14ac:dyDescent="0.35">
      <c r="A19" s="21" t="s">
        <v>34</v>
      </c>
      <c r="B19" s="22" t="s">
        <v>30</v>
      </c>
      <c r="C19" s="8">
        <v>0.97142200000000001</v>
      </c>
      <c r="D19" s="8">
        <v>-2.8521700000000001</v>
      </c>
      <c r="E19" s="38"/>
    </row>
    <row r="20" spans="1:5" x14ac:dyDescent="0.35">
      <c r="A20" s="5" t="s">
        <v>146</v>
      </c>
      <c r="B20" s="7" t="s">
        <v>90</v>
      </c>
      <c r="C20" s="6">
        <v>7.4389720000000059</v>
      </c>
      <c r="D20" s="6">
        <v>-13.2087182</v>
      </c>
      <c r="E20" s="38"/>
    </row>
    <row r="21" spans="1:5" x14ac:dyDescent="0.35">
      <c r="A21" s="21" t="s">
        <v>45</v>
      </c>
      <c r="B21" s="22" t="s">
        <v>42</v>
      </c>
      <c r="C21" s="8">
        <v>-4.2327820000000003</v>
      </c>
      <c r="D21" s="8">
        <v>3.177616</v>
      </c>
      <c r="E21" s="38"/>
    </row>
    <row r="22" spans="1:5" x14ac:dyDescent="0.35">
      <c r="A22" s="5" t="s">
        <v>33</v>
      </c>
      <c r="B22" s="7" t="s">
        <v>31</v>
      </c>
      <c r="C22" s="6">
        <v>-19.331869999999999</v>
      </c>
      <c r="D22" s="6">
        <v>11.752552</v>
      </c>
      <c r="E22" s="38"/>
    </row>
    <row r="23" spans="1:5" x14ac:dyDescent="0.35">
      <c r="A23" s="21" t="s">
        <v>29</v>
      </c>
      <c r="B23" s="22" t="s">
        <v>24</v>
      </c>
      <c r="C23" s="8">
        <v>-0.63233399999999995</v>
      </c>
      <c r="D23" s="8">
        <v>2.6721020000000002</v>
      </c>
      <c r="E23" s="38"/>
    </row>
    <row r="24" spans="1:5" x14ac:dyDescent="0.35">
      <c r="A24" s="5" t="s">
        <v>39</v>
      </c>
      <c r="B24" s="7" t="s">
        <v>37</v>
      </c>
      <c r="C24" s="6">
        <v>1.60344</v>
      </c>
      <c r="D24" s="6">
        <v>-3.0809340000000001</v>
      </c>
      <c r="E24" s="38"/>
    </row>
    <row r="25" spans="1:5" x14ac:dyDescent="0.35">
      <c r="A25" s="21" t="s">
        <v>49</v>
      </c>
      <c r="B25" s="22" t="s">
        <v>47</v>
      </c>
      <c r="C25" s="8">
        <v>-8.5165624999999991</v>
      </c>
      <c r="D25" s="8">
        <v>4.2419894999999999</v>
      </c>
      <c r="E25" s="38"/>
    </row>
    <row r="26" spans="1:5" x14ac:dyDescent="0.35">
      <c r="A26" s="5" t="s">
        <v>60</v>
      </c>
      <c r="B26" s="7" t="s">
        <v>51</v>
      </c>
      <c r="C26" s="6">
        <v>2.425808</v>
      </c>
      <c r="D26" s="6">
        <v>-7.9489844999999999</v>
      </c>
      <c r="E26" s="38"/>
    </row>
    <row r="27" spans="1:5" x14ac:dyDescent="0.35">
      <c r="A27" s="21" t="s">
        <v>28</v>
      </c>
      <c r="B27" s="22" t="s">
        <v>23</v>
      </c>
      <c r="C27" s="8">
        <v>28.262129000000002</v>
      </c>
      <c r="D27" s="8">
        <v>-32.131556000000003</v>
      </c>
      <c r="E27" s="38"/>
    </row>
    <row r="28" spans="1:5" x14ac:dyDescent="0.35">
      <c r="A28" s="5" t="s">
        <v>65</v>
      </c>
      <c r="B28" s="7" t="s">
        <v>59</v>
      </c>
      <c r="C28" s="6">
        <v>6.1917340000000003</v>
      </c>
      <c r="D28" s="6">
        <v>-1.834705</v>
      </c>
      <c r="E28" s="38"/>
    </row>
    <row r="29" spans="1:5" x14ac:dyDescent="0.35">
      <c r="A29" s="21" t="s">
        <v>46</v>
      </c>
      <c r="B29" s="22" t="s">
        <v>43</v>
      </c>
      <c r="C29" s="8">
        <v>2.4580000000000001E-3</v>
      </c>
      <c r="D29" s="8">
        <v>-1.643043</v>
      </c>
      <c r="E29" s="38"/>
    </row>
    <row r="30" spans="1:5" x14ac:dyDescent="0.35">
      <c r="A30" s="5" t="s">
        <v>44</v>
      </c>
      <c r="B30" s="7" t="s">
        <v>41</v>
      </c>
      <c r="C30" s="6">
        <v>-4.3965199999999998</v>
      </c>
      <c r="D30" s="6">
        <v>12.626821</v>
      </c>
      <c r="E30" s="38"/>
    </row>
    <row r="31" spans="1:5" ht="15" thickBot="1" x14ac:dyDescent="0.4">
      <c r="A31" s="21" t="s">
        <v>61</v>
      </c>
      <c r="B31" s="22" t="s">
        <v>53</v>
      </c>
      <c r="C31" s="8">
        <v>0.59337899999999999</v>
      </c>
      <c r="D31" s="8">
        <v>7.2454599999999996</v>
      </c>
      <c r="E31" s="38"/>
    </row>
    <row r="32" spans="1:5" ht="21" customHeight="1" thickBot="1" x14ac:dyDescent="0.4">
      <c r="A32" s="89" t="s">
        <v>66</v>
      </c>
      <c r="B32" s="90"/>
      <c r="C32" s="68">
        <f>SUM(C2:C31)</f>
        <v>7.2930451936000225</v>
      </c>
      <c r="D32" s="69">
        <f>SUM(D2:D31)</f>
        <v>16.100423589199988</v>
      </c>
    </row>
    <row r="34" spans="1:7" x14ac:dyDescent="0.35">
      <c r="A34" s="11" t="s">
        <v>67</v>
      </c>
      <c r="B34" s="54"/>
      <c r="C34" s="54"/>
      <c r="D34" s="54"/>
      <c r="E34" s="54"/>
      <c r="F34" s="54"/>
      <c r="G34" s="54"/>
    </row>
    <row r="35" spans="1:7" x14ac:dyDescent="0.35">
      <c r="A35" s="11" t="s">
        <v>82</v>
      </c>
    </row>
    <row r="36" spans="1:7" x14ac:dyDescent="0.35">
      <c r="A36" s="11" t="s">
        <v>83</v>
      </c>
    </row>
    <row r="37" spans="1:7" x14ac:dyDescent="0.35">
      <c r="A37" s="11" t="s">
        <v>75</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K109"/>
  <sheetViews>
    <sheetView showGridLines="0" zoomScaleNormal="100" workbookViewId="0"/>
  </sheetViews>
  <sheetFormatPr defaultRowHeight="14.5" x14ac:dyDescent="0.35"/>
  <cols>
    <col min="1" max="1" width="51.54296875" customWidth="1"/>
    <col min="2" max="2" width="8.54296875" customWidth="1"/>
    <col min="3" max="3" width="14.54296875" customWidth="1"/>
    <col min="4" max="4" width="17.453125" customWidth="1"/>
    <col min="5" max="5" width="22.54296875" customWidth="1"/>
    <col min="6" max="6" width="31.54296875" bestFit="1" customWidth="1"/>
    <col min="7" max="8" width="14" customWidth="1"/>
  </cols>
  <sheetData>
    <row r="1" spans="1:9" ht="42" x14ac:dyDescent="0.35">
      <c r="A1" s="32" t="str">
        <f>CONCATENATE("100 Most Traded Stocks YTD - ",'Weekly Top 10'!$C$5)</f>
        <v>100 Most Traded Stocks YTD - Week of 29 April 2024</v>
      </c>
      <c r="B1" s="16" t="s">
        <v>1</v>
      </c>
      <c r="C1" s="51" t="s">
        <v>101</v>
      </c>
      <c r="D1" s="17" t="s">
        <v>100</v>
      </c>
      <c r="E1" s="17" t="s">
        <v>102</v>
      </c>
      <c r="F1" s="17" t="s">
        <v>103</v>
      </c>
    </row>
    <row r="2" spans="1:9" x14ac:dyDescent="0.35">
      <c r="A2" s="18" t="s">
        <v>26</v>
      </c>
      <c r="B2" s="19" t="s">
        <v>21</v>
      </c>
      <c r="C2" s="60">
        <v>147.17757518715302</v>
      </c>
      <c r="D2" s="60">
        <v>-63.390687499999999</v>
      </c>
      <c r="E2" s="60">
        <v>69.373728999999997</v>
      </c>
      <c r="F2" s="20" t="s">
        <v>13</v>
      </c>
      <c r="G2" s="59"/>
      <c r="H2" s="59"/>
      <c r="I2" s="59"/>
    </row>
    <row r="3" spans="1:9" x14ac:dyDescent="0.35">
      <c r="A3" s="21" t="s">
        <v>28</v>
      </c>
      <c r="B3" s="22" t="s">
        <v>23</v>
      </c>
      <c r="C3" s="61">
        <v>89.379231498999999</v>
      </c>
      <c r="D3" s="61">
        <v>187.540763</v>
      </c>
      <c r="E3" s="61">
        <v>44.153258999999998</v>
      </c>
      <c r="F3" s="8" t="s">
        <v>13</v>
      </c>
      <c r="G3" s="59"/>
      <c r="H3" s="59"/>
      <c r="I3" s="59"/>
    </row>
    <row r="4" spans="1:9" x14ac:dyDescent="0.35">
      <c r="A4" s="5" t="s">
        <v>49</v>
      </c>
      <c r="B4" s="7" t="s">
        <v>47</v>
      </c>
      <c r="C4" s="62">
        <v>72.245406511035299</v>
      </c>
      <c r="D4" s="62">
        <v>-5.0980733000000029</v>
      </c>
      <c r="E4" s="62">
        <v>-5.2880927000000009</v>
      </c>
      <c r="F4" s="6" t="s">
        <v>164</v>
      </c>
      <c r="G4" s="59"/>
      <c r="H4" s="59"/>
      <c r="I4" s="59"/>
    </row>
    <row r="5" spans="1:9" x14ac:dyDescent="0.35">
      <c r="A5" s="21" t="s">
        <v>168</v>
      </c>
      <c r="B5" s="22" t="s">
        <v>22</v>
      </c>
      <c r="C5" s="61">
        <v>71.651881025964713</v>
      </c>
      <c r="D5" s="61">
        <v>183.43349559999999</v>
      </c>
      <c r="E5" s="61">
        <v>-21.684394999999999</v>
      </c>
      <c r="F5" s="8" t="s">
        <v>13</v>
      </c>
      <c r="G5" s="59"/>
      <c r="H5" s="59"/>
      <c r="I5" s="59"/>
    </row>
    <row r="6" spans="1:9" x14ac:dyDescent="0.35">
      <c r="A6" s="5" t="s">
        <v>146</v>
      </c>
      <c r="B6" s="7" t="s">
        <v>90</v>
      </c>
      <c r="C6" s="62">
        <v>46.291800089858825</v>
      </c>
      <c r="D6" s="62">
        <v>-69.617841600000006</v>
      </c>
      <c r="E6" s="62">
        <v>12.8986336</v>
      </c>
      <c r="F6" s="6" t="s">
        <v>14</v>
      </c>
      <c r="G6" s="59"/>
      <c r="H6" s="59"/>
      <c r="I6" s="59"/>
    </row>
    <row r="7" spans="1:9" x14ac:dyDescent="0.35">
      <c r="A7" s="21" t="s">
        <v>169</v>
      </c>
      <c r="B7" s="22" t="s">
        <v>56</v>
      </c>
      <c r="C7" s="61">
        <v>44.962987924588241</v>
      </c>
      <c r="D7" s="61">
        <v>-29.070053999999999</v>
      </c>
      <c r="E7" s="61">
        <v>-2.8746700000000001</v>
      </c>
      <c r="F7" s="8" t="s">
        <v>17</v>
      </c>
      <c r="G7" s="59"/>
      <c r="H7" s="59"/>
      <c r="I7" s="59"/>
    </row>
    <row r="8" spans="1:9" x14ac:dyDescent="0.35">
      <c r="A8" s="5" t="s">
        <v>33</v>
      </c>
      <c r="B8" s="7" t="s">
        <v>31</v>
      </c>
      <c r="C8" s="62">
        <v>38.02615637658824</v>
      </c>
      <c r="D8" s="62">
        <v>-164.11245500000001</v>
      </c>
      <c r="E8" s="62">
        <v>-23.449346999999999</v>
      </c>
      <c r="F8" s="46" t="s">
        <v>14</v>
      </c>
      <c r="G8" s="59"/>
      <c r="H8" s="59"/>
      <c r="I8" s="59"/>
    </row>
    <row r="9" spans="1:9" x14ac:dyDescent="0.35">
      <c r="A9" s="21" t="s">
        <v>171</v>
      </c>
      <c r="B9" s="22" t="s">
        <v>53</v>
      </c>
      <c r="C9" s="61">
        <v>37.96070909294118</v>
      </c>
      <c r="D9" s="61">
        <v>110.89694900000001</v>
      </c>
      <c r="E9" s="61">
        <v>-6.983212</v>
      </c>
      <c r="F9" s="8" t="s">
        <v>14</v>
      </c>
      <c r="G9" s="59"/>
      <c r="H9" s="59"/>
      <c r="I9" s="59"/>
    </row>
    <row r="10" spans="1:9" x14ac:dyDescent="0.35">
      <c r="A10" s="5" t="s">
        <v>170</v>
      </c>
      <c r="B10" s="7" t="s">
        <v>25</v>
      </c>
      <c r="C10" s="62">
        <v>36.64190933964705</v>
      </c>
      <c r="D10" s="62">
        <v>-115.181697</v>
      </c>
      <c r="E10" s="62">
        <v>-33.976601000000002</v>
      </c>
      <c r="F10" s="6" t="s">
        <v>17</v>
      </c>
      <c r="G10" s="59"/>
      <c r="H10" s="59"/>
      <c r="I10" s="59"/>
    </row>
    <row r="11" spans="1:9" x14ac:dyDescent="0.35">
      <c r="A11" s="21" t="s">
        <v>173</v>
      </c>
      <c r="B11" s="22" t="s">
        <v>38</v>
      </c>
      <c r="C11" s="61">
        <v>29.01075826117647</v>
      </c>
      <c r="D11" s="61">
        <v>-162.64288500000001</v>
      </c>
      <c r="E11" s="61">
        <v>2.4151470000000002</v>
      </c>
      <c r="F11" s="8" t="s">
        <v>17</v>
      </c>
      <c r="G11" s="59"/>
      <c r="H11" s="59"/>
      <c r="I11" s="59"/>
    </row>
    <row r="12" spans="1:9" x14ac:dyDescent="0.35">
      <c r="A12" s="5" t="s">
        <v>174</v>
      </c>
      <c r="B12" s="7" t="s">
        <v>35</v>
      </c>
      <c r="C12" s="62">
        <v>28.650356588352942</v>
      </c>
      <c r="D12" s="62">
        <v>-29.109085499999999</v>
      </c>
      <c r="E12" s="62">
        <v>-20.226354499999999</v>
      </c>
      <c r="F12" s="6" t="s">
        <v>10</v>
      </c>
      <c r="G12" s="59"/>
      <c r="H12" s="59"/>
      <c r="I12" s="59"/>
    </row>
    <row r="13" spans="1:9" x14ac:dyDescent="0.35">
      <c r="A13" s="21" t="s">
        <v>172</v>
      </c>
      <c r="B13" s="22" t="s">
        <v>85</v>
      </c>
      <c r="C13" s="61">
        <v>27.79043504151765</v>
      </c>
      <c r="D13" s="61">
        <v>-174.888148</v>
      </c>
      <c r="E13" s="61">
        <v>5.388503</v>
      </c>
      <c r="F13" s="8" t="s">
        <v>13</v>
      </c>
      <c r="G13" s="59"/>
      <c r="H13" s="59"/>
      <c r="I13" s="59"/>
    </row>
    <row r="14" spans="1:9" x14ac:dyDescent="0.35">
      <c r="A14" s="5" t="s">
        <v>153</v>
      </c>
      <c r="B14" s="7" t="s">
        <v>32</v>
      </c>
      <c r="C14" s="62">
        <v>24.78067416507059</v>
      </c>
      <c r="D14" s="62">
        <v>60.161788000000001</v>
      </c>
      <c r="E14" s="62">
        <v>-12.623212000000001</v>
      </c>
      <c r="F14" s="6" t="s">
        <v>14</v>
      </c>
      <c r="G14" s="59"/>
      <c r="H14" s="59"/>
      <c r="I14" s="59"/>
    </row>
    <row r="15" spans="1:9" x14ac:dyDescent="0.35">
      <c r="A15" s="21" t="s">
        <v>180</v>
      </c>
      <c r="B15" s="22" t="s">
        <v>58</v>
      </c>
      <c r="C15" s="61">
        <v>19.977854820588231</v>
      </c>
      <c r="D15" s="61">
        <v>-83.267882</v>
      </c>
      <c r="E15" s="61">
        <v>-10.88753</v>
      </c>
      <c r="F15" s="8" t="s">
        <v>17</v>
      </c>
      <c r="G15" s="59"/>
      <c r="H15" s="59"/>
      <c r="I15" s="59"/>
    </row>
    <row r="16" spans="1:9" x14ac:dyDescent="0.35">
      <c r="A16" s="5" t="s">
        <v>182</v>
      </c>
      <c r="B16" s="7" t="s">
        <v>48</v>
      </c>
      <c r="C16" s="62">
        <v>18.815228612235288</v>
      </c>
      <c r="D16" s="62">
        <v>-52.335759000000003</v>
      </c>
      <c r="E16" s="62">
        <v>1.0145649999999999</v>
      </c>
      <c r="F16" s="6" t="s">
        <v>10</v>
      </c>
      <c r="G16" s="59"/>
      <c r="H16" s="59"/>
      <c r="I16" s="59"/>
    </row>
    <row r="17" spans="1:11" x14ac:dyDescent="0.35">
      <c r="A17" s="21" t="s">
        <v>178</v>
      </c>
      <c r="B17" s="22" t="s">
        <v>42</v>
      </c>
      <c r="C17" s="61">
        <v>18.763670360235288</v>
      </c>
      <c r="D17" s="61">
        <v>15.277464199999999</v>
      </c>
      <c r="E17" s="61">
        <v>-4.1451250000000002</v>
      </c>
      <c r="F17" s="8" t="s">
        <v>19</v>
      </c>
      <c r="G17" s="59"/>
      <c r="H17" s="59"/>
      <c r="I17" s="59"/>
    </row>
    <row r="18" spans="1:11" x14ac:dyDescent="0.35">
      <c r="A18" s="5" t="s">
        <v>181</v>
      </c>
      <c r="B18" s="7" t="s">
        <v>51</v>
      </c>
      <c r="C18" s="62">
        <v>18.527449550588241</v>
      </c>
      <c r="D18" s="62">
        <v>44.02829950000001</v>
      </c>
      <c r="E18" s="62">
        <v>-0.62262499999999998</v>
      </c>
      <c r="F18" s="6" t="s">
        <v>11</v>
      </c>
      <c r="G18" s="59"/>
      <c r="H18" s="59"/>
      <c r="I18" s="59"/>
      <c r="J18" s="59"/>
      <c r="K18" s="59"/>
    </row>
    <row r="19" spans="1:11" x14ac:dyDescent="0.35">
      <c r="A19" s="21" t="s">
        <v>183</v>
      </c>
      <c r="B19" s="22" t="s">
        <v>59</v>
      </c>
      <c r="C19" s="61">
        <v>17.674292304588239</v>
      </c>
      <c r="D19" s="61">
        <v>-104.466171</v>
      </c>
      <c r="E19" s="61">
        <v>6.7616930000000002</v>
      </c>
      <c r="F19" s="8" t="s">
        <v>16</v>
      </c>
      <c r="G19" s="59"/>
      <c r="H19" s="59"/>
      <c r="I19" s="59"/>
      <c r="J19" s="59"/>
      <c r="K19" s="59"/>
    </row>
    <row r="20" spans="1:11" x14ac:dyDescent="0.35">
      <c r="A20" s="5" t="s">
        <v>177</v>
      </c>
      <c r="B20" s="7" t="s">
        <v>41</v>
      </c>
      <c r="C20" s="62">
        <v>17.549047582835289</v>
      </c>
      <c r="D20" s="62">
        <v>-10.161229000000001</v>
      </c>
      <c r="E20" s="62">
        <v>-3.6728969999999999</v>
      </c>
      <c r="F20" s="6" t="s">
        <v>11</v>
      </c>
      <c r="G20" s="59"/>
      <c r="H20" s="59"/>
      <c r="I20" s="59"/>
      <c r="J20" s="59"/>
      <c r="K20" s="59"/>
    </row>
    <row r="21" spans="1:11" x14ac:dyDescent="0.35">
      <c r="A21" s="21" t="s">
        <v>29</v>
      </c>
      <c r="B21" s="22" t="s">
        <v>24</v>
      </c>
      <c r="C21" s="61">
        <v>17.15377935647059</v>
      </c>
      <c r="D21" s="61">
        <v>-124.818</v>
      </c>
      <c r="E21" s="61">
        <v>0.58021699999999976</v>
      </c>
      <c r="F21" s="8" t="s">
        <v>13</v>
      </c>
      <c r="G21" s="59"/>
      <c r="H21" s="59"/>
      <c r="I21" s="59"/>
      <c r="J21" s="59"/>
      <c r="K21" s="59"/>
    </row>
    <row r="22" spans="1:11" x14ac:dyDescent="0.35">
      <c r="A22" s="5" t="s">
        <v>184</v>
      </c>
      <c r="B22" s="7" t="s">
        <v>54</v>
      </c>
      <c r="C22" s="62">
        <v>16.807018307058819</v>
      </c>
      <c r="D22" s="62">
        <v>-45.212758000000001</v>
      </c>
      <c r="E22" s="62">
        <v>6.9955629999999998</v>
      </c>
      <c r="F22" s="6" t="s">
        <v>16</v>
      </c>
      <c r="G22" s="59"/>
      <c r="H22" s="59"/>
      <c r="I22" s="59"/>
      <c r="J22" s="59"/>
      <c r="K22" s="59"/>
    </row>
    <row r="23" spans="1:11" x14ac:dyDescent="0.35">
      <c r="A23" s="21" t="s">
        <v>176</v>
      </c>
      <c r="B23" s="22" t="s">
        <v>52</v>
      </c>
      <c r="C23" s="61">
        <v>16.641454253575041</v>
      </c>
      <c r="D23" s="61">
        <v>30.517857049199989</v>
      </c>
      <c r="E23" s="61">
        <v>-12.052679552600001</v>
      </c>
      <c r="F23" s="8" t="s">
        <v>14</v>
      </c>
      <c r="G23" s="59"/>
      <c r="H23" s="59"/>
      <c r="I23" s="59"/>
      <c r="J23" s="59"/>
      <c r="K23" s="59"/>
    </row>
    <row r="24" spans="1:11" x14ac:dyDescent="0.35">
      <c r="A24" s="5" t="s">
        <v>39</v>
      </c>
      <c r="B24" s="7" t="s">
        <v>37</v>
      </c>
      <c r="C24" s="62">
        <v>15.76193206941177</v>
      </c>
      <c r="D24" s="62">
        <v>52.907220000000002</v>
      </c>
      <c r="E24" s="62">
        <v>2.2766709999999999</v>
      </c>
      <c r="F24" s="6" t="s">
        <v>14</v>
      </c>
      <c r="G24" s="59"/>
      <c r="H24" s="59"/>
      <c r="I24" s="59"/>
      <c r="J24" s="59"/>
      <c r="K24" s="59"/>
    </row>
    <row r="25" spans="1:11" x14ac:dyDescent="0.35">
      <c r="A25" s="21" t="s">
        <v>179</v>
      </c>
      <c r="B25" s="22" t="s">
        <v>76</v>
      </c>
      <c r="C25" s="61">
        <v>13.474748755764709</v>
      </c>
      <c r="D25" s="61">
        <v>-44.779904999999999</v>
      </c>
      <c r="E25" s="61">
        <v>-5.4462010000000003</v>
      </c>
      <c r="F25" s="8" t="s">
        <v>17</v>
      </c>
      <c r="G25" s="59"/>
      <c r="H25" s="59"/>
      <c r="I25" s="59"/>
      <c r="J25" s="59"/>
      <c r="K25" s="59"/>
    </row>
    <row r="26" spans="1:11" x14ac:dyDescent="0.35">
      <c r="A26" s="5" t="s">
        <v>188</v>
      </c>
      <c r="B26" s="7" t="s">
        <v>80</v>
      </c>
      <c r="C26" s="62">
        <v>12.055537019411771</v>
      </c>
      <c r="D26" s="62">
        <v>-66.626433000000006</v>
      </c>
      <c r="E26" s="62">
        <v>-13.263408</v>
      </c>
      <c r="F26" s="6" t="s">
        <v>17</v>
      </c>
      <c r="G26" s="59"/>
      <c r="H26" s="59"/>
      <c r="I26" s="59"/>
      <c r="J26" s="59"/>
      <c r="K26" s="59"/>
    </row>
    <row r="27" spans="1:11" x14ac:dyDescent="0.35">
      <c r="A27" s="21" t="s">
        <v>175</v>
      </c>
      <c r="B27" s="22" t="s">
        <v>78</v>
      </c>
      <c r="C27" s="61">
        <v>11.895507173176469</v>
      </c>
      <c r="D27" s="61">
        <v>-66.325378999999998</v>
      </c>
      <c r="E27" s="61">
        <v>-0.76146800000000003</v>
      </c>
      <c r="F27" s="8" t="s">
        <v>17</v>
      </c>
      <c r="G27" s="59"/>
      <c r="H27" s="59"/>
      <c r="I27" s="59"/>
      <c r="J27" s="59"/>
      <c r="K27" s="59"/>
    </row>
    <row r="28" spans="1:11" x14ac:dyDescent="0.35">
      <c r="A28" s="5" t="s">
        <v>34</v>
      </c>
      <c r="B28" s="7" t="s">
        <v>30</v>
      </c>
      <c r="C28" s="62">
        <v>11.26460690235294</v>
      </c>
      <c r="D28" s="62">
        <v>-26.811876000000002</v>
      </c>
      <c r="E28" s="62">
        <v>1.150272</v>
      </c>
      <c r="F28" s="6" t="s">
        <v>14</v>
      </c>
      <c r="G28" s="59"/>
      <c r="H28" s="59"/>
      <c r="I28" s="59"/>
      <c r="J28" s="59"/>
      <c r="K28" s="59"/>
    </row>
    <row r="29" spans="1:11" x14ac:dyDescent="0.35">
      <c r="A29" s="21" t="s">
        <v>185</v>
      </c>
      <c r="B29" s="22" t="s">
        <v>43</v>
      </c>
      <c r="C29" s="61">
        <v>10.07520666705882</v>
      </c>
      <c r="D29" s="61">
        <v>58.369844000000001</v>
      </c>
      <c r="E29" s="61">
        <v>-3.7701709999999999</v>
      </c>
      <c r="F29" s="8" t="s">
        <v>165</v>
      </c>
      <c r="G29" s="59"/>
      <c r="H29" s="59"/>
      <c r="I29" s="59"/>
      <c r="J29" s="59"/>
      <c r="K29" s="59"/>
    </row>
    <row r="30" spans="1:11" x14ac:dyDescent="0.35">
      <c r="A30" s="5" t="s">
        <v>190</v>
      </c>
      <c r="B30" s="7" t="s">
        <v>91</v>
      </c>
      <c r="C30" s="62">
        <v>8.8509103117647054</v>
      </c>
      <c r="D30" s="62">
        <v>-34.292417</v>
      </c>
      <c r="E30" s="62">
        <v>-1.5495300000000001</v>
      </c>
      <c r="F30" s="6" t="s">
        <v>17</v>
      </c>
      <c r="G30" s="59"/>
      <c r="H30" s="59"/>
      <c r="I30" s="59"/>
      <c r="J30" s="59"/>
      <c r="K30" s="59"/>
    </row>
    <row r="31" spans="1:11" x14ac:dyDescent="0.35">
      <c r="A31" s="21" t="s">
        <v>189</v>
      </c>
      <c r="B31" s="22" t="s">
        <v>55</v>
      </c>
      <c r="C31" s="61">
        <v>8.7729391709489413</v>
      </c>
      <c r="D31" s="61">
        <v>1.5901700348999981</v>
      </c>
      <c r="E31" s="61">
        <v>2.1770461600000002</v>
      </c>
      <c r="F31" s="8" t="s">
        <v>16</v>
      </c>
      <c r="G31" s="59"/>
      <c r="H31" s="59"/>
      <c r="I31" s="59"/>
      <c r="J31" s="59"/>
      <c r="K31" s="59"/>
    </row>
    <row r="32" spans="1:11" x14ac:dyDescent="0.35">
      <c r="A32" s="5" t="s">
        <v>187</v>
      </c>
      <c r="B32" s="7" t="s">
        <v>111</v>
      </c>
      <c r="C32" s="62">
        <v>7.5770421835294126</v>
      </c>
      <c r="D32" s="62">
        <v>-1.4841839999999999</v>
      </c>
      <c r="E32" s="62">
        <v>-3.5161690000000001</v>
      </c>
      <c r="F32" s="6" t="s">
        <v>17</v>
      </c>
      <c r="G32" s="59"/>
      <c r="H32" s="59"/>
      <c r="I32" s="59"/>
      <c r="J32" s="59"/>
      <c r="K32" s="59"/>
    </row>
    <row r="33" spans="1:11" x14ac:dyDescent="0.35">
      <c r="A33" s="21" t="s">
        <v>143</v>
      </c>
      <c r="B33" s="22" t="s">
        <v>108</v>
      </c>
      <c r="C33" s="61">
        <v>7.4901703717647061</v>
      </c>
      <c r="D33" s="61">
        <v>59.504612999999999</v>
      </c>
      <c r="E33" s="61">
        <v>2.6305610000000001</v>
      </c>
      <c r="F33" s="8" t="s">
        <v>14</v>
      </c>
      <c r="G33" s="59"/>
      <c r="H33" s="59"/>
      <c r="I33" s="59"/>
      <c r="J33" s="59"/>
      <c r="K33" s="59"/>
    </row>
    <row r="34" spans="1:11" x14ac:dyDescent="0.35">
      <c r="A34" s="5" t="s">
        <v>186</v>
      </c>
      <c r="B34" s="7" t="s">
        <v>104</v>
      </c>
      <c r="C34" s="62">
        <v>7.3962068434352952</v>
      </c>
      <c r="D34" s="62">
        <v>-7.4140015000000004</v>
      </c>
      <c r="E34" s="62">
        <v>1.7376990000000001</v>
      </c>
      <c r="F34" s="6" t="s">
        <v>17</v>
      </c>
      <c r="G34" s="59"/>
      <c r="H34" s="59"/>
      <c r="I34" s="59"/>
      <c r="J34" s="59"/>
      <c r="K34" s="59"/>
    </row>
    <row r="35" spans="1:11" x14ac:dyDescent="0.35">
      <c r="A35" s="21" t="s">
        <v>191</v>
      </c>
      <c r="B35" s="22" t="s">
        <v>92</v>
      </c>
      <c r="C35" s="61">
        <v>5.8035457273411772</v>
      </c>
      <c r="D35" s="61">
        <v>-54.582510223999996</v>
      </c>
      <c r="E35" s="61">
        <v>-0.16438800000000001</v>
      </c>
      <c r="F35" s="8" t="s">
        <v>165</v>
      </c>
      <c r="G35" s="59"/>
      <c r="H35" s="59"/>
      <c r="I35" s="59"/>
      <c r="J35" s="59"/>
      <c r="K35" s="59"/>
    </row>
    <row r="36" spans="1:11" x14ac:dyDescent="0.35">
      <c r="A36" s="5" t="s">
        <v>194</v>
      </c>
      <c r="B36" s="7" t="s">
        <v>147</v>
      </c>
      <c r="C36" s="62">
        <v>5.6205150258823533</v>
      </c>
      <c r="D36" s="62">
        <v>4.8589770000000003</v>
      </c>
      <c r="E36" s="62">
        <v>0.46523700000000001</v>
      </c>
      <c r="F36" s="6" t="s">
        <v>165</v>
      </c>
      <c r="G36" s="59"/>
      <c r="H36" s="59"/>
      <c r="I36" s="59"/>
      <c r="J36" s="59"/>
      <c r="K36" s="59"/>
    </row>
    <row r="37" spans="1:11" x14ac:dyDescent="0.35">
      <c r="A37" s="21" t="s">
        <v>193</v>
      </c>
      <c r="B37" s="22" t="s">
        <v>112</v>
      </c>
      <c r="C37" s="61">
        <v>5.5568147494117648</v>
      </c>
      <c r="D37" s="61">
        <v>21.514977999999999</v>
      </c>
      <c r="E37" s="61">
        <v>-2.209292</v>
      </c>
      <c r="F37" s="8" t="s">
        <v>165</v>
      </c>
      <c r="G37" s="59"/>
      <c r="H37" s="59"/>
      <c r="I37" s="59"/>
      <c r="J37" s="59"/>
      <c r="K37" s="59"/>
    </row>
    <row r="38" spans="1:11" x14ac:dyDescent="0.35">
      <c r="A38" s="5" t="s">
        <v>192</v>
      </c>
      <c r="B38" s="7" t="s">
        <v>94</v>
      </c>
      <c r="C38" s="62">
        <v>5.0834380049999996</v>
      </c>
      <c r="D38" s="62">
        <v>-35.834611000000002</v>
      </c>
      <c r="E38" s="62">
        <v>-1.0738160000000001</v>
      </c>
      <c r="F38" s="6" t="s">
        <v>17</v>
      </c>
      <c r="G38" s="59"/>
      <c r="H38" s="59"/>
      <c r="I38" s="59"/>
      <c r="J38" s="59"/>
      <c r="K38" s="59"/>
    </row>
    <row r="39" spans="1:11" x14ac:dyDescent="0.35">
      <c r="A39" s="21" t="s">
        <v>197</v>
      </c>
      <c r="B39" s="22" t="s">
        <v>126</v>
      </c>
      <c r="C39" s="61">
        <v>4.5968940758823527</v>
      </c>
      <c r="D39" s="61">
        <v>-2.4822609999999998</v>
      </c>
      <c r="E39" s="61">
        <v>6.3861889999999999</v>
      </c>
      <c r="F39" s="8" t="s">
        <v>165</v>
      </c>
      <c r="G39" s="59"/>
      <c r="H39" s="59"/>
      <c r="I39" s="59"/>
      <c r="J39" s="59"/>
      <c r="K39" s="59"/>
    </row>
    <row r="40" spans="1:11" x14ac:dyDescent="0.35">
      <c r="A40" s="5" t="s">
        <v>195</v>
      </c>
      <c r="B40" s="7" t="s">
        <v>123</v>
      </c>
      <c r="C40" s="62">
        <v>4.5912585000000004</v>
      </c>
      <c r="D40" s="62">
        <v>11.85563</v>
      </c>
      <c r="E40" s="62">
        <v>-0.61252600000000001</v>
      </c>
      <c r="F40" s="6" t="s">
        <v>166</v>
      </c>
      <c r="G40" s="59"/>
      <c r="H40" s="59"/>
      <c r="I40" s="59"/>
      <c r="J40" s="59"/>
      <c r="K40" s="59"/>
    </row>
    <row r="41" spans="1:11" x14ac:dyDescent="0.35">
      <c r="A41" s="21" t="s">
        <v>211</v>
      </c>
      <c r="B41" s="22" t="s">
        <v>110</v>
      </c>
      <c r="C41" s="61">
        <v>3.718544079294118</v>
      </c>
      <c r="D41" s="61">
        <v>-14.203618499999999</v>
      </c>
      <c r="E41" s="61">
        <v>0.33803250000000001</v>
      </c>
      <c r="F41" s="8" t="s">
        <v>11</v>
      </c>
      <c r="G41" s="59"/>
      <c r="H41" s="59"/>
      <c r="I41" s="59"/>
      <c r="J41" s="59"/>
      <c r="K41" s="59"/>
    </row>
    <row r="42" spans="1:11" x14ac:dyDescent="0.35">
      <c r="A42" s="5" t="s">
        <v>199</v>
      </c>
      <c r="B42" s="7" t="s">
        <v>105</v>
      </c>
      <c r="C42" s="62">
        <v>3.643123320705882</v>
      </c>
      <c r="D42" s="62">
        <v>2.373246</v>
      </c>
      <c r="E42" s="62">
        <v>-0.4726169999999999</v>
      </c>
      <c r="F42" s="6" t="s">
        <v>17</v>
      </c>
      <c r="G42" s="59"/>
      <c r="H42" s="59"/>
      <c r="I42" s="59"/>
      <c r="J42" s="59"/>
      <c r="K42" s="59"/>
    </row>
    <row r="43" spans="1:11" x14ac:dyDescent="0.35">
      <c r="A43" s="21" t="s">
        <v>198</v>
      </c>
      <c r="B43" s="22" t="s">
        <v>113</v>
      </c>
      <c r="C43" s="61">
        <v>3.2271705294117647</v>
      </c>
      <c r="D43" s="61">
        <v>-19.065580000000001</v>
      </c>
      <c r="E43" s="61">
        <v>-1.6201345</v>
      </c>
      <c r="F43" s="8" t="s">
        <v>165</v>
      </c>
      <c r="G43" s="59"/>
      <c r="H43" s="59"/>
      <c r="I43" s="59"/>
      <c r="J43" s="59"/>
      <c r="K43" s="59"/>
    </row>
    <row r="44" spans="1:11" x14ac:dyDescent="0.35">
      <c r="A44" s="5" t="s">
        <v>196</v>
      </c>
      <c r="B44" s="7" t="s">
        <v>97</v>
      </c>
      <c r="C44" s="62">
        <v>2.9462169764705877</v>
      </c>
      <c r="D44" s="62">
        <v>0.35002899999999998</v>
      </c>
      <c r="E44" s="62">
        <v>0.57777199999999995</v>
      </c>
      <c r="F44" s="6" t="s">
        <v>14</v>
      </c>
      <c r="G44" s="59"/>
      <c r="H44" s="59"/>
      <c r="I44" s="59"/>
      <c r="J44" s="59"/>
      <c r="K44" s="59"/>
    </row>
    <row r="45" spans="1:11" x14ac:dyDescent="0.35">
      <c r="A45" s="21" t="s">
        <v>216</v>
      </c>
      <c r="B45" s="22" t="s">
        <v>131</v>
      </c>
      <c r="C45" s="61">
        <v>2.8379058882352939</v>
      </c>
      <c r="D45" s="61">
        <v>16.474672999999999</v>
      </c>
      <c r="E45" s="61">
        <v>-0.13535249999999999</v>
      </c>
      <c r="F45" s="8" t="s">
        <v>166</v>
      </c>
      <c r="G45" s="59"/>
      <c r="H45" s="59"/>
      <c r="I45" s="59"/>
      <c r="J45" s="59"/>
      <c r="K45" s="59"/>
    </row>
    <row r="46" spans="1:11" x14ac:dyDescent="0.35">
      <c r="A46" s="5" t="s">
        <v>204</v>
      </c>
      <c r="B46" s="7" t="s">
        <v>109</v>
      </c>
      <c r="C46" s="62">
        <v>2.7686375294117647</v>
      </c>
      <c r="D46" s="62">
        <v>-19.570435</v>
      </c>
      <c r="E46" s="62">
        <v>-0.11598749999999999</v>
      </c>
      <c r="F46" s="6" t="s">
        <v>17</v>
      </c>
      <c r="G46" s="59"/>
      <c r="H46" s="59"/>
      <c r="I46" s="59"/>
      <c r="J46" s="59"/>
      <c r="K46" s="59"/>
    </row>
    <row r="47" spans="1:11" x14ac:dyDescent="0.35">
      <c r="A47" s="21" t="s">
        <v>203</v>
      </c>
      <c r="B47" s="22" t="s">
        <v>120</v>
      </c>
      <c r="C47" s="61">
        <v>2.5962339617647059</v>
      </c>
      <c r="D47" s="61">
        <v>-5.2393020000000003</v>
      </c>
      <c r="E47" s="61">
        <v>0.4520055</v>
      </c>
      <c r="F47" s="8" t="s">
        <v>17</v>
      </c>
      <c r="G47" s="59"/>
      <c r="H47" s="59"/>
      <c r="I47" s="59"/>
      <c r="J47" s="59"/>
      <c r="K47" s="59"/>
    </row>
    <row r="48" spans="1:11" x14ac:dyDescent="0.35">
      <c r="A48" s="5" t="s">
        <v>200</v>
      </c>
      <c r="B48" s="7" t="s">
        <v>118</v>
      </c>
      <c r="C48" s="62">
        <v>2.5416717604705883</v>
      </c>
      <c r="D48" s="62">
        <v>-5.9057174999999997</v>
      </c>
      <c r="E48" s="62">
        <v>-0.34994550000000002</v>
      </c>
      <c r="F48" s="6" t="s">
        <v>164</v>
      </c>
      <c r="G48" s="59"/>
      <c r="H48" s="59"/>
      <c r="I48" s="59"/>
      <c r="J48" s="59"/>
      <c r="K48" s="59"/>
    </row>
    <row r="49" spans="1:11" x14ac:dyDescent="0.35">
      <c r="A49" s="21" t="s">
        <v>220</v>
      </c>
      <c r="B49" s="22" t="s">
        <v>133</v>
      </c>
      <c r="C49" s="61">
        <v>2.5153075720000002</v>
      </c>
      <c r="D49" s="61">
        <v>-1.7519035000000001</v>
      </c>
      <c r="E49" s="61">
        <v>-0.29706850000000001</v>
      </c>
      <c r="F49" s="8" t="s">
        <v>167</v>
      </c>
      <c r="G49" s="59"/>
      <c r="H49" s="59"/>
      <c r="I49" s="59"/>
      <c r="J49" s="59"/>
      <c r="K49" s="59"/>
    </row>
    <row r="50" spans="1:11" x14ac:dyDescent="0.35">
      <c r="A50" s="5" t="s">
        <v>202</v>
      </c>
      <c r="B50" s="7" t="s">
        <v>107</v>
      </c>
      <c r="C50" s="62">
        <v>2.5022727341176472</v>
      </c>
      <c r="D50" s="62">
        <v>-2.2346418999999997</v>
      </c>
      <c r="E50" s="62">
        <v>-0.4827668</v>
      </c>
      <c r="F50" s="6" t="s">
        <v>166</v>
      </c>
      <c r="G50" s="59"/>
      <c r="H50" s="59"/>
      <c r="I50" s="59"/>
      <c r="J50" s="59"/>
      <c r="K50" s="59"/>
    </row>
    <row r="51" spans="1:11" x14ac:dyDescent="0.35">
      <c r="A51" s="21" t="s">
        <v>201</v>
      </c>
      <c r="B51" s="22" t="s">
        <v>98</v>
      </c>
      <c r="C51" s="61">
        <v>2.494327212470588</v>
      </c>
      <c r="D51" s="61">
        <v>-38.161549000000001</v>
      </c>
      <c r="E51" s="61">
        <v>-3.7584145000000002</v>
      </c>
      <c r="F51" s="8" t="s">
        <v>17</v>
      </c>
      <c r="G51" s="59"/>
      <c r="H51" s="59"/>
      <c r="I51" s="59"/>
      <c r="J51" s="59"/>
      <c r="K51" s="59"/>
    </row>
    <row r="52" spans="1:11" x14ac:dyDescent="0.35">
      <c r="A52" s="5" t="s">
        <v>212</v>
      </c>
      <c r="B52" s="7" t="s">
        <v>121</v>
      </c>
      <c r="C52" s="62">
        <v>2.4837769898798818</v>
      </c>
      <c r="D52" s="62">
        <v>7.540124349700001</v>
      </c>
      <c r="E52" s="62">
        <v>-0.10951298405</v>
      </c>
      <c r="F52" s="6" t="s">
        <v>17</v>
      </c>
      <c r="G52" s="59"/>
      <c r="H52" s="59"/>
      <c r="I52" s="59"/>
      <c r="J52" s="59"/>
      <c r="K52" s="59"/>
    </row>
    <row r="53" spans="1:11" x14ac:dyDescent="0.35">
      <c r="A53" s="21" t="s">
        <v>209</v>
      </c>
      <c r="B53" s="22" t="s">
        <v>57</v>
      </c>
      <c r="C53" s="61">
        <v>2.4035754389510586</v>
      </c>
      <c r="D53" s="61">
        <v>-6.8218424561999997</v>
      </c>
      <c r="E53" s="61">
        <v>0.5810908589999999</v>
      </c>
      <c r="F53" s="8" t="s">
        <v>11</v>
      </c>
      <c r="G53" s="59"/>
      <c r="H53" s="59"/>
      <c r="I53" s="59"/>
      <c r="J53" s="59"/>
      <c r="K53" s="59"/>
    </row>
    <row r="54" spans="1:11" x14ac:dyDescent="0.35">
      <c r="A54" s="5" t="s">
        <v>210</v>
      </c>
      <c r="B54" s="7" t="s">
        <v>106</v>
      </c>
      <c r="C54" s="62">
        <v>2.3623874917647063</v>
      </c>
      <c r="D54" s="62">
        <v>-12.383648000000001</v>
      </c>
      <c r="E54" s="62">
        <v>-5.3477395000000003</v>
      </c>
      <c r="F54" s="6" t="s">
        <v>15</v>
      </c>
      <c r="G54" s="59"/>
      <c r="H54" s="59"/>
      <c r="I54" s="59"/>
      <c r="J54" s="59"/>
      <c r="K54" s="59"/>
    </row>
    <row r="55" spans="1:11" x14ac:dyDescent="0.35">
      <c r="A55" s="21" t="s">
        <v>208</v>
      </c>
      <c r="B55" s="22" t="s">
        <v>124</v>
      </c>
      <c r="C55" s="61">
        <v>2.226075432941176</v>
      </c>
      <c r="D55" s="61">
        <v>-21.130220000000001</v>
      </c>
      <c r="E55" s="61">
        <v>0.77464299999999997</v>
      </c>
      <c r="F55" s="8" t="s">
        <v>17</v>
      </c>
      <c r="G55" s="59"/>
      <c r="H55" s="59"/>
      <c r="I55" s="59"/>
      <c r="J55" s="59"/>
      <c r="K55" s="59"/>
    </row>
    <row r="56" spans="1:11" x14ac:dyDescent="0.35">
      <c r="A56" s="5" t="s">
        <v>229</v>
      </c>
      <c r="B56" s="7" t="s">
        <v>99</v>
      </c>
      <c r="C56" s="62">
        <v>2.1396977670588226</v>
      </c>
      <c r="D56" s="62">
        <v>2.6092255</v>
      </c>
      <c r="E56" s="62">
        <v>2.0636990000000002</v>
      </c>
      <c r="F56" s="6" t="s">
        <v>11</v>
      </c>
      <c r="G56" s="59"/>
      <c r="H56" s="59"/>
      <c r="I56" s="59"/>
      <c r="J56" s="59"/>
      <c r="K56" s="59"/>
    </row>
    <row r="57" spans="1:11" x14ac:dyDescent="0.35">
      <c r="A57" s="21" t="s">
        <v>213</v>
      </c>
      <c r="B57" s="22" t="s">
        <v>93</v>
      </c>
      <c r="C57" s="61">
        <v>2.1010615505882346</v>
      </c>
      <c r="D57" s="61">
        <v>-19.586376000000001</v>
      </c>
      <c r="E57" s="61">
        <v>-1.71028</v>
      </c>
      <c r="F57" s="8" t="s">
        <v>11</v>
      </c>
      <c r="G57" s="59"/>
      <c r="H57" s="59"/>
      <c r="I57" s="59"/>
      <c r="J57" s="59"/>
      <c r="K57" s="59"/>
    </row>
    <row r="58" spans="1:11" x14ac:dyDescent="0.35">
      <c r="A58" s="5" t="s">
        <v>218</v>
      </c>
      <c r="B58" s="7" t="s">
        <v>115</v>
      </c>
      <c r="C58" s="62">
        <v>1.97446514</v>
      </c>
      <c r="D58" s="62">
        <v>2.5983450000000001</v>
      </c>
      <c r="E58" s="62">
        <v>0.41383700000000001</v>
      </c>
      <c r="F58" s="6" t="s">
        <v>11</v>
      </c>
      <c r="G58" s="59"/>
      <c r="H58" s="59"/>
      <c r="I58" s="59"/>
      <c r="J58" s="59"/>
      <c r="K58" s="59"/>
    </row>
    <row r="59" spans="1:11" x14ac:dyDescent="0.35">
      <c r="A59" s="21" t="s">
        <v>206</v>
      </c>
      <c r="B59" s="22" t="s">
        <v>122</v>
      </c>
      <c r="C59" s="61">
        <v>1.940331919529412</v>
      </c>
      <c r="D59" s="61">
        <v>-11.732132</v>
      </c>
      <c r="E59" s="61">
        <v>0.36815750000000003</v>
      </c>
      <c r="F59" s="8" t="s">
        <v>17</v>
      </c>
      <c r="G59" s="59"/>
      <c r="H59" s="59"/>
      <c r="I59" s="59"/>
      <c r="J59" s="59"/>
      <c r="K59" s="59"/>
    </row>
    <row r="60" spans="1:11" x14ac:dyDescent="0.35">
      <c r="A60" s="5" t="s">
        <v>215</v>
      </c>
      <c r="B60" s="7" t="s">
        <v>114</v>
      </c>
      <c r="C60" s="62">
        <v>1.8611993411764709</v>
      </c>
      <c r="D60" s="62">
        <v>2.7540879999999999</v>
      </c>
      <c r="E60" s="62">
        <v>0.61684050000000001</v>
      </c>
      <c r="F60" s="6" t="s">
        <v>13</v>
      </c>
      <c r="G60" s="59"/>
      <c r="H60" s="59"/>
      <c r="I60" s="59"/>
      <c r="J60" s="59"/>
      <c r="K60" s="59"/>
    </row>
    <row r="61" spans="1:11" x14ac:dyDescent="0.35">
      <c r="A61" s="21" t="s">
        <v>205</v>
      </c>
      <c r="B61" s="22" t="s">
        <v>154</v>
      </c>
      <c r="C61" s="61">
        <v>1.6474104976470589</v>
      </c>
      <c r="D61" s="61">
        <v>-2.3285656000000001</v>
      </c>
      <c r="E61" s="61">
        <v>0.1802542</v>
      </c>
      <c r="F61" s="8" t="s">
        <v>14</v>
      </c>
      <c r="G61" s="59"/>
      <c r="H61" s="59"/>
      <c r="I61" s="59"/>
      <c r="J61" s="59"/>
      <c r="K61" s="59"/>
    </row>
    <row r="62" spans="1:11" x14ac:dyDescent="0.35">
      <c r="A62" s="5" t="s">
        <v>207</v>
      </c>
      <c r="B62" s="7" t="s">
        <v>119</v>
      </c>
      <c r="C62" s="62">
        <v>1.631485345348235</v>
      </c>
      <c r="D62" s="62">
        <v>-3.8503551162399998</v>
      </c>
      <c r="E62" s="62">
        <v>0.26218014523000005</v>
      </c>
      <c r="F62" s="6" t="s">
        <v>10</v>
      </c>
      <c r="G62" s="59"/>
      <c r="H62" s="59"/>
      <c r="I62" s="59"/>
      <c r="J62" s="59"/>
      <c r="K62" s="59"/>
    </row>
    <row r="63" spans="1:11" x14ac:dyDescent="0.35">
      <c r="A63" s="21" t="s">
        <v>226</v>
      </c>
      <c r="B63" s="22" t="s">
        <v>96</v>
      </c>
      <c r="C63" s="61">
        <v>1.429232335681647</v>
      </c>
      <c r="D63" s="61">
        <v>-15.686952700880001</v>
      </c>
      <c r="E63" s="61">
        <v>0.42503238490000012</v>
      </c>
      <c r="F63" s="8" t="s">
        <v>17</v>
      </c>
      <c r="G63" s="59"/>
      <c r="H63" s="59"/>
      <c r="I63" s="59"/>
      <c r="J63" s="59"/>
      <c r="K63" s="59"/>
    </row>
    <row r="64" spans="1:11" x14ac:dyDescent="0.35">
      <c r="A64" s="5" t="s">
        <v>219</v>
      </c>
      <c r="B64" s="7" t="s">
        <v>132</v>
      </c>
      <c r="C64" s="62">
        <v>1.3290613529411759</v>
      </c>
      <c r="D64" s="62">
        <v>8.9567789999999992</v>
      </c>
      <c r="E64" s="62">
        <v>-0.90706600000000004</v>
      </c>
      <c r="F64" s="6" t="s">
        <v>164</v>
      </c>
      <c r="G64" s="59"/>
      <c r="H64" s="59"/>
      <c r="I64" s="59"/>
      <c r="J64" s="59"/>
      <c r="K64" s="59"/>
    </row>
    <row r="65" spans="1:11" x14ac:dyDescent="0.35">
      <c r="A65" s="21" t="s">
        <v>228</v>
      </c>
      <c r="B65" s="22" t="s">
        <v>116</v>
      </c>
      <c r="C65" s="61">
        <v>1.328003589411765</v>
      </c>
      <c r="D65" s="61">
        <v>-25.955850000000002</v>
      </c>
      <c r="E65" s="61">
        <v>-3.7632840000000001</v>
      </c>
      <c r="F65" s="8" t="s">
        <v>167</v>
      </c>
      <c r="G65" s="59"/>
      <c r="H65" s="59"/>
      <c r="I65" s="59"/>
      <c r="J65" s="59"/>
      <c r="K65" s="59"/>
    </row>
    <row r="66" spans="1:11" x14ac:dyDescent="0.35">
      <c r="A66" s="5" t="s">
        <v>222</v>
      </c>
      <c r="B66" s="7" t="s">
        <v>155</v>
      </c>
      <c r="C66" s="62">
        <v>1.311916691764706</v>
      </c>
      <c r="D66" s="62">
        <v>-0.87792300000000001</v>
      </c>
      <c r="E66" s="62">
        <v>-0.1191171</v>
      </c>
      <c r="F66" s="6" t="s">
        <v>14</v>
      </c>
      <c r="G66" s="59"/>
      <c r="H66" s="59"/>
      <c r="I66" s="59"/>
      <c r="J66" s="59"/>
      <c r="K66" s="59"/>
    </row>
    <row r="67" spans="1:11" x14ac:dyDescent="0.35">
      <c r="A67" s="21" t="s">
        <v>245</v>
      </c>
      <c r="B67" s="22" t="s">
        <v>117</v>
      </c>
      <c r="C67" s="61">
        <v>1.2827417647058819</v>
      </c>
      <c r="D67" s="61">
        <v>5.4282760000000003</v>
      </c>
      <c r="E67" s="61">
        <v>2.5510769999999998</v>
      </c>
      <c r="F67" s="8" t="s">
        <v>10</v>
      </c>
      <c r="G67" s="59"/>
      <c r="H67" s="59"/>
      <c r="I67" s="59"/>
      <c r="J67" s="59"/>
      <c r="K67" s="59"/>
    </row>
    <row r="68" spans="1:11" x14ac:dyDescent="0.35">
      <c r="A68" s="5" t="s">
        <v>217</v>
      </c>
      <c r="B68" s="7" t="s">
        <v>140</v>
      </c>
      <c r="C68" s="62">
        <v>1.176309337647059</v>
      </c>
      <c r="D68" s="62">
        <v>3.251268</v>
      </c>
      <c r="E68" s="62">
        <v>-1.206183</v>
      </c>
      <c r="F68" s="6" t="s">
        <v>11</v>
      </c>
      <c r="G68" s="59"/>
      <c r="H68" s="59"/>
      <c r="I68" s="59"/>
      <c r="J68" s="59"/>
      <c r="K68" s="59"/>
    </row>
    <row r="69" spans="1:11" x14ac:dyDescent="0.35">
      <c r="A69" s="21" t="s">
        <v>224</v>
      </c>
      <c r="B69" s="22" t="s">
        <v>130</v>
      </c>
      <c r="C69" s="61">
        <v>1.1731385952941169</v>
      </c>
      <c r="D69" s="61">
        <v>-3.1936059999999999</v>
      </c>
      <c r="E69" s="61">
        <v>-1.1224209999999999</v>
      </c>
      <c r="F69" s="8" t="s">
        <v>17</v>
      </c>
      <c r="G69" s="59"/>
      <c r="H69" s="59"/>
      <c r="I69" s="59"/>
      <c r="J69" s="59"/>
      <c r="K69" s="59"/>
    </row>
    <row r="70" spans="1:11" x14ac:dyDescent="0.35">
      <c r="A70" s="5" t="s">
        <v>231</v>
      </c>
      <c r="B70" s="7" t="s">
        <v>137</v>
      </c>
      <c r="C70" s="62">
        <v>1.1055819058823531</v>
      </c>
      <c r="D70" s="62">
        <v>-2.7061980000000001</v>
      </c>
      <c r="E70" s="62">
        <v>-1.0194E-2</v>
      </c>
      <c r="F70" s="6" t="s">
        <v>14</v>
      </c>
      <c r="G70" s="59"/>
      <c r="H70" s="59"/>
      <c r="I70" s="59"/>
      <c r="J70" s="59"/>
      <c r="K70" s="59"/>
    </row>
    <row r="71" spans="1:11" x14ac:dyDescent="0.35">
      <c r="A71" s="21" t="s">
        <v>234</v>
      </c>
      <c r="B71" s="22" t="s">
        <v>134</v>
      </c>
      <c r="C71" s="61">
        <v>1.04426745237353</v>
      </c>
      <c r="D71" s="61">
        <v>-2.1573091458600002</v>
      </c>
      <c r="E71" s="61">
        <v>-6.8960746959999999E-2</v>
      </c>
      <c r="F71" s="8" t="s">
        <v>17</v>
      </c>
      <c r="G71" s="59"/>
      <c r="H71" s="59"/>
      <c r="I71" s="59"/>
      <c r="J71" s="59"/>
      <c r="K71" s="59"/>
    </row>
    <row r="72" spans="1:11" x14ac:dyDescent="0.35">
      <c r="A72" s="5" t="s">
        <v>238</v>
      </c>
      <c r="B72" s="7" t="s">
        <v>150</v>
      </c>
      <c r="C72" s="62">
        <v>1.029444016470588</v>
      </c>
      <c r="D72" s="62">
        <v>4.4259624999999998</v>
      </c>
      <c r="E72" s="62">
        <v>0.54841799999999996</v>
      </c>
      <c r="F72" s="6" t="s">
        <v>165</v>
      </c>
      <c r="G72" s="59"/>
      <c r="H72" s="59"/>
      <c r="I72" s="59"/>
      <c r="J72" s="59"/>
      <c r="K72" s="59"/>
    </row>
    <row r="73" spans="1:11" x14ac:dyDescent="0.35">
      <c r="A73" s="21" t="s">
        <v>214</v>
      </c>
      <c r="B73" s="22" t="s">
        <v>148</v>
      </c>
      <c r="C73" s="61">
        <v>1.009237641176471</v>
      </c>
      <c r="D73" s="61">
        <v>0.18001449999999991</v>
      </c>
      <c r="E73" s="61">
        <v>-2.7064299999999999E-2</v>
      </c>
      <c r="F73" s="8" t="s">
        <v>167</v>
      </c>
      <c r="G73" s="59"/>
      <c r="H73" s="59"/>
      <c r="I73" s="59"/>
      <c r="J73" s="59"/>
      <c r="K73" s="59"/>
    </row>
    <row r="74" spans="1:11" x14ac:dyDescent="0.35">
      <c r="A74" s="5" t="s">
        <v>227</v>
      </c>
      <c r="B74" s="7" t="s">
        <v>142</v>
      </c>
      <c r="C74" s="62">
        <v>0.99886762446218835</v>
      </c>
      <c r="D74" s="62">
        <v>-1.5151454130999999</v>
      </c>
      <c r="E74" s="62">
        <v>1.5711436100000063E-2</v>
      </c>
      <c r="F74" s="6" t="s">
        <v>17</v>
      </c>
      <c r="G74" s="59"/>
      <c r="H74" s="59"/>
      <c r="I74" s="59"/>
      <c r="J74" s="59"/>
      <c r="K74" s="59"/>
    </row>
    <row r="75" spans="1:11" x14ac:dyDescent="0.35">
      <c r="A75" s="21" t="s">
        <v>223</v>
      </c>
      <c r="B75" s="22" t="s">
        <v>95</v>
      </c>
      <c r="C75" s="61">
        <v>0.97543247669352939</v>
      </c>
      <c r="D75" s="61">
        <v>-4.7511332471099985</v>
      </c>
      <c r="E75" s="61">
        <v>-0.60150107583000012</v>
      </c>
      <c r="F75" s="8" t="s">
        <v>14</v>
      </c>
      <c r="G75" s="59"/>
      <c r="H75" s="59"/>
      <c r="I75" s="59"/>
      <c r="J75" s="59"/>
      <c r="K75" s="59"/>
    </row>
    <row r="76" spans="1:11" x14ac:dyDescent="0.35">
      <c r="A76" s="5" t="s">
        <v>221</v>
      </c>
      <c r="B76" s="7" t="s">
        <v>136</v>
      </c>
      <c r="C76" s="62">
        <v>0.94942005411764696</v>
      </c>
      <c r="D76" s="62">
        <v>-3.809161</v>
      </c>
      <c r="E76" s="62">
        <v>-0.24790400000000001</v>
      </c>
      <c r="F76" s="6" t="s">
        <v>16</v>
      </c>
      <c r="G76" s="59"/>
      <c r="H76" s="59"/>
      <c r="I76" s="59"/>
      <c r="J76" s="59"/>
      <c r="K76" s="59"/>
    </row>
    <row r="77" spans="1:11" x14ac:dyDescent="0.35">
      <c r="A77" s="21" t="s">
        <v>225</v>
      </c>
      <c r="B77" s="22" t="s">
        <v>138</v>
      </c>
      <c r="C77" s="61">
        <v>0.86844264705882346</v>
      </c>
      <c r="D77" s="61">
        <v>-5.8241895000000001</v>
      </c>
      <c r="E77" s="61">
        <v>-0.50851299999999999</v>
      </c>
      <c r="F77" s="8" t="s">
        <v>17</v>
      </c>
      <c r="G77" s="59"/>
      <c r="H77" s="59"/>
      <c r="I77" s="59"/>
      <c r="J77" s="59"/>
      <c r="K77" s="59"/>
    </row>
    <row r="78" spans="1:11" x14ac:dyDescent="0.35">
      <c r="A78" s="5" t="s">
        <v>244</v>
      </c>
      <c r="B78" s="7" t="s">
        <v>157</v>
      </c>
      <c r="C78" s="62">
        <v>0.86684377529411771</v>
      </c>
      <c r="D78" s="62">
        <v>1.0396768000000001</v>
      </c>
      <c r="E78" s="62">
        <v>-0.67971080000000006</v>
      </c>
      <c r="F78" s="6" t="s">
        <v>14</v>
      </c>
      <c r="G78" s="59"/>
      <c r="H78" s="59"/>
      <c r="I78" s="59"/>
      <c r="J78" s="59"/>
      <c r="K78" s="59"/>
    </row>
    <row r="79" spans="1:11" x14ac:dyDescent="0.35">
      <c r="A79" s="21" t="s">
        <v>242</v>
      </c>
      <c r="B79" s="22" t="s">
        <v>162</v>
      </c>
      <c r="C79" s="61">
        <v>0.8106136611764706</v>
      </c>
      <c r="D79" s="61">
        <v>4.9932558000000009</v>
      </c>
      <c r="E79" s="61">
        <v>0.81396410000000008</v>
      </c>
      <c r="F79" s="8" t="s">
        <v>14</v>
      </c>
      <c r="G79" s="59"/>
      <c r="H79" s="59"/>
      <c r="I79" s="59"/>
      <c r="J79" s="59"/>
      <c r="K79" s="59"/>
    </row>
    <row r="80" spans="1:11" x14ac:dyDescent="0.35">
      <c r="A80" s="5" t="s">
        <v>243</v>
      </c>
      <c r="B80" s="7" t="s">
        <v>152</v>
      </c>
      <c r="C80" s="62">
        <v>0.80200749794117654</v>
      </c>
      <c r="D80" s="62">
        <v>-9.4614464999999992</v>
      </c>
      <c r="E80" s="62">
        <v>-0.37219350000000001</v>
      </c>
      <c r="F80" s="6" t="s">
        <v>165</v>
      </c>
      <c r="G80" s="59"/>
      <c r="H80" s="59"/>
      <c r="I80" s="59"/>
      <c r="J80" s="59"/>
      <c r="K80" s="59"/>
    </row>
    <row r="81" spans="1:11" x14ac:dyDescent="0.35">
      <c r="A81" s="21" t="s">
        <v>237</v>
      </c>
      <c r="B81" s="22" t="s">
        <v>88</v>
      </c>
      <c r="C81" s="61">
        <v>0.72872945294117653</v>
      </c>
      <c r="D81" s="61">
        <v>-1.8772565000000001</v>
      </c>
      <c r="E81" s="61">
        <v>4.2969500000000001E-2</v>
      </c>
      <c r="F81" s="8" t="s">
        <v>11</v>
      </c>
      <c r="G81" s="59"/>
      <c r="H81" s="59"/>
      <c r="I81" s="59"/>
      <c r="J81" s="59"/>
      <c r="K81" s="59"/>
    </row>
    <row r="82" spans="1:11" x14ac:dyDescent="0.35">
      <c r="A82" s="5" t="s">
        <v>235</v>
      </c>
      <c r="B82" s="7" t="s">
        <v>139</v>
      </c>
      <c r="C82" s="62">
        <v>0.7130421011764706</v>
      </c>
      <c r="D82" s="62">
        <v>-4.5077939999999996</v>
      </c>
      <c r="E82" s="62">
        <v>-0.13162099999999999</v>
      </c>
      <c r="F82" s="6" t="s">
        <v>17</v>
      </c>
      <c r="G82" s="59"/>
      <c r="H82" s="59"/>
      <c r="I82" s="59"/>
      <c r="J82" s="59"/>
      <c r="K82" s="59"/>
    </row>
    <row r="83" spans="1:11" x14ac:dyDescent="0.35">
      <c r="A83" s="21" t="s">
        <v>240</v>
      </c>
      <c r="B83" s="22" t="s">
        <v>125</v>
      </c>
      <c r="C83" s="61">
        <v>0.6775744023529412</v>
      </c>
      <c r="D83" s="61">
        <v>-0.75465099999999996</v>
      </c>
      <c r="E83" s="61">
        <v>-8.9912400000000003E-2</v>
      </c>
      <c r="F83" s="8" t="s">
        <v>166</v>
      </c>
      <c r="G83" s="59"/>
      <c r="H83" s="59"/>
      <c r="I83" s="59"/>
      <c r="J83" s="59"/>
      <c r="K83" s="59"/>
    </row>
    <row r="84" spans="1:11" x14ac:dyDescent="0.35">
      <c r="A84" s="5" t="s">
        <v>236</v>
      </c>
      <c r="B84" s="7" t="s">
        <v>129</v>
      </c>
      <c r="C84" s="62">
        <v>0.67619563999999999</v>
      </c>
      <c r="D84" s="62">
        <v>0.63966350000000005</v>
      </c>
      <c r="E84" s="62">
        <v>-4.5505499999999997E-2</v>
      </c>
      <c r="F84" s="6" t="s">
        <v>17</v>
      </c>
      <c r="G84" s="59"/>
      <c r="H84" s="59"/>
      <c r="I84" s="59"/>
      <c r="J84" s="59"/>
      <c r="K84" s="59"/>
    </row>
    <row r="85" spans="1:11" x14ac:dyDescent="0.35">
      <c r="A85" s="21" t="s">
        <v>249</v>
      </c>
      <c r="B85" s="22" t="s">
        <v>141</v>
      </c>
      <c r="C85" s="61">
        <v>0.67117681411764718</v>
      </c>
      <c r="D85" s="61">
        <v>-5.1427955000000001</v>
      </c>
      <c r="E85" s="61">
        <v>-0.40731650000000003</v>
      </c>
      <c r="F85" s="8" t="s">
        <v>11</v>
      </c>
      <c r="G85" s="59"/>
      <c r="H85" s="59"/>
      <c r="I85" s="59"/>
      <c r="J85" s="59"/>
      <c r="K85" s="59"/>
    </row>
    <row r="86" spans="1:11" x14ac:dyDescent="0.35">
      <c r="A86" s="5" t="s">
        <v>246</v>
      </c>
      <c r="B86" s="7" t="s">
        <v>160</v>
      </c>
      <c r="C86" s="62">
        <v>0.60084906470588229</v>
      </c>
      <c r="D86" s="62">
        <v>-6.3154450000000004</v>
      </c>
      <c r="E86" s="62">
        <v>-1.009671</v>
      </c>
      <c r="F86" s="6" t="s">
        <v>167</v>
      </c>
      <c r="G86" s="59"/>
      <c r="H86" s="59"/>
      <c r="I86" s="59"/>
      <c r="J86" s="59"/>
      <c r="K86" s="59"/>
    </row>
    <row r="87" spans="1:11" x14ac:dyDescent="0.35">
      <c r="A87" s="21" t="s">
        <v>241</v>
      </c>
      <c r="B87" s="22" t="s">
        <v>158</v>
      </c>
      <c r="C87" s="61">
        <v>0.5915695447058823</v>
      </c>
      <c r="D87" s="61">
        <v>-1.7676875000000001</v>
      </c>
      <c r="E87" s="61">
        <v>-0.1678365</v>
      </c>
      <c r="F87" s="8" t="s">
        <v>14</v>
      </c>
      <c r="G87" s="59"/>
      <c r="H87" s="59"/>
      <c r="I87" s="59"/>
      <c r="J87" s="59"/>
      <c r="K87" s="59"/>
    </row>
    <row r="88" spans="1:11" x14ac:dyDescent="0.35">
      <c r="A88" s="5" t="s">
        <v>233</v>
      </c>
      <c r="B88" s="7" t="s">
        <v>149</v>
      </c>
      <c r="C88" s="62">
        <v>0.58742996941176462</v>
      </c>
      <c r="D88" s="62">
        <v>-0.82581349999999998</v>
      </c>
      <c r="E88" s="62">
        <v>-9.3740000000000004E-2</v>
      </c>
      <c r="F88" s="6" t="s">
        <v>17</v>
      </c>
      <c r="G88" s="59"/>
      <c r="H88" s="59"/>
      <c r="I88" s="59"/>
      <c r="J88" s="59"/>
      <c r="K88" s="59"/>
    </row>
    <row r="89" spans="1:11" x14ac:dyDescent="0.35">
      <c r="A89" s="21" t="s">
        <v>232</v>
      </c>
      <c r="B89" s="22" t="s">
        <v>127</v>
      </c>
      <c r="C89" s="61">
        <v>0.56103111732776478</v>
      </c>
      <c r="D89" s="61">
        <v>0.55607024098000024</v>
      </c>
      <c r="E89" s="61">
        <v>-4.0878155650000025E-2</v>
      </c>
      <c r="F89" s="8" t="s">
        <v>17</v>
      </c>
      <c r="G89" s="59"/>
      <c r="H89" s="59"/>
      <c r="I89" s="59"/>
      <c r="J89" s="59"/>
      <c r="K89" s="59"/>
    </row>
    <row r="90" spans="1:11" x14ac:dyDescent="0.35">
      <c r="A90" s="5" t="s">
        <v>230</v>
      </c>
      <c r="B90" s="7" t="s">
        <v>128</v>
      </c>
      <c r="C90" s="62">
        <v>0.50657319411764712</v>
      </c>
      <c r="D90" s="62">
        <v>0.36198049999999998</v>
      </c>
      <c r="E90" s="62">
        <v>7.6996999999999996E-2</v>
      </c>
      <c r="F90" s="6" t="s">
        <v>167</v>
      </c>
      <c r="G90" s="59"/>
      <c r="H90" s="59"/>
      <c r="I90" s="59"/>
      <c r="J90" s="59"/>
      <c r="K90" s="59"/>
    </row>
    <row r="91" spans="1:11" x14ac:dyDescent="0.35">
      <c r="A91" s="21" t="s">
        <v>247</v>
      </c>
      <c r="B91" s="22" t="s">
        <v>163</v>
      </c>
      <c r="C91" s="61">
        <v>0.50615297058823527</v>
      </c>
      <c r="D91" s="61">
        <v>-5.6698579999999996</v>
      </c>
      <c r="E91" s="61">
        <v>3.3027000000000001E-2</v>
      </c>
      <c r="F91" s="8" t="s">
        <v>10</v>
      </c>
      <c r="G91" s="59"/>
      <c r="H91" s="59"/>
      <c r="I91" s="59"/>
      <c r="J91" s="59"/>
      <c r="K91" s="59"/>
    </row>
    <row r="92" spans="1:11" x14ac:dyDescent="0.35">
      <c r="A92" s="5" t="s">
        <v>256</v>
      </c>
      <c r="B92" s="7" t="s">
        <v>257</v>
      </c>
      <c r="C92" s="62">
        <v>0.45739111258823528</v>
      </c>
      <c r="D92" s="62">
        <v>-10.250465999999999</v>
      </c>
      <c r="E92" s="62">
        <v>-0.478468</v>
      </c>
      <c r="F92" s="6" t="s">
        <v>15</v>
      </c>
      <c r="G92" s="59"/>
      <c r="H92" s="59"/>
      <c r="I92" s="59"/>
      <c r="J92" s="59"/>
      <c r="K92" s="59"/>
    </row>
    <row r="93" spans="1:11" x14ac:dyDescent="0.35">
      <c r="A93" s="21" t="s">
        <v>251</v>
      </c>
      <c r="B93" s="22" t="s">
        <v>161</v>
      </c>
      <c r="C93" s="61">
        <v>0.44551601647058819</v>
      </c>
      <c r="D93" s="61">
        <v>-0.52026799999999984</v>
      </c>
      <c r="E93" s="61">
        <v>0.76680400000000004</v>
      </c>
      <c r="F93" s="8" t="s">
        <v>14</v>
      </c>
      <c r="G93" s="59"/>
      <c r="H93" s="59"/>
      <c r="I93" s="59"/>
      <c r="J93" s="59"/>
      <c r="K93" s="59"/>
    </row>
    <row r="94" spans="1:11" x14ac:dyDescent="0.35">
      <c r="A94" s="5" t="s">
        <v>263</v>
      </c>
      <c r="B94" s="7" t="s">
        <v>264</v>
      </c>
      <c r="C94" s="62">
        <v>0.4269189235294118</v>
      </c>
      <c r="D94" s="62">
        <v>3.1506066000000001</v>
      </c>
      <c r="E94" s="62">
        <v>0.1162456</v>
      </c>
      <c r="F94" s="6" t="s">
        <v>166</v>
      </c>
      <c r="G94" s="59"/>
      <c r="H94" s="59"/>
      <c r="I94" s="59"/>
      <c r="J94" s="59"/>
      <c r="K94" s="59"/>
    </row>
    <row r="95" spans="1:11" x14ac:dyDescent="0.35">
      <c r="A95" s="21" t="s">
        <v>250</v>
      </c>
      <c r="B95" s="22" t="s">
        <v>156</v>
      </c>
      <c r="C95" s="61">
        <v>0.4160367491058824</v>
      </c>
      <c r="D95" s="61">
        <v>-5.3790751999999999</v>
      </c>
      <c r="E95" s="61">
        <v>0.30649390000000004</v>
      </c>
      <c r="F95" s="8" t="s">
        <v>16</v>
      </c>
      <c r="G95" s="59"/>
      <c r="H95" s="59"/>
      <c r="I95" s="59"/>
      <c r="J95" s="59"/>
      <c r="K95" s="59"/>
    </row>
    <row r="96" spans="1:11" x14ac:dyDescent="0.35">
      <c r="A96" s="5" t="s">
        <v>254</v>
      </c>
      <c r="B96" s="7" t="s">
        <v>255</v>
      </c>
      <c r="C96" s="62">
        <v>0.40691888235294121</v>
      </c>
      <c r="D96" s="62">
        <v>0.67061400000000004</v>
      </c>
      <c r="E96" s="62">
        <v>0.33591500000000002</v>
      </c>
      <c r="F96" s="6" t="s">
        <v>16</v>
      </c>
      <c r="G96" s="59"/>
      <c r="H96" s="59"/>
      <c r="I96" s="59"/>
      <c r="J96" s="59"/>
      <c r="K96" s="59"/>
    </row>
    <row r="97" spans="1:11" x14ac:dyDescent="0.35">
      <c r="A97" s="21" t="s">
        <v>239</v>
      </c>
      <c r="B97" s="22" t="s">
        <v>159</v>
      </c>
      <c r="C97" s="61">
        <v>0.40328702953882356</v>
      </c>
      <c r="D97" s="61">
        <v>4.4690430333000002</v>
      </c>
      <c r="E97" s="61">
        <v>8.6864219300000073E-2</v>
      </c>
      <c r="F97" s="8" t="s">
        <v>167</v>
      </c>
      <c r="G97" s="59"/>
      <c r="H97" s="59"/>
      <c r="I97" s="59"/>
      <c r="J97" s="59"/>
      <c r="K97" s="59"/>
    </row>
    <row r="98" spans="1:11" x14ac:dyDescent="0.35">
      <c r="A98" s="5" t="s">
        <v>265</v>
      </c>
      <c r="B98" s="7" t="s">
        <v>266</v>
      </c>
      <c r="C98" s="62">
        <v>0.40068738588235286</v>
      </c>
      <c r="D98" s="62">
        <v>4.5316099999999997</v>
      </c>
      <c r="E98" s="62">
        <v>0.52835949999999998</v>
      </c>
      <c r="F98" s="6" t="s">
        <v>11</v>
      </c>
      <c r="G98" s="59"/>
      <c r="H98" s="59"/>
      <c r="I98" s="59"/>
      <c r="J98" s="59"/>
      <c r="K98" s="59"/>
    </row>
    <row r="99" spans="1:11" x14ac:dyDescent="0.35">
      <c r="A99" s="21" t="s">
        <v>248</v>
      </c>
      <c r="B99" s="22" t="s">
        <v>135</v>
      </c>
      <c r="C99" s="61">
        <v>0.37570085294117639</v>
      </c>
      <c r="D99" s="61">
        <v>-1.6118844999999999</v>
      </c>
      <c r="E99" s="61">
        <v>-0.40896949999999999</v>
      </c>
      <c r="F99" s="8" t="s">
        <v>17</v>
      </c>
      <c r="G99" s="59"/>
      <c r="H99" s="59"/>
      <c r="I99" s="59"/>
      <c r="J99" s="59"/>
      <c r="K99" s="59"/>
    </row>
    <row r="100" spans="1:11" x14ac:dyDescent="0.35">
      <c r="A100" s="5" t="s">
        <v>258</v>
      </c>
      <c r="B100" s="7" t="s">
        <v>259</v>
      </c>
      <c r="C100" s="62">
        <v>0.36535922941176469</v>
      </c>
      <c r="D100" s="62">
        <v>-1.4464094999999999</v>
      </c>
      <c r="E100" s="62">
        <v>0.37475850000000011</v>
      </c>
      <c r="F100" s="6" t="s">
        <v>17</v>
      </c>
      <c r="G100" s="59"/>
      <c r="H100" s="59"/>
      <c r="I100" s="59"/>
      <c r="J100" s="59"/>
      <c r="K100" s="59"/>
    </row>
    <row r="101" spans="1:11" x14ac:dyDescent="0.35">
      <c r="A101" s="52" t="s">
        <v>267</v>
      </c>
      <c r="B101" s="53" t="s">
        <v>268</v>
      </c>
      <c r="C101" s="63">
        <v>0.352273</v>
      </c>
      <c r="D101" s="63">
        <v>-6.2245210000000002</v>
      </c>
      <c r="E101" s="63">
        <v>-0.54606200000000005</v>
      </c>
      <c r="F101" s="9" t="s">
        <v>13</v>
      </c>
      <c r="G101" s="59"/>
      <c r="H101" s="59"/>
      <c r="I101" s="59"/>
      <c r="J101" s="59"/>
      <c r="K101" s="59"/>
    </row>
    <row r="102" spans="1:11" x14ac:dyDescent="0.35">
      <c r="A102" s="49"/>
      <c r="B102" s="10"/>
      <c r="C102" s="10"/>
      <c r="D102" s="10"/>
      <c r="E102" s="10"/>
      <c r="F102" s="50"/>
      <c r="H102" s="42"/>
      <c r="J102" s="43"/>
    </row>
    <row r="104" spans="1:11" x14ac:dyDescent="0.35">
      <c r="A104" s="11" t="s">
        <v>67</v>
      </c>
    </row>
    <row r="105" spans="1:11" x14ac:dyDescent="0.35">
      <c r="A105" s="11" t="s">
        <v>82</v>
      </c>
    </row>
    <row r="106" spans="1:11" x14ac:dyDescent="0.35">
      <c r="A106" s="11" t="s">
        <v>145</v>
      </c>
    </row>
    <row r="107" spans="1:11" x14ac:dyDescent="0.35">
      <c r="A107" s="11" t="s">
        <v>144</v>
      </c>
    </row>
    <row r="108" spans="1:11" x14ac:dyDescent="0.35">
      <c r="A108" s="11" t="s">
        <v>151</v>
      </c>
    </row>
    <row r="109" spans="1:11" x14ac:dyDescent="0.35">
      <c r="A109" s="11" t="s">
        <v>75</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36 B73 B80"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Emelia Tan Wan Yi</cp:lastModifiedBy>
  <cp:lastPrinted>2021-05-10T01:23:04Z</cp:lastPrinted>
  <dcterms:created xsi:type="dcterms:W3CDTF">2020-01-13T01:31:10Z</dcterms:created>
  <dcterms:modified xsi:type="dcterms:W3CDTF">2024-05-06T04:05:27Z</dcterms:modified>
</cp:coreProperties>
</file>