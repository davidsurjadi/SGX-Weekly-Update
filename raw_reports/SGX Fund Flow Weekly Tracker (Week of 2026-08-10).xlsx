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A2AE5C5C-5411-4478-9AE3-71CF8423A273}" xr6:coauthVersionLast="47" xr6:coauthVersionMax="47" xr10:uidLastSave="{00000000-0000-0000-0000-000000000000}"/>
  <bookViews>
    <workbookView xWindow="-14805" yWindow="-16440"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<sst xmlns="http://schemas.openxmlformats.org/spreadsheetml/2006/main" count="139" uniqueCount="87">
  <si>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</si>
  <si>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</si>
  <si>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</si>
  <si>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</si>
  <si>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</si>
  <si>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</si>
  <si>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</si>
  <si>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</si>
  <si>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</si>
  <si>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</si>
  <si>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</si>
  <si>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</si>
  <si>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</si>
  <si>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</si>
  <si>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</si>
  <si>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</si>
  <si>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</si>
  <si>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</si>
  <si>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</si>
  <si>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</si>
  <si>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</si>
  <si>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</si>
  <si>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DBS</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</si>
  <si>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</si>
  <si>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</si>
  <si>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</si>
  <si>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</si>
  <si>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</si>
  <si>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</si>
  <si>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</si>
  <si>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</si>
  <si>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</si>
  <si>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</si>
  <si>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</si>
  <si>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OCBC</t>
  </si>
  <si>
    <t>O39</t>
  </si>
  <si>
    <t>Singtel</t>
  </si>
  <si>
    <t>Z74</t>
  </si>
  <si>
    <t>UOB</t>
  </si>
  <si>
    <t>U11</t>
  </si>
  <si>
    <t>ST Engineering</t>
  </si>
  <si>
    <t>S63</t>
  </si>
  <si>
    <t>SIA</t>
  </si>
  <si>
    <t>C6L</t>
  </si>
  <si>
    <t>Yangzijiang Shipbuilding</t>
  </si>
  <si>
    <t>BS6</t>
  </si>
  <si>
    <t>CapitaLand Ascendas REIT</t>
  </si>
  <si>
    <t>A17U</t>
  </si>
  <si>
    <t>UMS</t>
  </si>
  <si>
    <t>558</t>
  </si>
  <si>
    <t>Seatrium</t>
  </si>
  <si>
    <t>5E2</t>
  </si>
  <si>
    <t xml:space="preserve">AEM </t>
  </si>
  <si>
    <t>AWX</t>
  </si>
  <si>
    <t>Venture Corporation</t>
  </si>
  <si>
    <t>V03</t>
  </si>
  <si>
    <t>UOL</t>
  </si>
  <si>
    <t>U14</t>
  </si>
  <si>
    <t>Jardine Matheson</t>
  </si>
  <si>
    <t>J36</t>
  </si>
  <si>
    <t>Sheng Siong</t>
  </si>
  <si>
    <t>OV8</t>
  </si>
  <si>
    <t>Hongkong Land</t>
  </si>
  <si>
    <t>H78</t>
  </si>
  <si>
    <t>SGX</t>
  </si>
  <si>
    <t>S68</t>
  </si>
  <si>
    <t>Genting Singapore</t>
  </si>
  <si>
    <t>G13</t>
  </si>
  <si>
    <t>Sembcorp Industries</t>
  </si>
  <si>
    <t>U96</t>
  </si>
  <si>
    <t>City Developments</t>
  </si>
  <si>
    <t>C09</t>
  </si>
  <si>
    <t>Thai Beverage</t>
  </si>
  <si>
    <t>Y92</t>
  </si>
  <si>
    <t>CapitaLand Integrated Commercial Trust</t>
  </si>
  <si>
    <t>C38U</t>
  </si>
  <si>
    <t>IX Biopharma</t>
  </si>
  <si>
    <t>42C</t>
  </si>
  <si>
    <t>Nanofilm</t>
  </si>
  <si>
    <t>MZH</t>
  </si>
  <si>
    <t>Olam Group</t>
  </si>
  <si>
    <t>VC2</t>
  </si>
  <si>
    <t>UOB Kay Hian</t>
  </si>
  <si>
    <t>U10</t>
  </si>
  <si>
    <t>Week of 10 August 2026</t>
  </si>
  <si>
    <r>
      <t xml:space="preserve">Institutional investors net </t>
    </r>
    <r>
      <rPr>
        <b/>
        <sz val="11"/>
        <rFont val="Arial"/>
        <family val="2"/>
      </rPr>
      <t>sell</t>
    </r>
    <r>
      <rPr>
        <sz val="11"/>
        <rFont val="Arial"/>
        <family val="2"/>
      </rPr>
      <t xml:space="preserve"> (-S$307.3m) vs. (-S$167.7m) a week ago</t>
    </r>
  </si>
  <si>
    <r>
      <t xml:space="preserve">Retail investors net </t>
    </r>
    <r>
      <rPr>
        <b/>
        <sz val="11"/>
        <rFont val="Arial"/>
        <family val="2"/>
      </rPr>
      <t>buy</t>
    </r>
    <r>
      <rPr>
        <sz val="11"/>
        <rFont val="Arial"/>
        <family val="2"/>
      </rPr>
      <t xml:space="preserve"> (+S$295.3m) vs. (+S$153.9m)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</si>
</sst>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0.00_);_(* \(#,##0.00\);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dd\ mmmm\ yyyy"/>
    <numFmt numFmtId="173" formatCode="0.00000"/>
    <numFmt numFmtId="174" formatCode="_(* #,##0.0000_);_(* \(#,##0.0000\);_(* &quot;-&quot;?_);_(@_)"/>
    <numFmt numFmtId="175" formatCode="#,##0.00000_);[Red]\(#,##0.00000\)"/>
    <numFmt numFmtId="176"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4">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164" fontId="1" fillId="0" borderId="0" applyFont="0" applyFill="0" applyBorder="0" applyAlignment="0" applyProtection="0"/>
  </cellStyleXfs>
  <cellXfs count="79">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6"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0" fontId="3" fillId="4" borderId="8" xfId="0" applyFont="1" applyFill="1" applyBorder="1" applyAlignment="1">
      <alignment horizontal="left"/>
    </xf>
    <xf numFmtId="165"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9" fontId="0" fillId="0" borderId="0" xfId="1" applyNumberFormat="1" applyFont="1"/>
    <xf numFmtId="49" fontId="6"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6" fillId="6" borderId="10" xfId="0" applyNumberFormat="1" applyFont="1" applyFill="1" applyBorder="1" applyAlignment="1">
      <alignment horizontal="center"/>
    </xf>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166"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7" fontId="6" fillId="4" borderId="10" xfId="0" applyNumberFormat="1" applyFont="1" applyFill="1" applyBorder="1" applyAlignment="1">
      <alignment horizontal="center"/>
    </xf>
    <xf numFmtId="0" fontId="12" fillId="0" borderId="0" xfId="0" applyFont="1"/>
    <xf numFmtId="171" fontId="0" fillId="0" borderId="0" xfId="0" applyNumberFormat="1"/>
    <xf numFmtId="167" fontId="6" fillId="0" borderId="0" xfId="0" applyNumberFormat="1" applyFont="1" applyAlignment="1">
      <alignment horizontal="center"/>
    </xf>
    <xf numFmtId="0" fontId="13"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65"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2" fontId="3" fillId="0" borderId="0" xfId="0" applyNumberFormat="1" applyFont="1"/>
    <xf numFmtId="165" fontId="3" fillId="4" borderId="0" xfId="0" applyNumberFormat="1" applyFont="1" applyFill="1" applyAlignment="1">
      <alignment horizontal="center"/>
    </xf>
    <xf numFmtId="171" fontId="0" fillId="0" borderId="0" xfId="0" applyNumberFormat="1" applyAlignment="1">
      <alignment horizontal="left"/>
    </xf>
    <xf numFmtId="173" fontId="3" fillId="0" borderId="0" xfId="0" applyNumberFormat="1" applyFont="1"/>
    <xf numFmtId="174" fontId="0" fillId="0" borderId="0" xfId="0" applyNumberFormat="1"/>
    <xf numFmtId="175" fontId="3" fillId="0" borderId="0" xfId="0" applyNumberFormat="1" applyFont="1"/>
    <xf numFmtId="176" fontId="3" fillId="0" borderId="0" xfId="0" applyNumberFormat="1" applyFont="1"/>
    <xf numFmtId="15" fontId="3" fillId="4" borderId="0" xfId="0" applyNumberFormat="1" applyFont="1" applyFill="1" applyAlignment="1">
      <alignment horizontal="left"/>
    </xf>
    <xf numFmtId="0" fontId="3" fillId="0" borderId="13" xfId="0" applyFont="1" applyBorder="1" applyAlignment="1">
      <alignment horizontal="left"/>
    </xf>
    <xf numFmtId="0" fontId="3" fillId="5" borderId="0" xfId="0" applyFont="1" applyFill="1" applyAlignment="1">
      <alignment horizontal="left"/>
    </xf>
    <xf numFmtId="165" fontId="3" fillId="5" borderId="4" xfId="0" applyNumberFormat="1" applyFont="1" applyFill="1" applyBorder="1" applyAlignment="1">
      <alignment horizontal="right"/>
    </xf>
    <xf numFmtId="0" fontId="12" fillId="7" borderId="4" xfId="0" applyFont="1" applyFill="1" applyBorder="1" applyAlignment="1">
      <alignment vertical="center"/>
    </xf>
    <xf numFmtId="0" fontId="3" fillId="7" borderId="0" xfId="0" applyFont="1" applyFill="1" applyAlignment="1">
      <alignment horizontal="left"/>
    </xf>
    <xf numFmtId="165" fontId="3" fillId="7" borderId="4" xfId="0" applyNumberFormat="1" applyFont="1" applyFill="1" applyBorder="1" applyAlignment="1">
      <alignment horizontal="righ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115" zoomScaleNormal="115"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37.81640625" style="2" bestFit="1" customWidth="1"/>
    <col min="8" max="8" width="30" style="2" bestFit="1" customWidth="1"/>
    <col min="9" max="9" width="12.1796875" style="34" bestFit="1" customWidth="1"/>
    <col min="10" max="10" width="37.81640625" style="2" bestFit="1" customWidth="1"/>
    <col min="11" max="11" width="30" style="2" bestFit="1" customWidth="1"/>
    <col min="12" max="12" width="10.54296875" style="2" bestFit="1" customWidth="1"/>
    <col min="13" max="16384" width="9.453125" style="2"/>
  </cols>
  <sheetData>
    <row r="1" spans="1:13" x14ac:dyDescent="0.3">
      <c r="A1" s="1" t="s">
        <v>84</v>
      </c>
      <c r="C1" s="59"/>
    </row>
    <row r="2" spans="1:13" x14ac:dyDescent="0.3">
      <c r="A2" s="52" t="s">
        <v>85</v>
      </c>
      <c r="I2" s="40"/>
    </row>
    <row r="3" spans="1:13" x14ac:dyDescent="0.3">
      <c r="A3" s="52" t="s">
        <v>86</v>
      </c>
      <c r="I3" s="40"/>
    </row>
    <row r="5" spans="1:13" ht="29.25" customHeight="1" x14ac:dyDescent="0.3">
      <c r="A5" s="3" t="s">
        <v>0</v>
      </c>
      <c r="B5" s="3" t="s">
        <v>1</v>
      </c>
      <c r="C5" s="4" t="s">
        <v>84</v>
      </c>
      <c r="D5" s="43" t="s">
        <v>2</v>
      </c>
      <c r="E5" s="43" t="s">
        <v>1</v>
      </c>
      <c r="F5" s="44" t="str">
        <f>+C5</f>
        <v>Week of 10 August 2026</v>
      </c>
      <c r="I5" s="2"/>
    </row>
    <row r="6" spans="1:13" ht="14.5" x14ac:dyDescent="0.35">
      <c r="A6" s="28" t="s">
        <v>52</v>
      </c>
      <c r="B6" s="46" t="s">
        <v>53</v>
      </c>
      <c r="C6" s="5">
        <v>62.978363000000002</v>
      </c>
      <c r="D6" s="28" t="s">
        <v>38</v>
      </c>
      <c r="E6" s="46" t="s">
        <v>39</v>
      </c>
      <c r="F6" s="5">
        <v>-215.46553499999999</v>
      </c>
      <c r="G6" s="61"/>
      <c r="H6"/>
      <c r="I6" s="2"/>
      <c r="M6"/>
    </row>
    <row r="7" spans="1:13" ht="14.5" x14ac:dyDescent="0.35">
      <c r="A7" s="29" t="s">
        <v>62</v>
      </c>
      <c r="B7" s="9" t="s">
        <v>63</v>
      </c>
      <c r="C7" s="7">
        <v>39.894298760385013</v>
      </c>
      <c r="D7" s="29" t="s">
        <v>36</v>
      </c>
      <c r="E7" s="9" t="s">
        <v>37</v>
      </c>
      <c r="F7" s="7">
        <v>-75.689464299999997</v>
      </c>
      <c r="G7" s="61"/>
      <c r="H7"/>
      <c r="I7" s="2"/>
      <c r="L7"/>
      <c r="M7"/>
    </row>
    <row r="8" spans="1:13" ht="14.5" x14ac:dyDescent="0.35">
      <c r="A8" s="30" t="s">
        <v>44</v>
      </c>
      <c r="B8" s="46" t="s">
        <v>45</v>
      </c>
      <c r="C8" s="5">
        <v>29.693438</v>
      </c>
      <c r="D8" s="30" t="s">
        <v>22</v>
      </c>
      <c r="E8" s="46" t="s">
        <v>21</v>
      </c>
      <c r="F8" s="5">
        <v>-62.483725999999997</v>
      </c>
      <c r="G8" s="61"/>
      <c r="H8"/>
      <c r="I8" s="2"/>
      <c r="L8"/>
      <c r="M8"/>
    </row>
    <row r="9" spans="1:13" ht="14.5" x14ac:dyDescent="0.35">
      <c r="A9" s="29" t="s">
        <v>48</v>
      </c>
      <c r="B9" s="9" t="s">
        <v>49</v>
      </c>
      <c r="C9" s="7">
        <v>22.007027000000001</v>
      </c>
      <c r="D9" s="29" t="s">
        <v>42</v>
      </c>
      <c r="E9" s="9" t="s">
        <v>43</v>
      </c>
      <c r="F9" s="7">
        <v>-49.293022000000001</v>
      </c>
      <c r="G9" s="61"/>
      <c r="H9"/>
      <c r="I9" s="2"/>
      <c r="L9"/>
      <c r="M9"/>
    </row>
    <row r="10" spans="1:13" ht="14.5" x14ac:dyDescent="0.35">
      <c r="A10" s="30" t="s">
        <v>64</v>
      </c>
      <c r="B10" s="46" t="s">
        <v>65</v>
      </c>
      <c r="C10" s="5">
        <v>21.342139</v>
      </c>
      <c r="D10" s="30" t="s">
        <v>58</v>
      </c>
      <c r="E10" s="46" t="s">
        <v>59</v>
      </c>
      <c r="F10" s="5">
        <v>-40.263324683400008</v>
      </c>
      <c r="G10" s="61"/>
      <c r="H10"/>
      <c r="I10" s="2"/>
      <c r="L10"/>
      <c r="M10"/>
    </row>
    <row r="11" spans="1:13" ht="14.5" x14ac:dyDescent="0.35">
      <c r="A11" s="29" t="s">
        <v>40</v>
      </c>
      <c r="B11" s="9" t="s">
        <v>41</v>
      </c>
      <c r="C11" s="7">
        <v>19.591180999999999</v>
      </c>
      <c r="D11" s="29" t="s">
        <v>34</v>
      </c>
      <c r="E11" s="9" t="s">
        <v>35</v>
      </c>
      <c r="F11" s="7">
        <v>-21.280200000000001</v>
      </c>
      <c r="G11" s="61"/>
      <c r="H11"/>
      <c r="I11" s="2"/>
      <c r="L11"/>
      <c r="M11"/>
    </row>
    <row r="12" spans="1:13" ht="14.5" x14ac:dyDescent="0.35">
      <c r="A12" s="30" t="s">
        <v>66</v>
      </c>
      <c r="B12" s="46" t="s">
        <v>67</v>
      </c>
      <c r="C12" s="5">
        <v>17.267695</v>
      </c>
      <c r="D12" s="30" t="s">
        <v>46</v>
      </c>
      <c r="E12" s="46" t="s">
        <v>47</v>
      </c>
      <c r="F12" s="5">
        <v>-17.896208000000001</v>
      </c>
      <c r="G12" s="61"/>
      <c r="H12"/>
      <c r="I12" s="2"/>
      <c r="L12"/>
      <c r="M12"/>
    </row>
    <row r="13" spans="1:13" ht="14.5" x14ac:dyDescent="0.35">
      <c r="A13" s="29" t="s">
        <v>68</v>
      </c>
      <c r="B13" s="9" t="s">
        <v>69</v>
      </c>
      <c r="C13" s="7">
        <v>15.538961</v>
      </c>
      <c r="D13" s="29" t="s">
        <v>54</v>
      </c>
      <c r="E13" s="9" t="s">
        <v>55</v>
      </c>
      <c r="F13" s="7">
        <v>-12.891496999999999</v>
      </c>
      <c r="G13" s="61"/>
      <c r="H13"/>
      <c r="I13" s="2"/>
      <c r="L13"/>
      <c r="M13"/>
    </row>
    <row r="14" spans="1:13" ht="14.5" x14ac:dyDescent="0.35">
      <c r="A14" s="30" t="s">
        <v>70</v>
      </c>
      <c r="B14" s="46" t="s">
        <v>71</v>
      </c>
      <c r="C14" s="5">
        <v>9.4688239999999997</v>
      </c>
      <c r="D14" s="30" t="s">
        <v>74</v>
      </c>
      <c r="E14" s="46" t="s">
        <v>75</v>
      </c>
      <c r="F14" s="5">
        <v>-8.9773550000000011</v>
      </c>
      <c r="G14" s="61"/>
      <c r="H14"/>
      <c r="I14" s="2"/>
      <c r="L14"/>
      <c r="M14"/>
    </row>
    <row r="15" spans="1:13" ht="14.5" x14ac:dyDescent="0.35">
      <c r="A15" s="31" t="s">
        <v>72</v>
      </c>
      <c r="B15" s="27" t="s">
        <v>73</v>
      </c>
      <c r="C15" s="8">
        <v>7.4858380000000002</v>
      </c>
      <c r="D15" s="31" t="s">
        <v>60</v>
      </c>
      <c r="E15" s="27" t="s">
        <v>61</v>
      </c>
      <c r="F15" s="8">
        <v>-8.9607969999999995</v>
      </c>
      <c r="G15" s="61"/>
      <c r="H15"/>
      <c r="I15" s="2"/>
      <c r="L15"/>
      <c r="M15"/>
    </row>
    <row r="16" spans="1:13" ht="15.5" x14ac:dyDescent="0.35">
      <c r="A16" s="9"/>
      <c r="B16" s="9"/>
      <c r="C16" s="9"/>
      <c r="D16" s="26"/>
      <c r="E16" s="9"/>
      <c r="F16" s="9"/>
    </row>
    <row r="17" spans="1:9" x14ac:dyDescent="0.3">
      <c r="A17" s="9"/>
      <c r="B17" s="9"/>
      <c r="C17" s="9"/>
      <c r="D17" s="9"/>
      <c r="E17" s="9"/>
      <c r="F17" s="9"/>
    </row>
    <row r="18" spans="1:9" ht="28.5" customHeight="1" x14ac:dyDescent="0.3">
      <c r="A18" s="33" t="s">
        <v>3</v>
      </c>
      <c r="B18" s="3" t="s">
        <v>1</v>
      </c>
      <c r="C18" s="4" t="str">
        <f>C5</f>
        <v>Week of 10 August 2026</v>
      </c>
      <c r="D18" s="45" t="s">
        <v>4</v>
      </c>
      <c r="E18" s="43" t="s">
        <v>1</v>
      </c>
      <c r="F18" s="44" t="str">
        <f>+C18</f>
        <v>Week of 10 August 2026</v>
      </c>
    </row>
    <row r="19" spans="1:9" x14ac:dyDescent="0.3">
      <c r="A19" s="30" t="s">
        <v>38</v>
      </c>
      <c r="B19" s="46" t="s">
        <v>39</v>
      </c>
      <c r="C19" s="16">
        <v>274.74721</v>
      </c>
      <c r="D19" s="30" t="s">
        <v>44</v>
      </c>
      <c r="E19" s="15" t="s">
        <v>45</v>
      </c>
      <c r="F19" s="5">
        <v>-162.048768</v>
      </c>
      <c r="I19" s="2"/>
    </row>
    <row r="20" spans="1:9" ht="14.5" x14ac:dyDescent="0.35">
      <c r="A20" s="29" t="s">
        <v>22</v>
      </c>
      <c r="B20" s="9" t="s">
        <v>21</v>
      </c>
      <c r="C20" s="7">
        <v>266.655235</v>
      </c>
      <c r="D20" s="29" t="s">
        <v>52</v>
      </c>
      <c r="E20" s="17" t="s">
        <v>53</v>
      </c>
      <c r="F20" s="7">
        <v>-103.638665</v>
      </c>
      <c r="G20" s="61"/>
      <c r="I20" s="2"/>
    </row>
    <row r="21" spans="1:9" ht="14.5" x14ac:dyDescent="0.35">
      <c r="A21" s="30" t="s">
        <v>46</v>
      </c>
      <c r="B21" s="46" t="s">
        <v>47</v>
      </c>
      <c r="C21" s="5">
        <v>41.195951000000001</v>
      </c>
      <c r="D21" s="30" t="s">
        <v>40</v>
      </c>
      <c r="E21" s="6" t="s">
        <v>41</v>
      </c>
      <c r="F21" s="5">
        <v>-40.694370999999997</v>
      </c>
      <c r="G21" s="61"/>
      <c r="I21" s="2"/>
    </row>
    <row r="22" spans="1:9" ht="14.5" x14ac:dyDescent="0.35">
      <c r="A22" s="29" t="s">
        <v>42</v>
      </c>
      <c r="B22" s="9" t="s">
        <v>43</v>
      </c>
      <c r="C22" s="7">
        <v>36.937440000000002</v>
      </c>
      <c r="D22" s="29" t="s">
        <v>66</v>
      </c>
      <c r="E22" s="17" t="s">
        <v>67</v>
      </c>
      <c r="F22" s="7">
        <v>-34.966081500000001</v>
      </c>
      <c r="G22" s="61"/>
      <c r="I22" s="2"/>
    </row>
    <row r="23" spans="1:9" ht="14.5" x14ac:dyDescent="0.35">
      <c r="A23" s="30" t="s">
        <v>56</v>
      </c>
      <c r="B23" s="68" t="s">
        <v>57</v>
      </c>
      <c r="C23" s="69">
        <v>21.567644999999999</v>
      </c>
      <c r="D23" s="30" t="s">
        <v>48</v>
      </c>
      <c r="E23" s="6" t="s">
        <v>49</v>
      </c>
      <c r="F23" s="5">
        <v>-34.096938999999999</v>
      </c>
      <c r="G23" s="61"/>
      <c r="I23" s="2"/>
    </row>
    <row r="24" spans="1:9" ht="14.5" x14ac:dyDescent="0.35">
      <c r="A24" s="70" t="s">
        <v>50</v>
      </c>
      <c r="B24" s="71" t="s">
        <v>51</v>
      </c>
      <c r="C24" s="72">
        <v>15.75957</v>
      </c>
      <c r="D24" s="29" t="s">
        <v>36</v>
      </c>
      <c r="E24" s="17" t="s">
        <v>37</v>
      </c>
      <c r="F24" s="7">
        <v>-27.564417200000001</v>
      </c>
      <c r="G24" s="61"/>
      <c r="I24" s="2"/>
    </row>
    <row r="25" spans="1:9" ht="14.5" x14ac:dyDescent="0.35">
      <c r="A25" s="30" t="s">
        <v>76</v>
      </c>
      <c r="B25" s="68" t="s">
        <v>77</v>
      </c>
      <c r="C25" s="69">
        <v>11.2952665</v>
      </c>
      <c r="D25" s="30" t="s">
        <v>64</v>
      </c>
      <c r="E25" s="6" t="s">
        <v>65</v>
      </c>
      <c r="F25" s="5">
        <v>-25.918181000000001</v>
      </c>
      <c r="G25" s="61"/>
      <c r="I25" s="2"/>
    </row>
    <row r="26" spans="1:9" ht="14.5" x14ac:dyDescent="0.35">
      <c r="A26" s="70" t="s">
        <v>58</v>
      </c>
      <c r="B26" s="71" t="s">
        <v>59</v>
      </c>
      <c r="C26" s="72">
        <v>10.314711344999999</v>
      </c>
      <c r="D26" s="29" t="s">
        <v>68</v>
      </c>
      <c r="E26" s="17" t="s">
        <v>69</v>
      </c>
      <c r="F26" s="7">
        <v>-22.021756</v>
      </c>
      <c r="G26" s="61"/>
      <c r="I26" s="2"/>
    </row>
    <row r="27" spans="1:9" ht="14.5" x14ac:dyDescent="0.35">
      <c r="A27" s="30" t="s">
        <v>78</v>
      </c>
      <c r="B27" s="46" t="s">
        <v>79</v>
      </c>
      <c r="C27" s="5">
        <v>10.258057000000001</v>
      </c>
      <c r="D27" s="30" t="s">
        <v>34</v>
      </c>
      <c r="E27" s="46" t="s">
        <v>35</v>
      </c>
      <c r="F27" s="5">
        <v>-14.403226999999999</v>
      </c>
      <c r="G27" s="61"/>
      <c r="I27" s="2"/>
    </row>
    <row r="28" spans="1:9" ht="14.5" x14ac:dyDescent="0.35">
      <c r="A28" s="27" t="s">
        <v>80</v>
      </c>
      <c r="B28" s="56" t="s">
        <v>81</v>
      </c>
      <c r="C28" s="8">
        <v>9.834975</v>
      </c>
      <c r="D28" s="67" t="s">
        <v>82</v>
      </c>
      <c r="E28" s="56" t="s">
        <v>83</v>
      </c>
      <c r="F28" s="8">
        <v>-10.617870999999999</v>
      </c>
      <c r="G28" s="61"/>
      <c r="I28" s="2"/>
    </row>
    <row r="29" spans="1:9" x14ac:dyDescent="0.3">
      <c r="A29" s="9"/>
      <c r="B29" s="9"/>
      <c r="C29" s="9"/>
      <c r="D29" s="9"/>
      <c r="E29" s="9"/>
      <c r="F29" s="9"/>
    </row>
    <row r="30" spans="1:9" ht="14.5" x14ac:dyDescent="0.35">
      <c r="A30" s="10" t="s">
        <v>30</v>
      </c>
      <c r="B30" s="10"/>
      <c r="C30" s="9"/>
      <c r="D30" s="9"/>
      <c r="E30" s="9"/>
      <c r="F30" s="9"/>
    </row>
    <row r="31" spans="1:9" ht="14.5" x14ac:dyDescent="0.35">
      <c r="A31" s="10" t="s">
        <v>27</v>
      </c>
      <c r="B31" s="10"/>
      <c r="C31" s="9"/>
      <c r="D31" s="9"/>
      <c r="E31" s="9"/>
      <c r="F31" s="9"/>
    </row>
    <row r="32" spans="1:9" ht="14.5" x14ac:dyDescent="0.35">
      <c r="A32" s="10" t="s">
        <v>28</v>
      </c>
      <c r="B32" s="10"/>
      <c r="C32" s="9"/>
      <c r="D32" s="9"/>
      <c r="E32" s="9"/>
      <c r="F32" s="9"/>
    </row>
    <row r="33" spans="1:9" ht="14.5" x14ac:dyDescent="0.35">
      <c r="A33" s="10" t="s">
        <v>6</v>
      </c>
      <c r="B33" s="10"/>
      <c r="C33" s="9"/>
      <c r="D33" s="9"/>
      <c r="E33" s="9"/>
      <c r="F33" s="9"/>
    </row>
    <row r="34" spans="1:9" ht="14.5" x14ac:dyDescent="0.35">
      <c r="A34" s="57" t="s">
        <v>26</v>
      </c>
      <c r="B34" s="10"/>
      <c r="C34" s="9"/>
      <c r="D34" s="9"/>
      <c r="E34" s="9"/>
      <c r="F34" s="9"/>
      <c r="G34" s="49"/>
    </row>
    <row r="35" spans="1:9" ht="14.5" x14ac:dyDescent="0.35">
      <c r="A35" s="10"/>
      <c r="B35" s="10"/>
      <c r="C35" s="9"/>
      <c r="D35" s="9"/>
      <c r="E35" s="9"/>
      <c r="F35" s="9"/>
    </row>
    <row r="36" spans="1:9" ht="14.5" x14ac:dyDescent="0.35">
      <c r="A36" s="10"/>
      <c r="B36" s="10"/>
      <c r="C36" s="9"/>
      <c r="D36" s="9"/>
      <c r="E36" s="9"/>
      <c r="F36" s="9"/>
    </row>
    <row r="37" spans="1:9" customFormat="1" ht="15.5" x14ac:dyDescent="0.35">
      <c r="A37" s="18" t="s">
        <v>23</v>
      </c>
      <c r="B37" s="19"/>
      <c r="C37" s="20"/>
      <c r="D37" s="20"/>
      <c r="E37" s="19"/>
      <c r="F37" s="19"/>
      <c r="I37" s="32"/>
    </row>
    <row r="38" spans="1:9" customFormat="1" ht="14.5" x14ac:dyDescent="0.35">
      <c r="A38" s="21" t="s">
        <v>32</v>
      </c>
      <c r="B38" s="19"/>
      <c r="C38" s="20"/>
      <c r="D38" s="20"/>
      <c r="E38" s="19"/>
      <c r="F38" s="19"/>
      <c r="I38" s="32"/>
    </row>
    <row r="39" spans="1:9" s="25" customFormat="1" ht="19.399999999999999" customHeight="1" x14ac:dyDescent="0.35">
      <c r="A39" s="22" t="s">
        <v>31</v>
      </c>
      <c r="B39" s="23"/>
      <c r="C39" s="24"/>
      <c r="D39" s="24"/>
      <c r="E39" s="23"/>
      <c r="F39" s="23"/>
      <c r="I39" s="35"/>
    </row>
    <row r="40" spans="1:9" ht="169.4" customHeight="1" x14ac:dyDescent="0.3">
      <c r="A40" s="73" t="s">
        <v>33</v>
      </c>
      <c r="B40" s="73"/>
      <c r="C40" s="73"/>
      <c r="D40" s="73"/>
      <c r="E40" s="73"/>
      <c r="F40" s="73"/>
    </row>
    <row r="41" spans="1:9" x14ac:dyDescent="0.3">
      <c r="A41" s="9"/>
      <c r="B41" s="9"/>
      <c r="C41" s="9"/>
      <c r="D41" s="9"/>
      <c r="E41" s="9"/>
      <c r="F41" s="9"/>
    </row>
    <row r="42" spans="1:9" x14ac:dyDescent="0.3">
      <c r="A42" s="9"/>
      <c r="B42" s="9"/>
      <c r="C42" s="9"/>
      <c r="D42" s="9"/>
      <c r="E42" s="9"/>
      <c r="F42" s="9"/>
    </row>
    <row r="43" spans="1:9" x14ac:dyDescent="0.3">
      <c r="A43" s="9"/>
      <c r="B43" s="9"/>
      <c r="C43" s="9"/>
      <c r="D43" s="9"/>
      <c r="E43" s="9"/>
      <c r="F43" s="9"/>
    </row>
    <row r="44" spans="1:9" x14ac:dyDescent="0.3">
      <c r="A44" s="9"/>
      <c r="B44" s="9"/>
      <c r="C44" s="9"/>
      <c r="D44" s="9"/>
      <c r="E44" s="9"/>
      <c r="F44" s="9"/>
    </row>
    <row r="45" spans="1:9" x14ac:dyDescent="0.3">
      <c r="A45" s="9"/>
      <c r="B45" s="9"/>
      <c r="C45" s="9"/>
      <c r="D45" s="9"/>
      <c r="E45" s="9"/>
      <c r="F45" s="9"/>
    </row>
    <row r="46" spans="1:9" x14ac:dyDescent="0.3">
      <c r="A46" s="9"/>
      <c r="B46" s="9"/>
      <c r="C46" s="9"/>
      <c r="D46" s="9"/>
      <c r="E46" s="9"/>
      <c r="F46" s="9"/>
    </row>
    <row r="47" spans="1:9" x14ac:dyDescent="0.3">
      <c r="A47" s="9"/>
      <c r="B47" s="9"/>
      <c r="C47" s="9"/>
      <c r="D47" s="9"/>
      <c r="E47" s="9"/>
      <c r="F47" s="9"/>
    </row>
    <row r="48" spans="1:9" x14ac:dyDescent="0.3">
      <c r="A48" s="9"/>
      <c r="B48" s="9"/>
      <c r="C48" s="9"/>
      <c r="D48" s="9"/>
      <c r="E48" s="9"/>
      <c r="F48" s="9"/>
    </row>
    <row r="49" spans="1:6" x14ac:dyDescent="0.3">
      <c r="A49" s="9"/>
      <c r="B49" s="9"/>
      <c r="C49" s="9"/>
      <c r="D49" s="9"/>
      <c r="E49" s="9"/>
      <c r="F49" s="9"/>
    </row>
    <row r="50" spans="1:6" x14ac:dyDescent="0.3">
      <c r="A50" s="11"/>
      <c r="B50" s="11"/>
      <c r="C50" s="11"/>
      <c r="D50" s="11"/>
      <c r="E50" s="11"/>
      <c r="F50" s="11"/>
    </row>
    <row r="51" spans="1:6" x14ac:dyDescent="0.3">
      <c r="A51" s="11"/>
      <c r="B51" s="11"/>
      <c r="C51" s="11"/>
      <c r="D51" s="11"/>
      <c r="E51" s="11"/>
      <c r="F51" s="11"/>
    </row>
    <row r="52" spans="1:6" x14ac:dyDescent="0.3">
      <c r="A52" s="11"/>
      <c r="B52" s="11"/>
      <c r="C52" s="11"/>
      <c r="D52" s="11"/>
      <c r="E52" s="11"/>
      <c r="F52" s="11"/>
    </row>
    <row r="53" spans="1:6" x14ac:dyDescent="0.3">
      <c r="A53" s="11"/>
      <c r="B53" s="11"/>
      <c r="C53" s="11"/>
      <c r="D53" s="11"/>
      <c r="E53" s="11"/>
      <c r="F53" s="11"/>
    </row>
    <row r="54" spans="1:6" x14ac:dyDescent="0.3">
      <c r="A54" s="11"/>
      <c r="B54" s="11"/>
      <c r="C54" s="11"/>
      <c r="D54" s="11"/>
      <c r="E54" s="11"/>
      <c r="F54" s="11"/>
    </row>
    <row r="55" spans="1:6" x14ac:dyDescent="0.3">
      <c r="A55" s="11"/>
      <c r="B55" s="11"/>
      <c r="C55" s="11"/>
      <c r="D55" s="11"/>
      <c r="E55" s="11"/>
      <c r="F55" s="11"/>
    </row>
    <row r="56" spans="1:6" x14ac:dyDescent="0.3">
      <c r="A56" s="11"/>
      <c r="B56" s="11"/>
      <c r="C56" s="11"/>
      <c r="D56" s="11"/>
      <c r="E56" s="11"/>
      <c r="F56" s="11"/>
    </row>
    <row r="57" spans="1:6" x14ac:dyDescent="0.3">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B9 E23 B2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82" zoomScaleNormal="100" workbookViewId="0">
      <selection sqref="A1:A2"/>
    </sheetView>
  </sheetViews>
  <sheetFormatPr defaultColWidth="9.453125" defaultRowHeight="14" x14ac:dyDescent="0.3"/>
  <cols>
    <col min="1" max="1" width="8.453125" style="2" bestFit="1" customWidth="1"/>
    <col min="2" max="2" width="15.26953125" style="2" bestFit="1"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0" width="7.453125" style="2" bestFit="1" customWidth="1"/>
    <col min="11" max="11" width="8" style="2" bestFit="1" customWidth="1"/>
    <col min="12" max="12" width="12.81640625" style="2" bestFit="1" customWidth="1"/>
    <col min="13" max="13" width="8" style="2" bestFit="1" customWidth="1"/>
    <col min="14" max="14" width="8.7265625" style="2" bestFit="1" customWidth="1"/>
    <col min="15" max="16384" width="9.453125" style="2"/>
  </cols>
  <sheetData>
    <row r="1" spans="1:15" ht="17.25" customHeight="1" x14ac:dyDescent="0.3">
      <c r="A1" s="74" t="s">
        <v>7</v>
      </c>
      <c r="B1" s="12"/>
      <c r="C1" s="76" t="s">
        <v>8</v>
      </c>
      <c r="D1" s="77"/>
      <c r="E1" s="77"/>
      <c r="F1" s="77"/>
      <c r="G1" s="77"/>
      <c r="H1" s="77"/>
      <c r="I1" s="77"/>
      <c r="J1" s="77"/>
      <c r="K1" s="77"/>
      <c r="L1" s="77"/>
      <c r="M1" s="77"/>
      <c r="N1" s="78"/>
    </row>
    <row r="2" spans="1:15" ht="56" x14ac:dyDescent="0.3">
      <c r="A2" s="75"/>
      <c r="B2" s="12" t="s">
        <v>9</v>
      </c>
      <c r="C2" s="12" t="s">
        <v>10</v>
      </c>
      <c r="D2" s="12" t="s">
        <v>11</v>
      </c>
      <c r="E2" s="12" t="s">
        <v>12</v>
      </c>
      <c r="F2" s="12" t="s">
        <v>13</v>
      </c>
      <c r="G2" s="12" t="s">
        <v>24</v>
      </c>
      <c r="H2" s="12" t="s">
        <v>14</v>
      </c>
      <c r="I2" s="12" t="s">
        <v>15</v>
      </c>
      <c r="J2" s="12" t="s">
        <v>16</v>
      </c>
      <c r="K2" s="12" t="s">
        <v>17</v>
      </c>
      <c r="L2" s="12" t="s">
        <v>18</v>
      </c>
      <c r="M2" s="12" t="s">
        <v>25</v>
      </c>
      <c r="N2" s="12" t="s">
        <v>19</v>
      </c>
    </row>
    <row r="3" spans="1:15" x14ac:dyDescent="0.3">
      <c r="A3" s="38">
        <f>SUM(C3:N3)</f>
        <v>-54.338351468980036</v>
      </c>
      <c r="B3" s="54">
        <v>46223</v>
      </c>
      <c r="C3" s="14">
        <v>-1.2243372690700003</v>
      </c>
      <c r="D3" s="14">
        <v>22.041313484199996</v>
      </c>
      <c r="E3" s="14">
        <v>-1.186374</v>
      </c>
      <c r="F3" s="14">
        <v>-176.1883875</v>
      </c>
      <c r="G3" s="14">
        <v>0.56894193520000191</v>
      </c>
      <c r="H3" s="14">
        <v>96.283717776119971</v>
      </c>
      <c r="I3" s="14">
        <v>1.1818408000000005</v>
      </c>
      <c r="J3" s="14">
        <v>10.080365013600002</v>
      </c>
      <c r="K3" s="14">
        <v>22.648836990970008</v>
      </c>
      <c r="L3" s="14">
        <v>16.828613050000001</v>
      </c>
      <c r="M3" s="14">
        <v>4.741211250000001</v>
      </c>
      <c r="N3" s="14">
        <v>-50.114093000000004</v>
      </c>
    </row>
    <row r="4" spans="1:15" x14ac:dyDescent="0.3">
      <c r="A4" s="38">
        <f>SUM(C4:N4)</f>
        <v>-47.829518320330045</v>
      </c>
      <c r="B4" s="42">
        <v>46230</v>
      </c>
      <c r="C4" s="53">
        <v>2.0699702560200004</v>
      </c>
      <c r="D4" s="53">
        <v>10.612029431999998</v>
      </c>
      <c r="E4" s="53">
        <v>0.48118709999999998</v>
      </c>
      <c r="F4" s="53">
        <v>-170.48185860000001</v>
      </c>
      <c r="G4" s="53">
        <v>-5.5409980041000004</v>
      </c>
      <c r="H4" s="53">
        <v>50.018112621529994</v>
      </c>
      <c r="I4" s="53">
        <v>-1.2872825000000001</v>
      </c>
      <c r="J4" s="53">
        <v>12.681153542799997</v>
      </c>
      <c r="K4" s="53">
        <v>14.740443581420003</v>
      </c>
      <c r="L4" s="53">
        <v>-120.93934685000002</v>
      </c>
      <c r="M4" s="53">
        <v>164.32504739999999</v>
      </c>
      <c r="N4" s="53">
        <v>-4.507976300000001</v>
      </c>
    </row>
    <row r="5" spans="1:15" x14ac:dyDescent="0.3">
      <c r="A5" s="38">
        <f>SUM(C5:N5)</f>
        <v>-167.67399951827005</v>
      </c>
      <c r="B5" s="66">
        <v>46237</v>
      </c>
      <c r="C5" s="14">
        <v>-4.3076625545699994</v>
      </c>
      <c r="D5" s="14">
        <v>0.38513671329999966</v>
      </c>
      <c r="E5" s="14">
        <v>-6.2908800000000001E-2</v>
      </c>
      <c r="F5" s="14">
        <v>-109.86686390000003</v>
      </c>
      <c r="G5" s="14">
        <v>-7.0380645749000008</v>
      </c>
      <c r="H5" s="14">
        <v>43.169706340049999</v>
      </c>
      <c r="I5" s="14">
        <v>6.4509719000000008</v>
      </c>
      <c r="J5" s="14">
        <v>15.879312735700001</v>
      </c>
      <c r="K5" s="14">
        <v>-21.20302597785</v>
      </c>
      <c r="L5" s="14">
        <v>23.518386999999997</v>
      </c>
      <c r="M5" s="14">
        <v>-117.6638203</v>
      </c>
      <c r="N5" s="14">
        <v>3.0648319000000002</v>
      </c>
    </row>
    <row r="6" spans="1:15" ht="14.5" x14ac:dyDescent="0.35">
      <c r="A6" s="38">
        <f>SUM(C6:N6)</f>
        <v>-307.25008399226499</v>
      </c>
      <c r="B6" s="58">
        <v>46244</v>
      </c>
      <c r="C6" s="53">
        <v>14.779229764000004</v>
      </c>
      <c r="D6" s="53">
        <v>-3.2124419970999982</v>
      </c>
      <c r="E6" s="53">
        <v>1.0904613999999999</v>
      </c>
      <c r="F6" s="53">
        <v>-272.28490060000001</v>
      </c>
      <c r="G6" s="53">
        <v>-12.070161877200002</v>
      </c>
      <c r="H6" s="53">
        <v>-38.031075812909982</v>
      </c>
      <c r="I6" s="53">
        <v>6.1474011000000006</v>
      </c>
      <c r="J6" s="53">
        <v>55.414644260385018</v>
      </c>
      <c r="K6" s="53">
        <v>-65.23532822944</v>
      </c>
      <c r="L6" s="53">
        <v>64.275245200000001</v>
      </c>
      <c r="M6" s="53">
        <v>-74.757144999999994</v>
      </c>
      <c r="N6" s="53">
        <v>16.6339878</v>
      </c>
      <c r="O6"/>
    </row>
    <row r="7" spans="1:15" ht="14.5" x14ac:dyDescent="0.35">
      <c r="A7" s="51"/>
      <c r="B7" s="42"/>
      <c r="C7" s="50"/>
      <c r="D7" s="50"/>
      <c r="E7" s="50"/>
      <c r="F7" s="50"/>
      <c r="G7" s="50"/>
      <c r="H7" s="50"/>
      <c r="I7" s="50"/>
      <c r="J7" s="50"/>
      <c r="K7" s="50"/>
      <c r="L7" s="50"/>
      <c r="M7" s="50"/>
      <c r="N7" s="50"/>
    </row>
    <row r="8" spans="1:15" ht="14.5" x14ac:dyDescent="0.35">
      <c r="B8" s="10" t="s">
        <v>5</v>
      </c>
      <c r="C8" s="10"/>
      <c r="D8" s="10"/>
    </row>
    <row r="9" spans="1:15" ht="14.5" x14ac:dyDescent="0.35">
      <c r="B9" s="10" t="s">
        <v>27</v>
      </c>
      <c r="C9" s="10"/>
      <c r="D9" s="10"/>
    </row>
    <row r="10" spans="1:15" ht="14.5" x14ac:dyDescent="0.35">
      <c r="B10" s="10" t="s">
        <v>6</v>
      </c>
      <c r="C10" s="10"/>
      <c r="D10" s="10"/>
    </row>
    <row r="11" spans="1:15" ht="14.5" x14ac:dyDescent="0.35">
      <c r="B11" s="10" t="s">
        <v>26</v>
      </c>
      <c r="C11" s="11"/>
      <c r="D11" s="11"/>
    </row>
    <row r="12" spans="1:15" ht="14.5" x14ac:dyDescent="0.35">
      <c r="B12"/>
    </row>
    <row r="13" spans="1:15" ht="14.5" x14ac:dyDescent="0.35">
      <c r="C13" s="50"/>
      <c r="D13" s="50"/>
      <c r="E13" s="50"/>
      <c r="F13" s="50"/>
      <c r="G13" s="50"/>
      <c r="H13" s="50"/>
      <c r="I13" s="50"/>
      <c r="J13" s="50"/>
      <c r="K13" s="50"/>
      <c r="L13" s="50"/>
      <c r="M13" s="50"/>
      <c r="N13" s="50"/>
    </row>
    <row r="14" spans="1:15" ht="14.5" x14ac:dyDescent="0.35">
      <c r="B14" s="39"/>
      <c r="C14" s="39"/>
      <c r="D14" s="39"/>
      <c r="E14" s="39"/>
      <c r="F14" s="39"/>
      <c r="G14" s="39"/>
      <c r="H14" s="39"/>
      <c r="I14" s="39"/>
      <c r="J14" s="39"/>
      <c r="K14" s="39"/>
      <c r="L14" s="39"/>
      <c r="M14" s="39"/>
      <c r="N14"/>
      <c r="O14" s="37"/>
    </row>
    <row r="15" spans="1:15" ht="14.5" x14ac:dyDescent="0.35">
      <c r="B15" s="39"/>
      <c r="C15" s="39"/>
      <c r="D15" s="39"/>
      <c r="E15" s="39"/>
      <c r="F15" s="39"/>
      <c r="G15" s="39"/>
      <c r="H15" s="39"/>
      <c r="I15" s="39"/>
      <c r="J15" s="39"/>
      <c r="K15" s="39"/>
      <c r="L15" s="39"/>
      <c r="M15" s="39"/>
      <c r="N15" s="39"/>
      <c r="O15" s="39"/>
    </row>
    <row r="16" spans="1:15" ht="14.5" x14ac:dyDescent="0.35">
      <c r="C16" s="53"/>
      <c r="D16" s="53"/>
      <c r="E16" s="53"/>
      <c r="F16" s="53"/>
      <c r="G16" s="53"/>
      <c r="H16" s="53"/>
      <c r="I16" s="53"/>
      <c r="J16" s="53"/>
      <c r="K16" s="53"/>
      <c r="L16" s="53"/>
      <c r="M16" s="53"/>
      <c r="N16" s="53"/>
      <c r="O16" s="37"/>
    </row>
    <row r="17" spans="3:22" ht="14.5" x14ac:dyDescent="0.35">
      <c r="C17" s="36"/>
      <c r="D17" s="36"/>
      <c r="E17" s="36"/>
      <c r="F17" s="36"/>
      <c r="G17" s="36"/>
      <c r="H17" s="36"/>
      <c r="I17" s="36"/>
      <c r="J17" s="36"/>
      <c r="K17" s="36"/>
      <c r="L17" s="36"/>
      <c r="M17" s="36"/>
      <c r="N17" s="63"/>
      <c r="O17" s="36"/>
    </row>
    <row r="18" spans="3:22" ht="14.5" x14ac:dyDescent="0.35">
      <c r="C18"/>
      <c r="D18"/>
      <c r="K18" s="53"/>
      <c r="L18" s="53"/>
      <c r="M18" s="53"/>
      <c r="N18" s="53"/>
      <c r="O18" s="53"/>
      <c r="P18" s="53"/>
      <c r="Q18" s="53"/>
      <c r="R18" s="53"/>
      <c r="S18" s="53"/>
      <c r="T18" s="53"/>
      <c r="U18" s="53"/>
      <c r="V18" s="53"/>
    </row>
    <row r="19" spans="3:22" ht="14.5" x14ac:dyDescent="0.35">
      <c r="C19"/>
      <c r="D19"/>
    </row>
    <row r="20" spans="3:22" ht="14.5" x14ac:dyDescent="0.35">
      <c r="C20"/>
      <c r="D20"/>
      <c r="L20" s="64"/>
    </row>
    <row r="21" spans="3:22" ht="14.5" x14ac:dyDescent="0.35">
      <c r="C21"/>
      <c r="D21"/>
      <c r="O21" s="62"/>
    </row>
    <row r="22" spans="3:22" ht="14.5" x14ac:dyDescent="0.35">
      <c r="C22"/>
      <c r="D22"/>
    </row>
    <row r="23" spans="3:22" ht="14.5" x14ac:dyDescent="0.3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80" zoomScaleNormal="80" workbookViewId="0">
      <selection sqref="A1:A2"/>
    </sheetView>
  </sheetViews>
  <sheetFormatPr defaultColWidth="9.453125" defaultRowHeight="14" x14ac:dyDescent="0.3"/>
  <cols>
    <col min="1" max="1" width="8.453125" style="2" bestFit="1" customWidth="1"/>
    <col min="2" max="2" width="15.54296875" style="2" bestFit="1" customWidth="1"/>
    <col min="3" max="4" width="11.453125" style="2" bestFit="1" customWidth="1"/>
    <col min="5" max="5" width="10.54296875" style="2" bestFit="1" customWidth="1"/>
    <col min="6" max="6" width="10.1796875" style="2" bestFit="1" customWidth="1"/>
    <col min="7" max="7" width="7.7265625" style="2" bestFit="1" customWidth="1"/>
    <col min="8" max="8" width="11.54296875" style="2" bestFit="1" customWidth="1"/>
    <col min="9" max="9" width="12.453125" style="2" bestFit="1" customWidth="1"/>
    <col min="10" max="10" width="7.81640625" style="2" bestFit="1" customWidth="1"/>
    <col min="11" max="11" width="7.453125" style="2" bestFit="1" customWidth="1"/>
    <col min="12" max="12" width="12.81640625" style="2" bestFit="1" customWidth="1"/>
    <col min="13" max="13" width="8" style="2" bestFit="1" customWidth="1"/>
    <col min="14" max="14" width="8.7265625" style="2" bestFit="1" customWidth="1"/>
    <col min="15" max="16384" width="9.453125" style="2"/>
  </cols>
  <sheetData>
    <row r="1" spans="1:20" ht="17.25" customHeight="1" x14ac:dyDescent="0.3">
      <c r="A1" s="74" t="s">
        <v>7</v>
      </c>
      <c r="B1" s="12"/>
      <c r="C1" s="76" t="s">
        <v>8</v>
      </c>
      <c r="D1" s="77"/>
      <c r="E1" s="77"/>
      <c r="F1" s="77"/>
      <c r="G1" s="77"/>
      <c r="H1" s="77"/>
      <c r="I1" s="77"/>
      <c r="J1" s="77"/>
      <c r="K1" s="77"/>
      <c r="L1" s="77"/>
      <c r="M1" s="77"/>
      <c r="N1" s="78"/>
    </row>
    <row r="2" spans="1:20" ht="56" x14ac:dyDescent="0.3">
      <c r="A2" s="75"/>
      <c r="B2" s="12" t="s">
        <v>20</v>
      </c>
      <c r="C2" s="12" t="s">
        <v>10</v>
      </c>
      <c r="D2" s="12" t="s">
        <v>11</v>
      </c>
      <c r="E2" s="12" t="s">
        <v>12</v>
      </c>
      <c r="F2" s="12" t="s">
        <v>13</v>
      </c>
      <c r="G2" s="12" t="s">
        <v>24</v>
      </c>
      <c r="H2" s="12" t="s">
        <v>14</v>
      </c>
      <c r="I2" s="12" t="s">
        <v>15</v>
      </c>
      <c r="J2" s="12" t="s">
        <v>16</v>
      </c>
      <c r="K2" s="12" t="s">
        <v>17</v>
      </c>
      <c r="L2" s="12" t="s">
        <v>18</v>
      </c>
      <c r="M2" s="12" t="s">
        <v>25</v>
      </c>
      <c r="N2" s="12" t="s">
        <v>19</v>
      </c>
    </row>
    <row r="3" spans="1:20" x14ac:dyDescent="0.3">
      <c r="A3" s="48">
        <f>SUM(C3:N3)</f>
        <v>71.055244489270009</v>
      </c>
      <c r="B3" s="47">
        <v>46223</v>
      </c>
      <c r="C3" s="60">
        <v>3.475227823880001</v>
      </c>
      <c r="D3" s="60">
        <v>-13.874021287399998</v>
      </c>
      <c r="E3" s="60">
        <v>0.30819750000000024</v>
      </c>
      <c r="F3" s="60">
        <v>97.895516299999997</v>
      </c>
      <c r="G3" s="60">
        <v>-1.3027857081000001</v>
      </c>
      <c r="H3" s="60">
        <v>-111.35998621812999</v>
      </c>
      <c r="I3" s="60">
        <v>-3.4341017999999996</v>
      </c>
      <c r="J3" s="60">
        <v>18.6797752658</v>
      </c>
      <c r="K3" s="60">
        <v>14.405844163220003</v>
      </c>
      <c r="L3" s="60">
        <v>-14.51634645</v>
      </c>
      <c r="M3" s="60">
        <v>33.0960112</v>
      </c>
      <c r="N3" s="60">
        <v>47.681913700000003</v>
      </c>
      <c r="P3" s="13"/>
    </row>
    <row r="4" spans="1:20" x14ac:dyDescent="0.3">
      <c r="A4" s="48">
        <f>SUM(C4:N4)</f>
        <v>161.78933046004994</v>
      </c>
      <c r="B4" s="58">
        <v>46230</v>
      </c>
      <c r="C4" s="55">
        <v>-14.028949519839999</v>
      </c>
      <c r="D4" s="55">
        <v>-25.865838059999994</v>
      </c>
      <c r="E4" s="55">
        <v>-0.25455219999999995</v>
      </c>
      <c r="F4" s="55">
        <v>197.90596509999997</v>
      </c>
      <c r="G4" s="55">
        <v>4.4751604970000001</v>
      </c>
      <c r="H4" s="55">
        <v>5.0257704291699952</v>
      </c>
      <c r="I4" s="55">
        <v>1.8769159999999996</v>
      </c>
      <c r="J4" s="55">
        <v>-31.588692005200002</v>
      </c>
      <c r="K4" s="55">
        <v>-15.323113531080001</v>
      </c>
      <c r="L4" s="55">
        <v>115.53402385</v>
      </c>
      <c r="M4" s="55">
        <v>-78.194310200000004</v>
      </c>
      <c r="N4" s="55">
        <v>2.2269500999999994</v>
      </c>
      <c r="P4" s="13"/>
    </row>
    <row r="5" spans="1:20" x14ac:dyDescent="0.3">
      <c r="A5" s="48">
        <f>SUM(C5:N5)</f>
        <v>153.91995260158993</v>
      </c>
      <c r="B5" s="66">
        <v>46237</v>
      </c>
      <c r="C5" s="60">
        <v>14.03731762945</v>
      </c>
      <c r="D5" s="60">
        <v>10.040681425700003</v>
      </c>
      <c r="E5" s="60">
        <v>5.6766999999999929E-3</v>
      </c>
      <c r="F5" s="60">
        <v>73.213340899999992</v>
      </c>
      <c r="G5" s="60">
        <v>6.6208759383999993</v>
      </c>
      <c r="H5" s="60">
        <v>-69.964664523350024</v>
      </c>
      <c r="I5" s="60">
        <v>-7.7421056999999998</v>
      </c>
      <c r="J5" s="60">
        <v>4.4275245698000028</v>
      </c>
      <c r="K5" s="60">
        <v>96.246842061589987</v>
      </c>
      <c r="L5" s="60">
        <v>-50.240634500000013</v>
      </c>
      <c r="M5" s="60">
        <v>68.993619499999994</v>
      </c>
      <c r="N5" s="60">
        <v>8.281478599999998</v>
      </c>
      <c r="P5" s="13"/>
    </row>
    <row r="6" spans="1:20" x14ac:dyDescent="0.3">
      <c r="A6" s="48">
        <f>SUM(C6:N6)</f>
        <v>295.25673357936512</v>
      </c>
      <c r="B6" s="58">
        <v>46244</v>
      </c>
      <c r="C6" s="55">
        <v>-25.072463919859999</v>
      </c>
      <c r="D6" s="55">
        <v>12.2261509855</v>
      </c>
      <c r="E6" s="55">
        <v>-3.3276221000000001</v>
      </c>
      <c r="F6" s="55">
        <v>490.35493560000003</v>
      </c>
      <c r="G6" s="55">
        <v>19.997319469799997</v>
      </c>
      <c r="H6" s="55">
        <v>-119.89992036930994</v>
      </c>
      <c r="I6" s="55">
        <v>-3.4244699999999999</v>
      </c>
      <c r="J6" s="55">
        <v>2.0789005248150003</v>
      </c>
      <c r="K6" s="55">
        <v>86.174509938420016</v>
      </c>
      <c r="L6" s="55">
        <v>-118.02457465000002</v>
      </c>
      <c r="M6" s="55">
        <v>-23.2398226</v>
      </c>
      <c r="N6" s="55">
        <v>-22.5862093</v>
      </c>
      <c r="P6" s="13"/>
    </row>
    <row r="7" spans="1:20" ht="14.5" x14ac:dyDescent="0.35">
      <c r="A7" s="51"/>
      <c r="B7" s="41"/>
      <c r="C7" s="39"/>
      <c r="D7" s="39"/>
      <c r="E7" s="39"/>
      <c r="F7" s="39"/>
      <c r="G7" s="39"/>
      <c r="H7" s="39"/>
      <c r="I7" s="39"/>
      <c r="J7" s="39"/>
      <c r="K7" s="39"/>
      <c r="L7" s="39"/>
      <c r="M7" s="39"/>
      <c r="N7" s="39"/>
      <c r="P7" s="13"/>
    </row>
    <row r="8" spans="1:20" ht="14.5" x14ac:dyDescent="0.35">
      <c r="B8" s="10" t="s">
        <v>5</v>
      </c>
      <c r="C8" s="10"/>
      <c r="D8" s="10"/>
    </row>
    <row r="9" spans="1:20" ht="14.5" x14ac:dyDescent="0.35">
      <c r="B9" s="10" t="s">
        <v>29</v>
      </c>
      <c r="C9" s="10"/>
      <c r="D9" s="10"/>
    </row>
    <row r="10" spans="1:20" ht="14.5" x14ac:dyDescent="0.35">
      <c r="B10" s="10" t="s">
        <v>6</v>
      </c>
      <c r="C10" s="10"/>
      <c r="D10" s="10"/>
    </row>
    <row r="11" spans="1:20" ht="14.5" x14ac:dyDescent="0.35">
      <c r="B11" s="10" t="s">
        <v>26</v>
      </c>
      <c r="C11" s="11"/>
      <c r="D11" s="11"/>
    </row>
    <row r="12" spans="1:20" ht="14.5" x14ac:dyDescent="0.35">
      <c r="C12" s="39"/>
      <c r="D12" s="39"/>
      <c r="E12" s="39"/>
      <c r="F12" s="39"/>
      <c r="G12" s="39"/>
      <c r="H12" s="39"/>
      <c r="I12" s="39"/>
      <c r="J12" s="39"/>
      <c r="K12" s="39"/>
      <c r="L12" s="39"/>
      <c r="M12" s="39"/>
      <c r="N12" s="39"/>
    </row>
    <row r="13" spans="1:20" ht="14.5" x14ac:dyDescent="0.35">
      <c r="B13"/>
      <c r="C13" s="39"/>
      <c r="D13" s="39"/>
      <c r="E13" s="39"/>
      <c r="F13" s="39"/>
      <c r="G13" s="39"/>
      <c r="H13" s="39"/>
      <c r="I13" s="39"/>
      <c r="J13" s="39"/>
      <c r="K13" s="39"/>
      <c r="L13" s="39"/>
      <c r="M13" s="39"/>
      <c r="N13" s="39"/>
      <c r="O13" s="37"/>
      <c r="P13"/>
      <c r="Q13"/>
      <c r="R13"/>
    </row>
    <row r="14" spans="1:20" ht="14.5" x14ac:dyDescent="0.35">
      <c r="C14"/>
      <c r="D14"/>
      <c r="E14"/>
      <c r="F14"/>
      <c r="G14"/>
      <c r="H14"/>
      <c r="I14"/>
      <c r="J14"/>
      <c r="K14"/>
      <c r="L14"/>
      <c r="M14"/>
      <c r="N14"/>
      <c r="O14"/>
      <c r="P14"/>
      <c r="Q14"/>
      <c r="R14"/>
    </row>
    <row r="15" spans="1:20" ht="14.5" x14ac:dyDescent="0.35">
      <c r="C15"/>
      <c r="D15"/>
      <c r="E15"/>
      <c r="F15"/>
      <c r="G15"/>
      <c r="H15"/>
      <c r="I15" s="55"/>
      <c r="J15" s="55"/>
      <c r="K15" s="55"/>
      <c r="L15" s="55"/>
      <c r="M15" s="55"/>
      <c r="N15" s="55"/>
      <c r="O15" s="55"/>
      <c r="P15" s="55"/>
      <c r="Q15" s="55"/>
      <c r="R15" s="55"/>
      <c r="S15" s="55"/>
      <c r="T15" s="55"/>
    </row>
    <row r="16" spans="1:20" ht="14.5" x14ac:dyDescent="0.35">
      <c r="C16" s="36"/>
      <c r="D16" s="36"/>
      <c r="E16" s="36"/>
      <c r="F16" s="36"/>
      <c r="G16" s="36"/>
      <c r="H16" s="36"/>
      <c r="I16" s="36"/>
      <c r="J16" s="36"/>
      <c r="K16" s="36"/>
      <c r="L16" s="36"/>
      <c r="M16" s="36"/>
      <c r="N16" s="36"/>
    </row>
    <row r="17" spans="3:14" ht="14.5" x14ac:dyDescent="0.35">
      <c r="C17"/>
      <c r="D17"/>
      <c r="E17"/>
      <c r="F17"/>
      <c r="G17"/>
      <c r="H17"/>
      <c r="I17"/>
      <c r="J17"/>
      <c r="K17"/>
      <c r="L17"/>
      <c r="M17"/>
      <c r="N17"/>
    </row>
    <row r="18" spans="3:14" ht="14.5" x14ac:dyDescent="0.35">
      <c r="C18" s="37"/>
      <c r="D18" s="37"/>
      <c r="E18" s="37"/>
      <c r="F18" s="37"/>
      <c r="G18" s="37"/>
      <c r="H18" s="37"/>
      <c r="I18" s="37"/>
      <c r="J18" s="37"/>
      <c r="K18" s="37"/>
      <c r="L18" s="37"/>
      <c r="M18" s="37"/>
      <c r="N18" s="37"/>
    </row>
    <row r="19" spans="3:14" ht="14.5" x14ac:dyDescent="0.35">
      <c r="C19"/>
      <c r="D19"/>
      <c r="M19" s="65"/>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3:A7"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Ethan Ong</cp:lastModifiedBy>
  <cp:lastPrinted>2024-07-01T01:26:22Z</cp:lastPrinted>
  <dcterms:created xsi:type="dcterms:W3CDTF">2020-01-13T01:31:10Z</dcterms:created>
  <dcterms:modified xsi:type="dcterms:W3CDTF">2026-08-17T01:35:41Z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owerlinkCOMAddIn.COMAddIn.WebAddinBridge.Options">
    <vt:lpwstr>{"port":50157,"version":"1.26.718"}</vt:lpwstr>
  </property>
</Properties>
</file>