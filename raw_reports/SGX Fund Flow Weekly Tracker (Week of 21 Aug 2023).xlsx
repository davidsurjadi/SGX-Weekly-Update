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6D49A08A-B9E6-4996-90C4-5108F5DC5D75}" xr6:coauthVersionLast="47" xr6:coauthVersionMax="47" xr10:uidLastSave="{00000000-0000-0000-0000-000000000000}"/>
  <bookViews>
    <workbookView xWindow="-57720" yWindow="-4395"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C32" i="4" l="1"/>
  <c r="D32" i="4"/>
  <c r="A1" i="4" l="1"/>
  <c r="C18" i="1" l="1"/>
  <c r="F18" i="1" s="1"/>
  <c r="F5" i="1"/>
</calcChain>
</file>

<file path=xl/sharedStrings.xml><?xml version="1.0" encoding="utf-8"?>
<sst xmlns="http://schemas.openxmlformats.org/spreadsheetml/2006/main" count="520" uniqueCount="287">
  <si>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</si>
  <si>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</si>
  <si>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</si>
  <si>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</si>
  <si>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</si>
  <si>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</si>
  <si>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</si>
  <si>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</si>
  <si>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</si>
  <si>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</si>
  <si>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</si>
  <si>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</si>
  <si>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</si>
  <si>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</si>
  <si>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</si>
  <si>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</si>
  <si>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</si>
  <si>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</si>
  <si>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</si>
  <si>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</si>
  <si>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</si>
  <si>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</si>
  <si>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</si>
  <si>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</si>
  <si>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</si>
  <si>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</si>
  <si>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</si>
  <si>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</si>
  <si>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</si>
  <si>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</si>
  <si>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</si>
  <si>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</si>
  <si>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</si>
  <si>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</si>
  <si>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</si>
  <si>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</si>
  <si>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</si>
  <si>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</si>
  <si>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</si>
  <si>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</si>
  <si>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</si>
  <si>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</si>
  <si>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</si>
  <si>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</si>
  <si>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</si>
  <si>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</si>
  <si>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</si>
  <si>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</si>
  <si>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</si>
  <si>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</si>
  <si>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</si>
  <si>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</si>
  <si>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</si>
  <si>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</si>
  <si>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</si>
  <si>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</si>
  <si>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</si>
  <si>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</si>
  <si>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</si>
  <si>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</si>
  <si>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</si>
  <si>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</si>
  <si>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</si>
  <si>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</si>
  <si>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</si>
  <si>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</si>
  <si>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</si>
  <si>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</si>
  <si>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</si>
  <si>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</si>
  <si>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</si>
  <si>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</si>
  <si>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</si>
  <si>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</si>
  <si>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</si>
  <si>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</si>
  <si>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</si>
  <si>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</si>
  <si>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</si>
  <si>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</si>
  <si>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</si>
  <si>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</si>
  <si>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</si>
  <si>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</si>
  <si>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</si>
  <si>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</si>
  <si>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</si>
  <si>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</si>
  <si>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</si>
  <si>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</si>
  <si>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</si>
  <si>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</si>
  <si>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</si>
  <si>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</si>
  <si>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</si>
  <si>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</si>
  <si>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</si>
  <si>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</si>
  <si>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</si>
  <si>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</si>
  <si>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</si>
  <si>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</si>
  <si>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</si>
  <si>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</si>
  <si>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</si>
  <si>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</si>
  <si>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</si>
  <si>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</si>
  <si>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</si>
  <si>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</si>
  <si>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</si>
  <si>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</si>
  <si>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</si>
  <si>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</si>
  <si>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</si>
  <si>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</si>
  <si>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</si>
  <si>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</si>
  <si>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</si>
  <si>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</si>
  <si>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</si>
  <si>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</si>
  <si>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</si>
  <si>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</si>
  <si>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</si>
  <si>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</si>
  <si>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</si>
  <si>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</si>
  <si>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</si>
  <si>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</si>
  <si>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</si>
  <si>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</si>
  <si>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</si>
  <si>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</si>
  <si>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</si>
  <si>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</si>
  <si>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</si>
  <si>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</si>
  <si>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</si>
  <si>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</si>
  <si>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</si>
  <si>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</si>
  <si>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</si>
  <si>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</si>
  <si>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</si>
  <si>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5VJ</t>
  </si>
  <si>
    <t>CRPU</t>
  </si>
  <si>
    <t>Z25</t>
  </si>
  <si>
    <t>A50</t>
  </si>
  <si>
    <t>S08</t>
  </si>
  <si>
    <t>G92</t>
  </si>
  <si>
    <t>O9E</t>
  </si>
  <si>
    <t>H30</t>
  </si>
  <si>
    <t>UD2</t>
  </si>
  <si>
    <t>S59</t>
  </si>
  <si>
    <t>Q5T</t>
  </si>
  <si>
    <t>P40U</t>
  </si>
  <si>
    <t>M1GU</t>
  </si>
  <si>
    <t>5FW</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</si>
  <si>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</si>
  <si>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</si>
  <si>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</si>
  <si>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</si>
  <si>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</si>
  <si>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</si>
  <si>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</si>
  <si>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</si>
  <si>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</si>
  <si>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</si>
  <si>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</si>
  <si>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</si>
  <si>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</si>
  <si>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</si>
  <si>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</si>
  <si>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</si>
  <si>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</si>
  <si>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</si>
  <si>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</si>
  <si>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</si>
  <si>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</si>
  <si>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</si>
  <si>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</si>
  <si>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</si>
  <si>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</si>
  <si>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</si>
  <si>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</si>
  <si>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</si>
  <si>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</si>
  <si>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</si>
  <si>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</si>
  <si>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</si>
  <si>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</si>
  <si>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</si>
  <si>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</si>
  <si>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</si>
  <si>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</si>
  <si>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</si>
  <si>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</si>
  <si>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</si>
  <si>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</si>
  <si>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</si>
  <si>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</si>
  <si>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</si>
  <si>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</si>
  <si>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</si>
  <si>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</si>
  <si>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</si>
  <si>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</si>
  <si>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</si>
  <si>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</si>
  <si>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</si>
  <si>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</si>
  <si>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</si>
  <si>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</si>
  <si>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</si>
  <si>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</si>
  <si>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</si>
  <si>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</si>
  <si>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</si>
  <si>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</si>
  <si>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</si>
  <si>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</si>
  <si>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</si>
  <si>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</si>
  <si>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</si>
  <si>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</si>
  <si>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</si>
  <si>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</si>
  <si>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</si>
  <si>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</si>
  <si>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</si>
  <si>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</si>
  <si>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</si>
  <si>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</si>
  <si>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</si>
  <si>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</si>
  <si>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</si>
  <si>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</si>
  <si>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</si>
  <si>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</si>
  <si>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Acesian Partners</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</si>
  <si>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</si>
  <si>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</si>
  <si>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</si>
  <si>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</si>
  <si>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</si>
  <si>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</si>
  <si>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</si>
  <si>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</si>
  <si>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</si>
  <si>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</si>
  <si>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</si>
  <si>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</si>
  <si>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</si>
  <si>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</si>
  <si>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</si>
  <si>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</si>
  <si>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</si>
  <si>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</si>
  <si>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</si>
  <si>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</si>
  <si>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</si>
  <si>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</si>
  <si>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</si>
  <si>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</si>
  <si>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</si>
  <si>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</si>
  <si>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Venture Corporation </t>
  </si>
  <si>
    <t xml:space="preserve">City Developments </t>
  </si>
  <si>
    <t xml:space="preserve">Seatrium </t>
  </si>
  <si>
    <t xml:space="preserve">Keppel Corporation </t>
  </si>
  <si>
    <t xml:space="preserve">Wilmar International </t>
  </si>
  <si>
    <t>CapitaLand India Trust</t>
  </si>
  <si>
    <t>Halcyon Agri</t>
  </si>
  <si>
    <t xml:space="preserve">Note that the above list of 100 most traded stocks is on a year-to-date basis and may include stocks that are currently suspended for trading. </t>
  </si>
  <si>
    <t>Week of 21 August 2023</t>
  </si>
  <si>
    <r>
      <t>Institutional investors net</t>
    </r>
    <r>
      <rPr>
        <b/>
        <sz val="11"/>
        <rFont val="Arial"/>
        <family val="2"/>
      </rPr>
      <t xml:space="preserve"> buy</t>
    </r>
    <r>
      <rPr>
        <sz val="11"/>
        <rFont val="Arial"/>
        <family val="2"/>
      </rPr>
      <t xml:space="preserve"> (+S$147.9m) vs. (+S$240.8m) a week ago</t>
    </r>
  </si>
  <si>
    <r>
      <t>Retail investors net</t>
    </r>
    <r>
      <rPr>
        <b/>
        <sz val="11"/>
        <rFont val="Arial"/>
        <family val="2"/>
      </rPr>
      <t xml:space="preserve"> buy</t>
    </r>
    <r>
      <rPr>
        <sz val="11"/>
        <rFont val="Arial"/>
        <family val="2"/>
      </rPr>
      <t xml:space="preserve"> (+S$157.5m) vs. (+S$350.9m) a week ago</t>
    </r>
  </si>
  <si>
    <t>CapitaLand Ascott Trust</t>
  </si>
  <si>
    <t xml:space="preserve">UOL Group </t>
  </si>
  <si>
    <t>OUE Commercial REIT</t>
  </si>
  <si>
    <t>Lendlease Global Commercial REIT</t>
  </si>
  <si>
    <t xml:space="preserve">Genting Singapore </t>
  </si>
  <si>
    <t xml:space="preserve">UMS </t>
  </si>
  <si>
    <t>AEM</t>
  </si>
  <si>
    <t>Nanofilm Technologies</t>
  </si>
  <si>
    <t xml:space="preserve">Jardine Matheson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</si>
</sst>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9.453125" style="2"/>
    <col min="9" max="9" width="17" style="48"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275</v>
      </c>
    </row>
    <row r="2" spans="1:13" x14ac:dyDescent="0.3">
      <c r="A2" s="56" t="s">
        <v>276</v>
      </c>
    </row>
    <row r="3" spans="1:13" x14ac:dyDescent="0.3">
      <c r="A3" s="56" t="s">
        <v>277</v>
      </c>
    </row>
    <row r="5" spans="1:13" ht="29.25" customHeight="1" x14ac:dyDescent="0.3">
      <c r="A5" s="3" t="s">
        <v>0</v>
      </c>
      <c r="B5" s="3" t="s">
        <v>1</v>
      </c>
      <c r="C5" s="4" t="s">
        <v>275</v>
      </c>
      <c r="D5" s="45" t="s">
        <v>2</v>
      </c>
      <c r="E5" s="45" t="s">
        <v>1</v>
      </c>
      <c r="F5" s="57" t="str">
        <f>+C5</f>
        <v>Week of 21 August 2023</v>
      </c>
    </row>
    <row r="6" spans="1:13" ht="14.5" x14ac:dyDescent="0.35">
      <c r="A6" s="41" t="s">
        <v>27</v>
      </c>
      <c r="B6" s="39" t="s">
        <v>22</v>
      </c>
      <c r="C6" s="7">
        <v>70.941641000000004</v>
      </c>
      <c r="D6" s="41" t="s">
        <v>267</v>
      </c>
      <c r="E6" s="39" t="s">
        <v>45</v>
      </c>
      <c r="F6" s="7">
        <v>-26.509004999999998</v>
      </c>
      <c r="K6" s="53"/>
      <c r="L6"/>
      <c r="M6"/>
    </row>
    <row r="7" spans="1:13" ht="14.5" x14ac:dyDescent="0.35">
      <c r="A7" s="42" t="s">
        <v>269</v>
      </c>
      <c r="B7" s="11" t="s">
        <v>93</v>
      </c>
      <c r="C7" s="9">
        <v>44.397902600000009</v>
      </c>
      <c r="D7" s="42" t="s">
        <v>34</v>
      </c>
      <c r="E7" s="11" t="s">
        <v>32</v>
      </c>
      <c r="F7" s="9">
        <v>-15.992108</v>
      </c>
      <c r="K7" s="53"/>
      <c r="L7"/>
      <c r="M7"/>
    </row>
    <row r="8" spans="1:13" ht="14.5" x14ac:dyDescent="0.35">
      <c r="A8" s="43" t="s">
        <v>29</v>
      </c>
      <c r="B8" s="39" t="s">
        <v>24</v>
      </c>
      <c r="C8" s="7">
        <v>34.759965000000001</v>
      </c>
      <c r="D8" s="43" t="s">
        <v>47</v>
      </c>
      <c r="E8" s="39" t="s">
        <v>44</v>
      </c>
      <c r="F8" s="7">
        <v>-11.216229</v>
      </c>
      <c r="K8" s="53"/>
      <c r="L8"/>
      <c r="M8"/>
    </row>
    <row r="9" spans="1:13" ht="14.5" x14ac:dyDescent="0.35">
      <c r="A9" s="42" t="s">
        <v>28</v>
      </c>
      <c r="B9" s="11" t="s">
        <v>23</v>
      </c>
      <c r="C9" s="9">
        <v>34.244771</v>
      </c>
      <c r="D9" s="42" t="s">
        <v>278</v>
      </c>
      <c r="E9" s="11" t="s">
        <v>97</v>
      </c>
      <c r="F9" s="9">
        <v>-6.1735895000000003</v>
      </c>
      <c r="K9" s="53"/>
      <c r="L9"/>
      <c r="M9"/>
    </row>
    <row r="10" spans="1:13" ht="14.5" x14ac:dyDescent="0.35">
      <c r="A10" s="43" t="s">
        <v>271</v>
      </c>
      <c r="B10" s="39" t="s">
        <v>43</v>
      </c>
      <c r="C10" s="7">
        <v>17.149044</v>
      </c>
      <c r="D10" s="43" t="s">
        <v>36</v>
      </c>
      <c r="E10" s="39" t="s">
        <v>31</v>
      </c>
      <c r="F10" s="7">
        <v>-5.2593690000000004</v>
      </c>
      <c r="K10" s="53"/>
      <c r="L10"/>
      <c r="M10"/>
    </row>
    <row r="11" spans="1:13" ht="14.5" x14ac:dyDescent="0.35">
      <c r="A11" s="42" t="s">
        <v>41</v>
      </c>
      <c r="B11" s="11" t="s">
        <v>39</v>
      </c>
      <c r="C11" s="9">
        <v>13.988393</v>
      </c>
      <c r="D11" s="42" t="s">
        <v>51</v>
      </c>
      <c r="E11" s="11" t="s">
        <v>49</v>
      </c>
      <c r="F11" s="9">
        <v>-4.6031504999999999</v>
      </c>
      <c r="K11" s="53"/>
      <c r="L11"/>
      <c r="M11"/>
    </row>
    <row r="12" spans="1:13" ht="14.5" x14ac:dyDescent="0.35">
      <c r="A12" s="43" t="s">
        <v>92</v>
      </c>
      <c r="B12" s="39" t="s">
        <v>26</v>
      </c>
      <c r="C12" s="7">
        <v>11.481436</v>
      </c>
      <c r="D12" s="43" t="s">
        <v>65</v>
      </c>
      <c r="E12" s="39" t="s">
        <v>56</v>
      </c>
      <c r="F12" s="7">
        <v>-4.2861500000000001</v>
      </c>
      <c r="K12" s="53"/>
      <c r="L12"/>
      <c r="M12"/>
    </row>
    <row r="13" spans="1:13" ht="14.5" x14ac:dyDescent="0.35">
      <c r="A13" s="42" t="s">
        <v>283</v>
      </c>
      <c r="B13" s="11" t="s">
        <v>258</v>
      </c>
      <c r="C13" s="9">
        <v>9.8762640000000008</v>
      </c>
      <c r="D13" s="42" t="s">
        <v>279</v>
      </c>
      <c r="E13" s="11" t="s">
        <v>61</v>
      </c>
      <c r="F13" s="9">
        <v>-4.0605640000000003</v>
      </c>
      <c r="K13" s="53"/>
      <c r="L13"/>
      <c r="M13"/>
    </row>
    <row r="14" spans="1:13" ht="14.5" x14ac:dyDescent="0.35">
      <c r="A14" s="43" t="s">
        <v>30</v>
      </c>
      <c r="B14" s="39" t="s">
        <v>25</v>
      </c>
      <c r="C14" s="7">
        <v>7.8641620000000003</v>
      </c>
      <c r="D14" s="43" t="s">
        <v>280</v>
      </c>
      <c r="E14" s="39" t="s">
        <v>264</v>
      </c>
      <c r="F14" s="7">
        <v>-3.9311004999999999</v>
      </c>
      <c r="K14" s="53"/>
      <c r="L14"/>
      <c r="M14"/>
    </row>
    <row r="15" spans="1:13" ht="14.5" x14ac:dyDescent="0.35">
      <c r="A15" s="44" t="s">
        <v>42</v>
      </c>
      <c r="B15" s="40" t="s">
        <v>40</v>
      </c>
      <c r="C15" s="10">
        <v>6.8662109999999998</v>
      </c>
      <c r="D15" s="44" t="s">
        <v>281</v>
      </c>
      <c r="E15" s="40" t="s">
        <v>116</v>
      </c>
      <c r="F15" s="10">
        <v>-3.6366404999999999</v>
      </c>
      <c r="K15" s="53"/>
      <c r="L15"/>
      <c r="M15"/>
    </row>
    <row r="16" spans="1:13" ht="15.5" x14ac:dyDescent="0.35">
      <c r="A16" s="11"/>
      <c r="B16" s="11"/>
      <c r="C16" s="11"/>
      <c r="D16" s="37"/>
      <c r="E16" s="11"/>
      <c r="F16" s="11"/>
    </row>
    <row r="17" spans="1:13" x14ac:dyDescent="0.3">
      <c r="A17" s="11"/>
      <c r="B17" s="11"/>
      <c r="C17" s="11"/>
      <c r="D17" s="11"/>
      <c r="E17" s="11"/>
      <c r="F17" s="11"/>
    </row>
    <row r="18" spans="1:13" ht="28.5" customHeight="1" x14ac:dyDescent="0.3">
      <c r="A18" s="47" t="s">
        <v>3</v>
      </c>
      <c r="B18" s="3" t="s">
        <v>1</v>
      </c>
      <c r="C18" s="4" t="str">
        <f>C5</f>
        <v>Week of 21 August 2023</v>
      </c>
      <c r="D18" s="5" t="s">
        <v>4</v>
      </c>
      <c r="E18" s="45" t="s">
        <v>1</v>
      </c>
      <c r="F18" s="57" t="str">
        <f>+C18</f>
        <v>Week of 21 August 2023</v>
      </c>
    </row>
    <row r="19" spans="1:13" ht="14.5" x14ac:dyDescent="0.35">
      <c r="A19" s="41" t="s">
        <v>51</v>
      </c>
      <c r="B19" s="39" t="s">
        <v>49</v>
      </c>
      <c r="C19" s="7">
        <v>34.240154500000003</v>
      </c>
      <c r="D19" s="41" t="s">
        <v>269</v>
      </c>
      <c r="E19" s="39" t="s">
        <v>93</v>
      </c>
      <c r="F19" s="7">
        <v>-27.77174389999999</v>
      </c>
      <c r="H19"/>
      <c r="I19" s="46"/>
      <c r="K19" s="53"/>
      <c r="L19"/>
      <c r="M19"/>
    </row>
    <row r="20" spans="1:13" ht="14.5" x14ac:dyDescent="0.35">
      <c r="A20" s="42" t="s">
        <v>34</v>
      </c>
      <c r="B20" s="11" t="s">
        <v>32</v>
      </c>
      <c r="C20" s="9">
        <v>27.324221000000001</v>
      </c>
      <c r="D20" s="42" t="s">
        <v>63</v>
      </c>
      <c r="E20" s="11" t="s">
        <v>55</v>
      </c>
      <c r="F20" s="9">
        <v>-9.5995530000000002</v>
      </c>
      <c r="H20"/>
      <c r="I20" s="46"/>
      <c r="K20" s="53"/>
      <c r="L20"/>
      <c r="M20"/>
    </row>
    <row r="21" spans="1:13" ht="14.5" x14ac:dyDescent="0.35">
      <c r="A21" s="43" t="s">
        <v>28</v>
      </c>
      <c r="B21" s="39" t="s">
        <v>23</v>
      </c>
      <c r="C21" s="7">
        <v>19.655460999999999</v>
      </c>
      <c r="D21" s="43" t="s">
        <v>185</v>
      </c>
      <c r="E21" s="39" t="s">
        <v>258</v>
      </c>
      <c r="F21" s="7">
        <v>-9.0461170000000006</v>
      </c>
      <c r="H21"/>
      <c r="I21" s="46"/>
      <c r="K21" s="53"/>
      <c r="L21"/>
      <c r="M21"/>
    </row>
    <row r="22" spans="1:13" ht="14.5" x14ac:dyDescent="0.35">
      <c r="A22" s="42" t="s">
        <v>29</v>
      </c>
      <c r="B22" s="11" t="s">
        <v>24</v>
      </c>
      <c r="C22" s="9">
        <v>13.558731999999999</v>
      </c>
      <c r="D22" s="42" t="s">
        <v>46</v>
      </c>
      <c r="E22" s="11" t="s">
        <v>43</v>
      </c>
      <c r="F22" s="9">
        <v>-6.7341369999999996</v>
      </c>
      <c r="H22"/>
      <c r="I22" s="46"/>
      <c r="K22" s="53"/>
      <c r="L22"/>
      <c r="M22"/>
    </row>
    <row r="23" spans="1:13" ht="14.5" x14ac:dyDescent="0.35">
      <c r="A23" s="43" t="s">
        <v>282</v>
      </c>
      <c r="B23" s="39" t="s">
        <v>37</v>
      </c>
      <c r="C23" s="7">
        <v>12.2244335</v>
      </c>
      <c r="D23" s="43" t="s">
        <v>41</v>
      </c>
      <c r="E23" s="39" t="s">
        <v>39</v>
      </c>
      <c r="F23" s="7">
        <v>-4.3482919999999998</v>
      </c>
      <c r="H23"/>
      <c r="I23" s="58"/>
      <c r="K23" s="53"/>
      <c r="L23"/>
      <c r="M23"/>
    </row>
    <row r="24" spans="1:13" ht="14.5" x14ac:dyDescent="0.35">
      <c r="A24" s="42" t="s">
        <v>267</v>
      </c>
      <c r="B24" s="11" t="s">
        <v>45</v>
      </c>
      <c r="C24" s="9">
        <v>11.933408999999999</v>
      </c>
      <c r="D24" s="42" t="s">
        <v>184</v>
      </c>
      <c r="E24" s="11" t="s">
        <v>115</v>
      </c>
      <c r="F24" s="9">
        <v>-3.9701520000000001</v>
      </c>
      <c r="H24"/>
      <c r="I24" s="46"/>
      <c r="K24" s="53"/>
      <c r="L24"/>
      <c r="M24"/>
    </row>
    <row r="25" spans="1:13" ht="14.5" x14ac:dyDescent="0.35">
      <c r="A25" s="43" t="s">
        <v>270</v>
      </c>
      <c r="B25" s="39" t="s">
        <v>33</v>
      </c>
      <c r="C25" s="7">
        <v>8.3762159999999994</v>
      </c>
      <c r="D25" s="43" t="s">
        <v>284</v>
      </c>
      <c r="E25" s="39" t="s">
        <v>95</v>
      </c>
      <c r="F25" s="7">
        <v>-3.1328492630000002</v>
      </c>
      <c r="H25"/>
      <c r="I25" s="46"/>
      <c r="K25" s="53"/>
      <c r="L25"/>
      <c r="M25"/>
    </row>
    <row r="26" spans="1:13" ht="14.5" x14ac:dyDescent="0.35">
      <c r="A26" s="42" t="s">
        <v>27</v>
      </c>
      <c r="B26" s="11" t="s">
        <v>22</v>
      </c>
      <c r="C26" s="9">
        <v>7.6460990000000004</v>
      </c>
      <c r="D26" s="42" t="s">
        <v>285</v>
      </c>
      <c r="E26" s="11" t="s">
        <v>120</v>
      </c>
      <c r="F26" s="9">
        <v>-2.6079500000000002</v>
      </c>
      <c r="H26"/>
      <c r="I26" s="46"/>
      <c r="K26" s="53"/>
      <c r="L26"/>
      <c r="M26"/>
    </row>
    <row r="27" spans="1:13" ht="14.5" x14ac:dyDescent="0.35">
      <c r="A27" s="43" t="s">
        <v>268</v>
      </c>
      <c r="B27" s="39" t="s">
        <v>56</v>
      </c>
      <c r="C27" s="7">
        <v>6.8900069999999998</v>
      </c>
      <c r="D27" s="43" t="s">
        <v>272</v>
      </c>
      <c r="E27" s="39" t="s">
        <v>129</v>
      </c>
      <c r="F27" s="7">
        <v>-2.0023650000000002</v>
      </c>
      <c r="H27"/>
      <c r="I27" s="46"/>
      <c r="K27" s="53"/>
      <c r="L27"/>
      <c r="M27"/>
    </row>
    <row r="28" spans="1:13" ht="14.5" x14ac:dyDescent="0.35">
      <c r="A28" s="44" t="s">
        <v>279</v>
      </c>
      <c r="B28" s="40" t="s">
        <v>61</v>
      </c>
      <c r="C28" s="10">
        <v>6.8274509999999999</v>
      </c>
      <c r="D28" s="44" t="s">
        <v>286</v>
      </c>
      <c r="E28" s="40" t="s">
        <v>54</v>
      </c>
      <c r="F28" s="10">
        <v>-1.9248420111</v>
      </c>
      <c r="H28"/>
      <c r="I28" s="46"/>
      <c r="K28" s="53"/>
      <c r="L28"/>
      <c r="M28"/>
    </row>
    <row r="29" spans="1:13" x14ac:dyDescent="0.3">
      <c r="A29" s="11"/>
      <c r="B29" s="11"/>
      <c r="C29" s="11"/>
      <c r="D29" s="11"/>
      <c r="E29" s="11"/>
      <c r="F29" s="11"/>
    </row>
    <row r="30" spans="1:13" ht="14.5" x14ac:dyDescent="0.35">
      <c r="A30" s="12" t="s">
        <v>69</v>
      </c>
      <c r="B30" s="12"/>
      <c r="C30" s="11"/>
      <c r="D30" s="11"/>
      <c r="E30" s="11"/>
      <c r="F30" s="11"/>
    </row>
    <row r="31" spans="1:13" ht="14.5" x14ac:dyDescent="0.35">
      <c r="A31" s="12" t="s">
        <v>84</v>
      </c>
      <c r="B31" s="12"/>
      <c r="C31" s="11"/>
      <c r="D31" s="11"/>
      <c r="E31" s="11"/>
      <c r="F31" s="11"/>
    </row>
    <row r="32" spans="1:13" ht="14.5" x14ac:dyDescent="0.35">
      <c r="A32" s="12" t="s">
        <v>85</v>
      </c>
      <c r="B32" s="12"/>
      <c r="C32" s="11"/>
      <c r="D32" s="11"/>
      <c r="E32" s="11"/>
      <c r="F32" s="11"/>
    </row>
    <row r="33" spans="1:9" ht="14.5" x14ac:dyDescent="0.35">
      <c r="A33" s="12" t="s">
        <v>6</v>
      </c>
      <c r="B33" s="12"/>
      <c r="C33" s="11"/>
      <c r="D33" s="11"/>
      <c r="E33" s="11"/>
      <c r="F33" s="11"/>
    </row>
    <row r="34" spans="1:9" ht="14.5" x14ac:dyDescent="0.35">
      <c r="A34" s="12" t="s">
        <v>77</v>
      </c>
      <c r="B34" s="12"/>
      <c r="C34" s="11"/>
      <c r="D34" s="11"/>
      <c r="E34" s="11"/>
      <c r="F34" s="11"/>
    </row>
    <row r="35" spans="1:9" ht="14.5" x14ac:dyDescent="0.35">
      <c r="A35" s="12"/>
      <c r="B35" s="12"/>
      <c r="C35" s="11"/>
      <c r="D35" s="11"/>
      <c r="E35" s="11"/>
      <c r="F35" s="11"/>
    </row>
    <row r="36" spans="1:9" ht="14.5" x14ac:dyDescent="0.35">
      <c r="A36" s="12"/>
      <c r="B36" s="12"/>
      <c r="C36" s="11"/>
      <c r="D36" s="11"/>
      <c r="E36" s="11"/>
      <c r="F36" s="11"/>
    </row>
    <row r="37" spans="1:9" customFormat="1" ht="15.5" x14ac:dyDescent="0.35">
      <c r="A37" s="29" t="s">
        <v>70</v>
      </c>
      <c r="B37" s="30"/>
      <c r="C37" s="31"/>
      <c r="D37" s="31"/>
      <c r="E37" s="30"/>
      <c r="F37" s="30"/>
      <c r="I37" s="46"/>
    </row>
    <row r="38" spans="1:9" customFormat="1" ht="14.5" x14ac:dyDescent="0.35">
      <c r="A38" s="32" t="s">
        <v>71</v>
      </c>
      <c r="B38" s="30"/>
      <c r="C38" s="31"/>
      <c r="D38" s="31"/>
      <c r="E38" s="30"/>
      <c r="F38" s="30"/>
      <c r="I38" s="46"/>
    </row>
    <row r="39" spans="1:9" s="36" customFormat="1" ht="19.399999999999999" customHeight="1" x14ac:dyDescent="0.35">
      <c r="A39" s="33" t="s">
        <v>72</v>
      </c>
      <c r="B39" s="34"/>
      <c r="C39" s="35"/>
      <c r="D39" s="35"/>
      <c r="E39" s="34"/>
      <c r="F39" s="34"/>
      <c r="I39" s="49"/>
    </row>
    <row r="40" spans="1:9" ht="169.4" customHeight="1" x14ac:dyDescent="0.3">
      <c r="A40" s="65" t="s">
        <v>251</v>
      </c>
      <c r="B40" s="65"/>
      <c r="C40" s="65"/>
      <c r="D40" s="65"/>
      <c r="E40" s="65"/>
      <c r="F40" s="65"/>
    </row>
    <row r="41" spans="1:9" x14ac:dyDescent="0.3">
      <c r="A41" s="11"/>
      <c r="B41" s="11"/>
      <c r="C41" s="11"/>
      <c r="D41" s="11"/>
      <c r="E41" s="11"/>
      <c r="F41" s="11"/>
    </row>
    <row r="42" spans="1:9" x14ac:dyDescent="0.3">
      <c r="A42" s="11"/>
      <c r="B42" s="11"/>
      <c r="C42" s="11"/>
      <c r="D42" s="11"/>
      <c r="E42" s="11"/>
      <c r="F42" s="11"/>
    </row>
    <row r="43" spans="1:9" x14ac:dyDescent="0.3">
      <c r="A43" s="11"/>
      <c r="B43" s="11"/>
      <c r="C43" s="11"/>
      <c r="D43" s="11"/>
      <c r="E43" s="11"/>
      <c r="F43" s="11"/>
    </row>
    <row r="44" spans="1:9" x14ac:dyDescent="0.3">
      <c r="A44" s="11"/>
      <c r="B44" s="11"/>
      <c r="C44" s="11"/>
      <c r="D44" s="11"/>
      <c r="E44" s="11"/>
      <c r="F44" s="11"/>
    </row>
    <row r="45" spans="1:9" x14ac:dyDescent="0.3">
      <c r="A45" s="11"/>
      <c r="B45" s="11"/>
      <c r="C45" s="11"/>
      <c r="D45" s="11"/>
      <c r="E45" s="11"/>
      <c r="F45" s="11"/>
    </row>
    <row r="46" spans="1:9" x14ac:dyDescent="0.3">
      <c r="A46" s="11"/>
      <c r="B46" s="11"/>
      <c r="C46" s="11"/>
      <c r="D46" s="11"/>
      <c r="E46" s="11"/>
      <c r="F46" s="11"/>
    </row>
    <row r="47" spans="1:9" x14ac:dyDescent="0.3">
      <c r="A47" s="11"/>
      <c r="B47" s="11"/>
      <c r="C47" s="11"/>
      <c r="D47" s="11"/>
      <c r="E47" s="11"/>
      <c r="F47" s="11"/>
    </row>
    <row r="48" spans="1:9" x14ac:dyDescent="0.3">
      <c r="A48" s="11"/>
      <c r="B48" s="11"/>
      <c r="C48" s="11"/>
      <c r="D48" s="11"/>
      <c r="E48" s="11"/>
      <c r="F48" s="11"/>
    </row>
    <row r="49" spans="1:6" x14ac:dyDescent="0.3">
      <c r="A49" s="11"/>
      <c r="B49" s="11"/>
      <c r="C49" s="11"/>
      <c r="D49" s="11"/>
      <c r="E49" s="11"/>
      <c r="F49" s="11"/>
    </row>
    <row r="50" spans="1:6" x14ac:dyDescent="0.3">
      <c r="A50" s="13"/>
      <c r="B50" s="13"/>
      <c r="C50" s="13"/>
      <c r="D50" s="13"/>
      <c r="E50" s="13"/>
      <c r="F50" s="13"/>
    </row>
    <row r="51" spans="1:6" x14ac:dyDescent="0.3">
      <c r="A51" s="13"/>
      <c r="B51" s="13"/>
      <c r="C51" s="13"/>
      <c r="D51" s="13"/>
      <c r="E51" s="13"/>
      <c r="F51" s="13"/>
    </row>
    <row r="52" spans="1:6" x14ac:dyDescent="0.3">
      <c r="A52" s="13"/>
      <c r="B52" s="13"/>
      <c r="C52" s="13"/>
      <c r="D52" s="13"/>
      <c r="E52" s="13"/>
      <c r="F52" s="13"/>
    </row>
    <row r="53" spans="1:6" x14ac:dyDescent="0.3">
      <c r="A53" s="13"/>
      <c r="B53" s="13"/>
      <c r="C53" s="13"/>
      <c r="D53" s="13"/>
      <c r="E53" s="13"/>
      <c r="F53" s="13"/>
    </row>
    <row r="54" spans="1:6" x14ac:dyDescent="0.3">
      <c r="A54" s="13"/>
      <c r="B54" s="13"/>
      <c r="C54" s="13"/>
      <c r="D54" s="13"/>
      <c r="E54" s="13"/>
      <c r="F54" s="13"/>
    </row>
    <row r="55" spans="1:6" x14ac:dyDescent="0.3">
      <c r="A55" s="13"/>
      <c r="B55" s="13"/>
      <c r="C55" s="13"/>
      <c r="D55" s="13"/>
      <c r="E55" s="13"/>
      <c r="F55" s="13"/>
    </row>
    <row r="56" spans="1:6" x14ac:dyDescent="0.3">
      <c r="A56" s="13"/>
      <c r="B56" s="13"/>
      <c r="C56" s="13"/>
      <c r="D56" s="13"/>
      <c r="E56" s="13"/>
      <c r="F56" s="13"/>
    </row>
    <row r="57" spans="1:6" x14ac:dyDescent="0.3">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53125" defaultRowHeight="14" x14ac:dyDescent="0.3"/>
  <cols>
    <col min="1" max="1" width="9.453125" style="2"/>
    <col min="2" max="2" width="16" style="2" customWidth="1"/>
    <col min="3" max="3" width="11.453125" style="2" customWidth="1"/>
    <col min="4" max="4" width="11" style="2" customWidth="1"/>
    <col min="5" max="6" width="10.453125" style="2" customWidth="1"/>
    <col min="7" max="7" width="8" style="2" customWidth="1"/>
    <col min="8" max="8" width="11.453125" style="2" bestFit="1" customWidth="1"/>
    <col min="9" max="9" width="12.453125" style="2" bestFit="1" customWidth="1"/>
    <col min="10" max="10" width="9.453125" style="2" customWidth="1"/>
    <col min="11" max="11" width="7.453125" style="2" bestFit="1" customWidth="1"/>
    <col min="12" max="12" width="13.453125" style="2" customWidth="1"/>
    <col min="13" max="13" width="7.54296875" style="2" bestFit="1" customWidth="1"/>
    <col min="14" max="14" width="8.54296875" style="2" bestFit="1" customWidth="1"/>
    <col min="15" max="16384" width="9.453125" style="2"/>
  </cols>
  <sheetData>
    <row r="1" spans="1:15" ht="15" customHeight="1" x14ac:dyDescent="0.3">
      <c r="A1" s="66" t="s">
        <v>7</v>
      </c>
      <c r="B1" s="14" t="s">
        <v>8</v>
      </c>
      <c r="C1" s="68" t="s">
        <v>9</v>
      </c>
      <c r="D1" s="69"/>
      <c r="E1" s="69"/>
      <c r="F1" s="69"/>
      <c r="G1" s="69"/>
      <c r="H1" s="69"/>
      <c r="I1" s="69"/>
      <c r="J1" s="69"/>
      <c r="K1" s="69"/>
      <c r="L1" s="69"/>
      <c r="M1" s="69"/>
      <c r="N1" s="70"/>
    </row>
    <row r="2" spans="1:15" ht="65.900000000000006" customHeight="1" x14ac:dyDescent="0.3">
      <c r="A2" s="67"/>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3">
      <c r="A3" s="55">
        <v>-204.80351971825993</v>
      </c>
      <c r="B3" s="13">
        <v>45138</v>
      </c>
      <c r="C3" s="15">
        <v>-21.118483244089994</v>
      </c>
      <c r="D3" s="15">
        <v>-5.3321153192000015</v>
      </c>
      <c r="E3" s="15">
        <v>1.4653372999999998</v>
      </c>
      <c r="F3" s="15">
        <v>6.9847296000000059</v>
      </c>
      <c r="G3" s="15">
        <v>3.0625613893999999</v>
      </c>
      <c r="H3" s="15">
        <v>-17.884975279599999</v>
      </c>
      <c r="I3" s="15">
        <v>-8.9527599999999985E-2</v>
      </c>
      <c r="J3" s="15">
        <v>-3.322906113799998</v>
      </c>
      <c r="K3" s="15">
        <v>-76.682035150969995</v>
      </c>
      <c r="L3" s="15">
        <v>-22.334147299999998</v>
      </c>
      <c r="M3" s="15">
        <v>-69.2325479</v>
      </c>
      <c r="N3" s="15">
        <v>-0.31941010000000064</v>
      </c>
      <c r="O3" s="16"/>
    </row>
    <row r="4" spans="1:15" x14ac:dyDescent="0.3">
      <c r="A4" s="55">
        <v>140.09762439936006</v>
      </c>
      <c r="B4" s="17">
        <v>45145</v>
      </c>
      <c r="C4" s="18">
        <v>2.9188070659400034</v>
      </c>
      <c r="D4" s="18">
        <v>-5.1107610018000003</v>
      </c>
      <c r="E4" s="18">
        <v>1.2411536999999999</v>
      </c>
      <c r="F4" s="18">
        <v>149.48033730000003</v>
      </c>
      <c r="G4" s="18">
        <v>-1.7530234689999999</v>
      </c>
      <c r="H4" s="18">
        <v>42.787627658159998</v>
      </c>
      <c r="I4" s="18">
        <v>-1.5440600000000002E-2</v>
      </c>
      <c r="J4" s="18">
        <v>-1.6093414557999997</v>
      </c>
      <c r="K4" s="18">
        <v>-21.669603098140001</v>
      </c>
      <c r="L4" s="18">
        <v>-32.992355199999999</v>
      </c>
      <c r="M4" s="18">
        <v>7.3407589000000009</v>
      </c>
      <c r="N4" s="18">
        <v>-0.52053540000000031</v>
      </c>
      <c r="O4" s="16"/>
    </row>
    <row r="5" spans="1:15" x14ac:dyDescent="0.3">
      <c r="A5" s="55">
        <v>240.83292966281005</v>
      </c>
      <c r="B5" s="13">
        <v>45152</v>
      </c>
      <c r="C5" s="15">
        <v>12.038425483249998</v>
      </c>
      <c r="D5" s="15">
        <v>12.3889463763</v>
      </c>
      <c r="E5" s="15">
        <v>-6.8341304000000012</v>
      </c>
      <c r="F5" s="15">
        <v>280.96470879999998</v>
      </c>
      <c r="G5" s="15">
        <v>1.9033294329999999</v>
      </c>
      <c r="H5" s="15">
        <v>25.161703420329989</v>
      </c>
      <c r="I5" s="15">
        <v>-7.7335999999999919E-2</v>
      </c>
      <c r="J5" s="15">
        <v>1.6941424870999984</v>
      </c>
      <c r="K5" s="15">
        <v>-9.994611725169996</v>
      </c>
      <c r="L5" s="15">
        <v>-15.672619012000006</v>
      </c>
      <c r="M5" s="15">
        <v>-37.321566000000004</v>
      </c>
      <c r="N5" s="15">
        <v>-23.418063199999999</v>
      </c>
      <c r="O5" s="16"/>
    </row>
    <row r="6" spans="1:15" x14ac:dyDescent="0.3">
      <c r="A6" s="55">
        <v>147.90558565382</v>
      </c>
      <c r="B6" s="17">
        <v>45159</v>
      </c>
      <c r="C6" s="18">
        <v>0.65017836699000009</v>
      </c>
      <c r="D6" s="18">
        <v>10.157673602899999</v>
      </c>
      <c r="E6" s="18">
        <v>-0.28794029999999982</v>
      </c>
      <c r="F6" s="18">
        <v>152.13338429999996</v>
      </c>
      <c r="G6" s="18">
        <v>-2.5168708745999999</v>
      </c>
      <c r="H6" s="18">
        <v>44.346600171840009</v>
      </c>
      <c r="I6" s="18">
        <v>0.10583600000000001</v>
      </c>
      <c r="J6" s="18">
        <v>-10.917573227800002</v>
      </c>
      <c r="K6" s="18">
        <v>-11.36331378551</v>
      </c>
      <c r="L6" s="18">
        <v>-15.414607399999998</v>
      </c>
      <c r="M6" s="18">
        <v>-4.8409351000000003</v>
      </c>
      <c r="N6" s="18">
        <v>-14.146846099999999</v>
      </c>
      <c r="O6" s="16"/>
    </row>
    <row r="7" spans="1:15" x14ac:dyDescent="0.3">
      <c r="B7" s="13"/>
      <c r="C7" s="13"/>
      <c r="D7" s="13"/>
      <c r="E7" s="19"/>
      <c r="F7" s="19"/>
      <c r="G7" s="20"/>
      <c r="H7" s="20"/>
      <c r="I7" s="20"/>
      <c r="J7" s="20"/>
      <c r="K7" s="20"/>
      <c r="L7" s="20"/>
      <c r="M7" s="20"/>
      <c r="N7" s="20"/>
    </row>
    <row r="8" spans="1:15" ht="14.5" x14ac:dyDescent="0.35">
      <c r="B8" s="12" t="s">
        <v>5</v>
      </c>
      <c r="C8" s="12"/>
      <c r="D8" s="12"/>
    </row>
    <row r="9" spans="1:15" ht="14.5" x14ac:dyDescent="0.35">
      <c r="B9" s="12" t="s">
        <v>84</v>
      </c>
      <c r="C9" s="12"/>
      <c r="D9" s="12"/>
    </row>
    <row r="10" spans="1:15" ht="14.5" x14ac:dyDescent="0.35">
      <c r="B10" s="12" t="s">
        <v>6</v>
      </c>
      <c r="C10" s="12"/>
      <c r="D10" s="12"/>
    </row>
    <row r="11" spans="1:15" ht="14.5" x14ac:dyDescent="0.35">
      <c r="B11" s="12" t="s">
        <v>77</v>
      </c>
      <c r="C11" s="13"/>
      <c r="D11" s="13"/>
    </row>
    <row r="12" spans="1:15" ht="14.5" x14ac:dyDescent="0.35">
      <c r="B12"/>
      <c r="C12"/>
      <c r="D12"/>
      <c r="E12"/>
      <c r="F12"/>
      <c r="G12"/>
      <c r="H12" s="52"/>
      <c r="I12"/>
      <c r="J12" s="52"/>
      <c r="K12" s="52"/>
      <c r="L12" s="16"/>
    </row>
    <row r="13" spans="1:15" ht="14.5" x14ac:dyDescent="0.35">
      <c r="B13"/>
      <c r="C13"/>
      <c r="D13"/>
      <c r="E13"/>
      <c r="F13"/>
      <c r="G13"/>
      <c r="H13"/>
      <c r="I13"/>
      <c r="J13"/>
      <c r="K13"/>
      <c r="L13"/>
      <c r="M13"/>
      <c r="N13"/>
      <c r="O13"/>
    </row>
    <row r="14" spans="1:15" ht="14.5" x14ac:dyDescent="0.35">
      <c r="C14"/>
      <c r="D14"/>
      <c r="E14"/>
      <c r="F14"/>
      <c r="G14"/>
      <c r="H14"/>
      <c r="I14"/>
      <c r="J14"/>
      <c r="K14"/>
      <c r="L14"/>
      <c r="M14"/>
      <c r="N14"/>
    </row>
    <row r="15" spans="1:15" ht="14.5" x14ac:dyDescent="0.35">
      <c r="C15"/>
      <c r="D15"/>
      <c r="E15"/>
      <c r="F15"/>
      <c r="G15"/>
      <c r="H15"/>
      <c r="I15"/>
      <c r="J15"/>
      <c r="K15"/>
      <c r="L15"/>
      <c r="M15"/>
      <c r="N15"/>
      <c r="O15" s="52"/>
    </row>
    <row r="16" spans="1:15" ht="14.5" x14ac:dyDescent="0.35">
      <c r="C16"/>
      <c r="D16"/>
      <c r="E16"/>
      <c r="F16"/>
      <c r="G16"/>
      <c r="H16"/>
      <c r="I16"/>
      <c r="J16"/>
      <c r="K16"/>
      <c r="L16"/>
      <c r="M16"/>
      <c r="N16"/>
    </row>
    <row r="17" spans="3:14" ht="14.5" x14ac:dyDescent="0.35">
      <c r="C17" s="52"/>
      <c r="D17" s="52"/>
      <c r="E17" s="52"/>
      <c r="F17" s="52"/>
      <c r="G17" s="52"/>
      <c r="H17" s="52"/>
      <c r="I17" s="52"/>
      <c r="J17" s="52"/>
      <c r="K17" s="52"/>
      <c r="L17" s="52"/>
      <c r="M17" s="52"/>
      <c r="N17" s="52"/>
    </row>
    <row r="18" spans="3:14" ht="14.5" x14ac:dyDescent="0.35">
      <c r="C18"/>
      <c r="D18"/>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row r="24" spans="3:14" ht="14.5" x14ac:dyDescent="0.35">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53125" defaultRowHeight="14" x14ac:dyDescent="0.3"/>
  <cols>
    <col min="1" max="1" width="9.453125" style="2"/>
    <col min="2" max="2" width="15.81640625" style="2" customWidth="1"/>
    <col min="3" max="3" width="11.453125" style="2" bestFit="1" customWidth="1"/>
    <col min="4" max="4" width="11.54296875" style="2" bestFit="1" customWidth="1"/>
    <col min="5" max="6" width="10.54296875" style="2" bestFit="1" customWidth="1"/>
    <col min="7" max="7" width="8.453125" style="2" customWidth="1"/>
    <col min="8" max="8" width="11.54296875" style="2" bestFit="1" customWidth="1"/>
    <col min="9" max="9" width="12.54296875" style="2" bestFit="1" customWidth="1"/>
    <col min="10" max="10" width="8.54296875" style="2" customWidth="1"/>
    <col min="11" max="11" width="8.453125" style="2" bestFit="1" customWidth="1"/>
    <col min="12" max="12" width="12.54296875" style="2" customWidth="1"/>
    <col min="13" max="13" width="8.453125" style="2" bestFit="1" customWidth="1"/>
    <col min="14" max="14" width="8.54296875" style="2" bestFit="1" customWidth="1"/>
    <col min="15" max="16384" width="9.453125" style="2"/>
  </cols>
  <sheetData>
    <row r="1" spans="1:18" ht="21" customHeight="1" x14ac:dyDescent="0.3">
      <c r="A1" s="66" t="s">
        <v>7</v>
      </c>
      <c r="B1" s="14" t="s">
        <v>8</v>
      </c>
      <c r="C1" s="68" t="s">
        <v>9</v>
      </c>
      <c r="D1" s="69"/>
      <c r="E1" s="69"/>
      <c r="F1" s="69"/>
      <c r="G1" s="69"/>
      <c r="H1" s="69"/>
      <c r="I1" s="69"/>
      <c r="J1" s="69"/>
      <c r="K1" s="69"/>
      <c r="L1" s="69"/>
      <c r="M1" s="69"/>
      <c r="N1" s="70"/>
    </row>
    <row r="2" spans="1:18" ht="56" x14ac:dyDescent="0.3">
      <c r="A2" s="67"/>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3">
      <c r="A3" s="55">
        <v>131.52253203907998</v>
      </c>
      <c r="B3" s="13">
        <v>45138</v>
      </c>
      <c r="C3" s="15">
        <v>22.738540748819997</v>
      </c>
      <c r="D3" s="15">
        <v>8.2711306969000002</v>
      </c>
      <c r="E3" s="15">
        <v>-1.0568925</v>
      </c>
      <c r="F3" s="15">
        <v>-56.629668500000001</v>
      </c>
      <c r="G3" s="15">
        <v>-2.4718924462000005</v>
      </c>
      <c r="H3" s="15">
        <v>43.158527055429985</v>
      </c>
      <c r="I3" s="15">
        <v>0.25895489999999993</v>
      </c>
      <c r="J3" s="15">
        <v>-2.5527610192999997</v>
      </c>
      <c r="K3" s="15">
        <v>54.27569790343</v>
      </c>
      <c r="L3" s="15">
        <v>21.124208899999999</v>
      </c>
      <c r="M3" s="15">
        <v>54.049045700000008</v>
      </c>
      <c r="N3" s="15">
        <v>-9.6423594000000001</v>
      </c>
      <c r="O3" s="16"/>
    </row>
    <row r="4" spans="1:18" x14ac:dyDescent="0.3">
      <c r="A4" s="55">
        <v>-20.590224478850011</v>
      </c>
      <c r="B4" s="17">
        <v>45145</v>
      </c>
      <c r="C4" s="18">
        <v>-9.1573853984900015</v>
      </c>
      <c r="D4" s="18">
        <v>7.9284845241000008</v>
      </c>
      <c r="E4" s="18">
        <v>-1.7103661999999999</v>
      </c>
      <c r="F4" s="18">
        <v>-40.845655499999999</v>
      </c>
      <c r="G4" s="18">
        <v>2.3287246124999998</v>
      </c>
      <c r="H4" s="18">
        <v>-54.609837557649996</v>
      </c>
      <c r="I4" s="18">
        <v>-0.23555520000000021</v>
      </c>
      <c r="J4" s="18">
        <v>15.269877142100002</v>
      </c>
      <c r="K4" s="18">
        <v>40.114985898589993</v>
      </c>
      <c r="L4" s="18">
        <v>42.392905199999994</v>
      </c>
      <c r="M4" s="18">
        <v>2.7041176</v>
      </c>
      <c r="N4" s="18">
        <v>-24.770519599999997</v>
      </c>
      <c r="O4" s="16"/>
    </row>
    <row r="5" spans="1:18" x14ac:dyDescent="0.3">
      <c r="A5" s="55">
        <v>350.8991239079599</v>
      </c>
      <c r="B5" s="13">
        <v>45152</v>
      </c>
      <c r="C5" s="15">
        <v>13.851474095059995</v>
      </c>
      <c r="D5" s="15">
        <v>12.057675195500003</v>
      </c>
      <c r="E5" s="15">
        <v>8.4728357999999986</v>
      </c>
      <c r="F5" s="15">
        <v>90.433184199999985</v>
      </c>
      <c r="G5" s="15">
        <v>-1.3584992435000001</v>
      </c>
      <c r="H5" s="15">
        <v>55.857251286779992</v>
      </c>
      <c r="I5" s="15">
        <v>0.20029639999999996</v>
      </c>
      <c r="J5" s="15">
        <v>23.341709947499993</v>
      </c>
      <c r="K5" s="15">
        <v>58.920605750619984</v>
      </c>
      <c r="L5" s="15">
        <v>-2.0155676240000027</v>
      </c>
      <c r="M5" s="15">
        <v>62.025764499999994</v>
      </c>
      <c r="N5" s="15">
        <v>29.112393600000001</v>
      </c>
      <c r="O5" s="16"/>
    </row>
    <row r="6" spans="1:18" x14ac:dyDescent="0.3">
      <c r="A6" s="55">
        <v>157.48854018213999</v>
      </c>
      <c r="B6" s="17">
        <v>45159</v>
      </c>
      <c r="C6" s="18">
        <v>13.05371015617</v>
      </c>
      <c r="D6" s="18">
        <v>0.41203223900000063</v>
      </c>
      <c r="E6" s="18">
        <v>0.33294520000000027</v>
      </c>
      <c r="F6" s="18">
        <v>49.763994199999999</v>
      </c>
      <c r="G6" s="18">
        <v>2.9057344973000001</v>
      </c>
      <c r="H6" s="18">
        <v>-2.4317016773199853</v>
      </c>
      <c r="I6" s="18">
        <v>-0.37281069999999994</v>
      </c>
      <c r="J6" s="18">
        <v>17.467911172199997</v>
      </c>
      <c r="K6" s="18">
        <v>38.108691357790001</v>
      </c>
      <c r="L6" s="18">
        <v>-3.0238108629999996</v>
      </c>
      <c r="M6" s="18">
        <v>34.163293400000001</v>
      </c>
      <c r="N6" s="18">
        <v>7.1085512</v>
      </c>
      <c r="O6" s="16"/>
    </row>
    <row r="7" spans="1:18" x14ac:dyDescent="0.3">
      <c r="P7" s="16"/>
    </row>
    <row r="8" spans="1:18" ht="14.5" x14ac:dyDescent="0.35">
      <c r="B8" s="12" t="s">
        <v>5</v>
      </c>
      <c r="C8" s="12"/>
      <c r="D8" s="12"/>
    </row>
    <row r="9" spans="1:18" ht="14.5" x14ac:dyDescent="0.35">
      <c r="B9" s="12" t="s">
        <v>86</v>
      </c>
      <c r="C9" s="12"/>
      <c r="D9" s="12"/>
    </row>
    <row r="10" spans="1:18" ht="14.5" x14ac:dyDescent="0.35">
      <c r="B10" s="12" t="s">
        <v>6</v>
      </c>
      <c r="C10" s="12"/>
      <c r="D10" s="12"/>
    </row>
    <row r="11" spans="1:18" ht="14.5" x14ac:dyDescent="0.35">
      <c r="B11" s="12" t="s">
        <v>77</v>
      </c>
      <c r="C11" s="13"/>
      <c r="D11" s="13"/>
    </row>
    <row r="12" spans="1:18" ht="14.5" x14ac:dyDescent="0.35">
      <c r="C12"/>
      <c r="D12"/>
      <c r="E12"/>
      <c r="F12"/>
      <c r="G12"/>
      <c r="H12"/>
      <c r="I12"/>
      <c r="J12"/>
      <c r="K12"/>
      <c r="L12"/>
      <c r="M12"/>
      <c r="N12"/>
    </row>
    <row r="13" spans="1:18" ht="14.5" x14ac:dyDescent="0.35">
      <c r="B13"/>
      <c r="C13"/>
      <c r="D13"/>
      <c r="E13"/>
      <c r="F13"/>
      <c r="G13"/>
      <c r="H13"/>
      <c r="I13"/>
      <c r="J13"/>
      <c r="K13"/>
      <c r="L13"/>
      <c r="M13"/>
      <c r="N13"/>
    </row>
    <row r="14" spans="1:18" ht="14.5" x14ac:dyDescent="0.35">
      <c r="B14"/>
      <c r="C14"/>
      <c r="D14"/>
      <c r="E14"/>
      <c r="F14"/>
      <c r="G14"/>
      <c r="H14"/>
      <c r="I14"/>
      <c r="J14"/>
      <c r="K14"/>
      <c r="L14"/>
      <c r="M14"/>
      <c r="N14"/>
      <c r="O14" s="52"/>
      <c r="P14"/>
      <c r="Q14"/>
      <c r="R14"/>
    </row>
    <row r="15" spans="1:18" ht="14.5" x14ac:dyDescent="0.35">
      <c r="B15"/>
      <c r="C15"/>
      <c r="D15"/>
      <c r="E15"/>
      <c r="F15"/>
      <c r="G15"/>
      <c r="H15"/>
      <c r="I15"/>
      <c r="J15"/>
      <c r="K15"/>
      <c r="L15"/>
      <c r="M15"/>
      <c r="N15"/>
      <c r="O15"/>
      <c r="P15"/>
      <c r="Q15"/>
      <c r="R15"/>
    </row>
    <row r="16" spans="1:18" ht="14.5" x14ac:dyDescent="0.35">
      <c r="C16" s="52"/>
      <c r="D16" s="52"/>
      <c r="E16" s="52"/>
      <c r="F16" s="52"/>
      <c r="G16" s="52"/>
      <c r="H16" s="52"/>
      <c r="I16" s="52"/>
      <c r="J16" s="52"/>
      <c r="K16" s="52"/>
      <c r="L16" s="52"/>
      <c r="M16" s="52"/>
      <c r="N16" s="52"/>
      <c r="O16"/>
    </row>
    <row r="17" spans="3:14" ht="14.5" x14ac:dyDescent="0.35">
      <c r="C17" s="52"/>
      <c r="D17" s="52"/>
      <c r="E17" s="52"/>
      <c r="F17" s="52"/>
      <c r="G17" s="52"/>
      <c r="H17" s="52"/>
      <c r="I17" s="52"/>
      <c r="J17" s="52"/>
      <c r="K17" s="52"/>
      <c r="L17" s="52"/>
      <c r="M17" s="52"/>
      <c r="N17" s="52"/>
    </row>
    <row r="18" spans="3:14" ht="14.5" x14ac:dyDescent="0.35">
      <c r="C18"/>
      <c r="D18"/>
      <c r="E18"/>
      <c r="F18"/>
      <c r="G18"/>
      <c r="H18"/>
      <c r="I18"/>
      <c r="J18"/>
      <c r="K18"/>
      <c r="L18"/>
      <c r="M18"/>
      <c r="N18"/>
    </row>
    <row r="19" spans="3:14" ht="14.5" x14ac:dyDescent="0.35">
      <c r="C19" s="52"/>
      <c r="D19" s="52"/>
      <c r="E19" s="52"/>
      <c r="F19" s="52"/>
      <c r="G19" s="52"/>
      <c r="H19" s="52"/>
      <c r="I19" s="52"/>
      <c r="J19" s="52"/>
      <c r="K19" s="52"/>
      <c r="L19" s="52"/>
      <c r="M19" s="52"/>
      <c r="N19" s="52"/>
    </row>
    <row r="20" spans="3:14" ht="14.5" x14ac:dyDescent="0.35">
      <c r="C20"/>
      <c r="D20"/>
    </row>
    <row r="21" spans="3:14" ht="14.5" x14ac:dyDescent="0.35">
      <c r="C21"/>
      <c r="D21"/>
    </row>
    <row r="22" spans="3:14" ht="14.5" x14ac:dyDescent="0.35">
      <c r="C22"/>
      <c r="D22"/>
    </row>
    <row r="23" spans="3:14" ht="14.5" x14ac:dyDescent="0.35">
      <c r="C23"/>
      <c r="D23"/>
    </row>
    <row r="24" spans="3:14" ht="14.5" x14ac:dyDescent="0.35">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81640625" customWidth="1"/>
  </cols>
  <sheetData>
    <row r="1" spans="1:8" ht="56" x14ac:dyDescent="0.35">
      <c r="A1" s="38" t="str">
        <f>CONCATENATE("STI Constituents - ",'Weekly Top 10'!$C$5)</f>
        <v>STI Constituents - Week of 21 August 2023</v>
      </c>
      <c r="B1" s="21" t="s">
        <v>1</v>
      </c>
      <c r="C1" s="22" t="s">
        <v>75</v>
      </c>
      <c r="D1" s="22" t="s">
        <v>76</v>
      </c>
    </row>
    <row r="2" spans="1:8" x14ac:dyDescent="0.35">
      <c r="A2" s="23" t="s">
        <v>92</v>
      </c>
      <c r="B2" s="24" t="s">
        <v>26</v>
      </c>
      <c r="C2" s="25">
        <v>11.481436</v>
      </c>
      <c r="D2" s="25">
        <v>0.85658199999999995</v>
      </c>
      <c r="E2" s="46"/>
      <c r="F2" s="50"/>
      <c r="H2" s="51"/>
    </row>
    <row r="3" spans="1:8" x14ac:dyDescent="0.35">
      <c r="A3" s="26" t="s">
        <v>81</v>
      </c>
      <c r="B3" s="27" t="s">
        <v>58</v>
      </c>
      <c r="C3" s="9">
        <v>-1.5607139999999999</v>
      </c>
      <c r="D3" s="9">
        <v>6.6766399999999999</v>
      </c>
      <c r="E3" s="46"/>
      <c r="F3" s="50"/>
      <c r="H3" s="51"/>
    </row>
    <row r="4" spans="1:8" x14ac:dyDescent="0.35">
      <c r="A4" s="6" t="s">
        <v>88</v>
      </c>
      <c r="B4" s="8" t="s">
        <v>87</v>
      </c>
      <c r="C4" s="7">
        <v>2.1442359999999998</v>
      </c>
      <c r="D4" s="7">
        <v>5.347664</v>
      </c>
      <c r="E4" s="46"/>
      <c r="F4" s="50"/>
      <c r="H4" s="51"/>
    </row>
    <row r="5" spans="1:8" x14ac:dyDescent="0.35">
      <c r="A5" s="26" t="s">
        <v>65</v>
      </c>
      <c r="B5" s="27" t="s">
        <v>56</v>
      </c>
      <c r="C5" s="9">
        <v>-4.2861500000000001</v>
      </c>
      <c r="D5" s="9">
        <v>6.8900069999999998</v>
      </c>
      <c r="E5" s="46"/>
      <c r="F5" s="50"/>
      <c r="H5" s="51"/>
    </row>
    <row r="6" spans="1:8" x14ac:dyDescent="0.35">
      <c r="A6" s="6" t="s">
        <v>89</v>
      </c>
      <c r="B6" s="8" t="s">
        <v>59</v>
      </c>
      <c r="C6" s="7">
        <v>-1.8251147970999999</v>
      </c>
      <c r="D6" s="7">
        <v>1.4293757389999999</v>
      </c>
      <c r="E6" s="46"/>
      <c r="F6" s="50"/>
      <c r="H6" s="51"/>
    </row>
    <row r="7" spans="1:8" x14ac:dyDescent="0.35">
      <c r="A7" s="26" t="s">
        <v>27</v>
      </c>
      <c r="B7" s="27" t="s">
        <v>22</v>
      </c>
      <c r="C7" s="9">
        <v>70.941641000000004</v>
      </c>
      <c r="D7" s="9">
        <v>7.6460990000000004</v>
      </c>
      <c r="E7" s="46"/>
      <c r="F7" s="50"/>
      <c r="H7" s="51"/>
    </row>
    <row r="8" spans="1:8" x14ac:dyDescent="0.35">
      <c r="A8" s="6" t="s">
        <v>90</v>
      </c>
      <c r="B8" s="8" t="s">
        <v>91</v>
      </c>
      <c r="C8" s="54">
        <v>-1.0711904999999999</v>
      </c>
      <c r="D8" s="54">
        <v>1.1444110000000001</v>
      </c>
      <c r="E8" s="46"/>
      <c r="F8" s="50"/>
      <c r="H8" s="51"/>
    </row>
    <row r="9" spans="1:8" x14ac:dyDescent="0.35">
      <c r="A9" s="26" t="s">
        <v>83</v>
      </c>
      <c r="B9" s="27" t="s">
        <v>82</v>
      </c>
      <c r="C9" s="9">
        <v>-2.4496090000000001</v>
      </c>
      <c r="D9" s="9">
        <v>2.519279</v>
      </c>
      <c r="E9" s="46"/>
      <c r="F9" s="50"/>
      <c r="H9" s="51"/>
    </row>
    <row r="10" spans="1:8" x14ac:dyDescent="0.35">
      <c r="A10" s="6" t="s">
        <v>38</v>
      </c>
      <c r="B10" s="8" t="s">
        <v>37</v>
      </c>
      <c r="C10" s="7">
        <v>-2.3474330000000001</v>
      </c>
      <c r="D10" s="7">
        <v>12.2244335</v>
      </c>
      <c r="E10" s="46"/>
      <c r="F10" s="50"/>
      <c r="H10" s="51"/>
    </row>
    <row r="11" spans="1:8" x14ac:dyDescent="0.35">
      <c r="A11" s="26" t="s">
        <v>66</v>
      </c>
      <c r="B11" s="27" t="s">
        <v>57</v>
      </c>
      <c r="C11" s="9">
        <v>0.1705002721999993</v>
      </c>
      <c r="D11" s="9">
        <v>0.85901697220000006</v>
      </c>
      <c r="E11" s="46"/>
      <c r="F11" s="50"/>
      <c r="H11" s="51"/>
    </row>
    <row r="12" spans="1:8" x14ac:dyDescent="0.35">
      <c r="A12" s="6" t="s">
        <v>52</v>
      </c>
      <c r="B12" s="8" t="s">
        <v>50</v>
      </c>
      <c r="C12" s="7">
        <v>3.1737000000000002</v>
      </c>
      <c r="D12" s="7">
        <v>0.85848400000000002</v>
      </c>
      <c r="E12" s="46"/>
      <c r="F12" s="50"/>
      <c r="H12" s="51"/>
    </row>
    <row r="13" spans="1:8" x14ac:dyDescent="0.35">
      <c r="A13" s="26" t="s">
        <v>64</v>
      </c>
      <c r="B13" s="27" t="s">
        <v>54</v>
      </c>
      <c r="C13" s="9">
        <v>5.0420550951999994</v>
      </c>
      <c r="D13" s="9">
        <v>-1.9248420111</v>
      </c>
      <c r="E13" s="46"/>
      <c r="F13" s="50"/>
      <c r="H13" s="51"/>
    </row>
    <row r="14" spans="1:8" x14ac:dyDescent="0.35">
      <c r="A14" s="6" t="s">
        <v>35</v>
      </c>
      <c r="B14" s="8" t="s">
        <v>33</v>
      </c>
      <c r="C14" s="7">
        <v>-2.35575</v>
      </c>
      <c r="D14" s="7">
        <v>8.3762159999999994</v>
      </c>
      <c r="E14" s="46"/>
      <c r="F14" s="50"/>
      <c r="H14" s="51"/>
    </row>
    <row r="15" spans="1:8" x14ac:dyDescent="0.35">
      <c r="A15" s="26" t="s">
        <v>262</v>
      </c>
      <c r="B15" s="27" t="s">
        <v>60</v>
      </c>
      <c r="C15" s="9">
        <v>1.8289569999999999</v>
      </c>
      <c r="D15" s="9">
        <v>3.3203930000000001</v>
      </c>
      <c r="E15" s="46"/>
      <c r="F15" s="50"/>
      <c r="H15" s="51"/>
    </row>
    <row r="16" spans="1:8" x14ac:dyDescent="0.35">
      <c r="A16" s="6" t="s">
        <v>79</v>
      </c>
      <c r="B16" s="8" t="s">
        <v>78</v>
      </c>
      <c r="C16" s="7">
        <v>-3.4281239999999999</v>
      </c>
      <c r="D16" s="7">
        <v>2.4298600000000001</v>
      </c>
      <c r="E16" s="46"/>
      <c r="F16" s="50"/>
      <c r="H16" s="51"/>
    </row>
    <row r="17" spans="1:8" x14ac:dyDescent="0.35">
      <c r="A17" s="26" t="s">
        <v>42</v>
      </c>
      <c r="B17" s="27" t="s">
        <v>40</v>
      </c>
      <c r="C17" s="9">
        <v>6.8662109999999998</v>
      </c>
      <c r="D17" s="9">
        <v>1.57782</v>
      </c>
      <c r="E17" s="46"/>
      <c r="F17" s="50"/>
      <c r="H17" s="51"/>
    </row>
    <row r="18" spans="1:8" x14ac:dyDescent="0.35">
      <c r="A18" s="6" t="s">
        <v>28</v>
      </c>
      <c r="B18" s="8" t="s">
        <v>23</v>
      </c>
      <c r="C18" s="7">
        <v>34.244771</v>
      </c>
      <c r="D18" s="7">
        <v>19.655460999999999</v>
      </c>
      <c r="E18" s="46"/>
      <c r="F18" s="50"/>
      <c r="H18" s="51"/>
    </row>
    <row r="19" spans="1:8" x14ac:dyDescent="0.35">
      <c r="A19" s="26" t="s">
        <v>36</v>
      </c>
      <c r="B19" s="27" t="s">
        <v>31</v>
      </c>
      <c r="C19" s="9">
        <v>-5.2593690000000004</v>
      </c>
      <c r="D19" s="9">
        <v>5.7955670000000001</v>
      </c>
      <c r="E19" s="46"/>
      <c r="F19" s="50"/>
      <c r="H19" s="51"/>
    </row>
    <row r="20" spans="1:8" x14ac:dyDescent="0.35">
      <c r="A20" s="6" t="s">
        <v>257</v>
      </c>
      <c r="B20" s="8" t="s">
        <v>93</v>
      </c>
      <c r="C20" s="7">
        <v>44.397902600000009</v>
      </c>
      <c r="D20" s="7">
        <v>-27.77174389999999</v>
      </c>
      <c r="E20" s="46"/>
      <c r="F20" s="50"/>
      <c r="H20" s="51"/>
    </row>
    <row r="21" spans="1:8" x14ac:dyDescent="0.35">
      <c r="A21" s="26" t="s">
        <v>47</v>
      </c>
      <c r="B21" s="27" t="s">
        <v>44</v>
      </c>
      <c r="C21" s="9">
        <v>-11.216229</v>
      </c>
      <c r="D21" s="9">
        <v>5.869656</v>
      </c>
      <c r="E21" s="46"/>
      <c r="F21" s="50"/>
      <c r="H21" s="51"/>
    </row>
    <row r="22" spans="1:8" x14ac:dyDescent="0.35">
      <c r="A22" s="6" t="s">
        <v>30</v>
      </c>
      <c r="B22" s="8" t="s">
        <v>25</v>
      </c>
      <c r="C22" s="7">
        <v>7.8641620000000003</v>
      </c>
      <c r="D22" s="7">
        <v>4.4196749999999998</v>
      </c>
      <c r="E22" s="46"/>
      <c r="F22" s="50"/>
      <c r="H22" s="51"/>
    </row>
    <row r="23" spans="1:8" x14ac:dyDescent="0.35">
      <c r="A23" s="26" t="s">
        <v>34</v>
      </c>
      <c r="B23" s="27" t="s">
        <v>32</v>
      </c>
      <c r="C23" s="9">
        <v>-15.992108</v>
      </c>
      <c r="D23" s="9">
        <v>27.324221000000001</v>
      </c>
      <c r="E23" s="46"/>
      <c r="F23" s="50"/>
      <c r="H23" s="51"/>
    </row>
    <row r="24" spans="1:8" x14ac:dyDescent="0.35">
      <c r="A24" s="6" t="s">
        <v>51</v>
      </c>
      <c r="B24" s="8" t="s">
        <v>49</v>
      </c>
      <c r="C24" s="7">
        <v>-4.6031504999999999</v>
      </c>
      <c r="D24" s="7">
        <v>34.240154500000003</v>
      </c>
      <c r="E24" s="46"/>
      <c r="F24" s="50"/>
      <c r="H24" s="51"/>
    </row>
    <row r="25" spans="1:8" x14ac:dyDescent="0.35">
      <c r="A25" s="26" t="s">
        <v>41</v>
      </c>
      <c r="B25" s="27" t="s">
        <v>39</v>
      </c>
      <c r="C25" s="9">
        <v>13.988393</v>
      </c>
      <c r="D25" s="9">
        <v>-4.3482919999999998</v>
      </c>
      <c r="E25" s="46"/>
      <c r="F25" s="50"/>
      <c r="H25" s="51"/>
    </row>
    <row r="26" spans="1:8" x14ac:dyDescent="0.35">
      <c r="A26" s="6" t="s">
        <v>62</v>
      </c>
      <c r="B26" s="8" t="s">
        <v>53</v>
      </c>
      <c r="C26" s="7">
        <v>-1.1201995</v>
      </c>
      <c r="D26" s="7">
        <v>2.7667815</v>
      </c>
      <c r="E26" s="46"/>
      <c r="F26" s="50"/>
      <c r="H26" s="51"/>
    </row>
    <row r="27" spans="1:8" x14ac:dyDescent="0.35">
      <c r="A27" s="26" t="s">
        <v>29</v>
      </c>
      <c r="B27" s="27" t="s">
        <v>24</v>
      </c>
      <c r="C27" s="9">
        <v>34.759965000000001</v>
      </c>
      <c r="D27" s="9">
        <v>13.558731999999999</v>
      </c>
      <c r="E27" s="46"/>
      <c r="F27" s="50"/>
      <c r="H27" s="51"/>
    </row>
    <row r="28" spans="1:8" x14ac:dyDescent="0.35">
      <c r="A28" s="6" t="s">
        <v>67</v>
      </c>
      <c r="B28" s="8" t="s">
        <v>61</v>
      </c>
      <c r="C28" s="7">
        <v>-4.0605640000000003</v>
      </c>
      <c r="D28" s="7">
        <v>6.8274509999999999</v>
      </c>
      <c r="E28" s="46"/>
      <c r="F28" s="50"/>
      <c r="H28" s="51"/>
    </row>
    <row r="29" spans="1:8" x14ac:dyDescent="0.35">
      <c r="A29" s="26" t="s">
        <v>48</v>
      </c>
      <c r="B29" s="27" t="s">
        <v>45</v>
      </c>
      <c r="C29" s="9">
        <v>-26.509004999999998</v>
      </c>
      <c r="D29" s="9">
        <v>11.933408999999999</v>
      </c>
      <c r="E29" s="46"/>
      <c r="F29" s="50"/>
      <c r="H29" s="51"/>
    </row>
    <row r="30" spans="1:8" x14ac:dyDescent="0.35">
      <c r="A30" s="6" t="s">
        <v>46</v>
      </c>
      <c r="B30" s="8" t="s">
        <v>43</v>
      </c>
      <c r="C30" s="7">
        <v>17.149044</v>
      </c>
      <c r="D30" s="7">
        <v>-6.7341369999999996</v>
      </c>
      <c r="E30" s="46"/>
      <c r="F30" s="50"/>
      <c r="H30" s="51"/>
    </row>
    <row r="31" spans="1:8" ht="15" thickBot="1" x14ac:dyDescent="0.4">
      <c r="A31" s="26" t="s">
        <v>63</v>
      </c>
      <c r="B31" s="27" t="s">
        <v>55</v>
      </c>
      <c r="C31" s="9">
        <v>2.4952369999999999</v>
      </c>
      <c r="D31" s="9">
        <v>-9.5995530000000002</v>
      </c>
      <c r="E31" s="46"/>
      <c r="F31" s="50"/>
      <c r="H31" s="51"/>
    </row>
    <row r="32" spans="1:8" ht="21" customHeight="1" thickBot="1" x14ac:dyDescent="0.4">
      <c r="A32" s="71" t="s">
        <v>68</v>
      </c>
      <c r="B32" s="72"/>
      <c r="C32" s="28">
        <f>SUM(C2:C31)</f>
        <v>168.46350067029999</v>
      </c>
      <c r="D32" s="28">
        <f>SUM(D2:D31)</f>
        <v>144.16882130010003</v>
      </c>
    </row>
    <row r="34" spans="1:7" x14ac:dyDescent="0.35">
      <c r="A34" s="12" t="s">
        <v>69</v>
      </c>
      <c r="B34" s="64"/>
      <c r="C34" s="64"/>
      <c r="D34" s="64"/>
      <c r="E34" s="64"/>
      <c r="F34" s="64"/>
      <c r="G34" s="64"/>
    </row>
    <row r="35" spans="1:7" x14ac:dyDescent="0.35">
      <c r="A35" s="12" t="s">
        <v>84</v>
      </c>
    </row>
    <row r="36" spans="1:7" x14ac:dyDescent="0.35">
      <c r="A36" s="12" t="s">
        <v>85</v>
      </c>
    </row>
    <row r="37" spans="1:7" x14ac:dyDescent="0.35">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5" x14ac:dyDescent="0.35"/>
  <cols>
    <col min="1" max="1" width="51.81640625" customWidth="1"/>
    <col min="2" max="2" width="8.54296875" customWidth="1"/>
    <col min="3" max="3" width="14.54296875" customWidth="1"/>
    <col min="4" max="4" width="17.453125" customWidth="1"/>
    <col min="5" max="5" width="22.54296875" customWidth="1"/>
    <col min="6" max="6" width="31.54296875" bestFit="1" customWidth="1"/>
    <col min="7" max="7" width="16.1796875" bestFit="1" customWidth="1"/>
    <col min="8" max="8" width="12.54296875" bestFit="1" customWidth="1"/>
  </cols>
  <sheetData>
    <row r="1" spans="1:10" ht="42" x14ac:dyDescent="0.35">
      <c r="A1" s="38" t="str">
        <f>CONCATENATE("100 Most Traded Stocks YTD - ",'Weekly Top 10'!$C$5)</f>
        <v>100 Most Traded Stocks YTD - Week of 21 August 2023</v>
      </c>
      <c r="B1" s="21" t="s">
        <v>1</v>
      </c>
      <c r="C1" s="61" t="s">
        <v>105</v>
      </c>
      <c r="D1" s="22" t="s">
        <v>104</v>
      </c>
      <c r="E1" s="22" t="s">
        <v>106</v>
      </c>
      <c r="F1" s="22" t="s">
        <v>107</v>
      </c>
      <c r="H1" s="50"/>
    </row>
    <row r="2" spans="1:10" x14ac:dyDescent="0.35">
      <c r="A2" s="23" t="s">
        <v>27</v>
      </c>
      <c r="B2" s="24" t="s">
        <v>22</v>
      </c>
      <c r="C2" s="25">
        <v>130.7055870652469</v>
      </c>
      <c r="D2" s="25">
        <v>-996.12534900000003</v>
      </c>
      <c r="E2" s="25">
        <v>70.941641000000004</v>
      </c>
      <c r="F2" s="25" t="s">
        <v>14</v>
      </c>
      <c r="H2" s="51"/>
      <c r="J2" s="51"/>
    </row>
    <row r="3" spans="1:10" x14ac:dyDescent="0.35">
      <c r="A3" s="26" t="s">
        <v>29</v>
      </c>
      <c r="B3" s="27" t="s">
        <v>24</v>
      </c>
      <c r="C3" s="9">
        <v>86.893810271512351</v>
      </c>
      <c r="D3" s="9">
        <v>-656.37052700000004</v>
      </c>
      <c r="E3" s="9">
        <v>34.759965000000001</v>
      </c>
      <c r="F3" s="9" t="s">
        <v>14</v>
      </c>
      <c r="H3" s="51"/>
      <c r="J3" s="51"/>
    </row>
    <row r="4" spans="1:10" x14ac:dyDescent="0.35">
      <c r="A4" s="6" t="s">
        <v>254</v>
      </c>
      <c r="B4" s="8" t="s">
        <v>23</v>
      </c>
      <c r="C4" s="7">
        <v>62.902636050864196</v>
      </c>
      <c r="D4" s="7">
        <v>-20.906427999999998</v>
      </c>
      <c r="E4" s="7">
        <v>34.244771</v>
      </c>
      <c r="F4" s="7" t="s">
        <v>14</v>
      </c>
      <c r="H4" s="51"/>
      <c r="J4" s="51"/>
    </row>
    <row r="5" spans="1:10" x14ac:dyDescent="0.35">
      <c r="A5" s="26" t="s">
        <v>51</v>
      </c>
      <c r="B5" s="27" t="s">
        <v>49</v>
      </c>
      <c r="C5" s="9">
        <v>51.174124331296291</v>
      </c>
      <c r="D5" s="9">
        <v>-266.47737089999998</v>
      </c>
      <c r="E5" s="9">
        <v>-4.603150499999999</v>
      </c>
      <c r="F5" s="9" t="s">
        <v>247</v>
      </c>
      <c r="H5" s="51"/>
      <c r="J5" s="51"/>
    </row>
    <row r="6" spans="1:10" x14ac:dyDescent="0.35">
      <c r="A6" s="6" t="s">
        <v>34</v>
      </c>
      <c r="B6" s="8" t="s">
        <v>32</v>
      </c>
      <c r="C6" s="7">
        <v>47.83480577098765</v>
      </c>
      <c r="D6" s="7">
        <v>51.945880000000002</v>
      </c>
      <c r="E6" s="7">
        <v>-15.992108</v>
      </c>
      <c r="F6" s="7" t="s">
        <v>15</v>
      </c>
      <c r="H6" s="51"/>
      <c r="J6" s="51"/>
    </row>
    <row r="7" spans="1:10" x14ac:dyDescent="0.35">
      <c r="A7" s="26" t="s">
        <v>257</v>
      </c>
      <c r="B7" s="27" t="s">
        <v>93</v>
      </c>
      <c r="C7" s="9">
        <v>43.129855901296303</v>
      </c>
      <c r="D7" s="9">
        <v>194.8539634</v>
      </c>
      <c r="E7" s="9">
        <v>44.397902600000002</v>
      </c>
      <c r="F7" s="9" t="s">
        <v>15</v>
      </c>
      <c r="H7" s="51"/>
      <c r="J7" s="51"/>
    </row>
    <row r="8" spans="1:10" x14ac:dyDescent="0.35">
      <c r="A8" s="6" t="s">
        <v>164</v>
      </c>
      <c r="B8" s="8" t="s">
        <v>58</v>
      </c>
      <c r="C8" s="7">
        <v>35.734874051481491</v>
      </c>
      <c r="D8" s="7">
        <v>-86.855574000000004</v>
      </c>
      <c r="E8" s="7">
        <v>-1.5607139999999999</v>
      </c>
      <c r="F8" s="54" t="s">
        <v>18</v>
      </c>
      <c r="H8" s="51"/>
      <c r="J8" s="51"/>
    </row>
    <row r="9" spans="1:10" x14ac:dyDescent="0.35">
      <c r="A9" s="26" t="s">
        <v>165</v>
      </c>
      <c r="B9" s="27" t="s">
        <v>55</v>
      </c>
      <c r="C9" s="9">
        <v>34.179429864641975</v>
      </c>
      <c r="D9" s="9">
        <v>34.744309000000001</v>
      </c>
      <c r="E9" s="9">
        <v>2.4952369999999999</v>
      </c>
      <c r="F9" s="9" t="s">
        <v>15</v>
      </c>
      <c r="H9" s="51"/>
      <c r="J9" s="51"/>
    </row>
    <row r="10" spans="1:10" x14ac:dyDescent="0.35">
      <c r="A10" s="6" t="s">
        <v>166</v>
      </c>
      <c r="B10" s="8" t="s">
        <v>37</v>
      </c>
      <c r="C10" s="7">
        <v>32.361699703148147</v>
      </c>
      <c r="D10" s="7">
        <v>94.893905000000004</v>
      </c>
      <c r="E10" s="7">
        <v>-2.3474330000000001</v>
      </c>
      <c r="F10" s="7" t="s">
        <v>11</v>
      </c>
      <c r="H10" s="51"/>
      <c r="J10" s="51"/>
    </row>
    <row r="11" spans="1:10" x14ac:dyDescent="0.35">
      <c r="A11" s="26" t="s">
        <v>167</v>
      </c>
      <c r="B11" s="27" t="s">
        <v>26</v>
      </c>
      <c r="C11" s="9">
        <v>31.565884836728401</v>
      </c>
      <c r="D11" s="9">
        <v>-15.705546</v>
      </c>
      <c r="E11" s="9">
        <v>11.481436</v>
      </c>
      <c r="F11" s="9" t="s">
        <v>18</v>
      </c>
      <c r="H11" s="51"/>
      <c r="J11" s="51"/>
    </row>
    <row r="12" spans="1:10" x14ac:dyDescent="0.35">
      <c r="A12" s="6" t="s">
        <v>168</v>
      </c>
      <c r="B12" s="8" t="s">
        <v>33</v>
      </c>
      <c r="C12" s="7">
        <v>28.82212883827161</v>
      </c>
      <c r="D12" s="7">
        <v>-187.193952</v>
      </c>
      <c r="E12" s="7">
        <v>-2.35575</v>
      </c>
      <c r="F12" s="7" t="s">
        <v>15</v>
      </c>
      <c r="H12" s="51"/>
      <c r="J12" s="51"/>
    </row>
    <row r="13" spans="1:10" x14ac:dyDescent="0.35">
      <c r="A13" s="26" t="s">
        <v>171</v>
      </c>
      <c r="B13" s="27" t="s">
        <v>87</v>
      </c>
      <c r="C13" s="9">
        <v>24.439287990432099</v>
      </c>
      <c r="D13" s="9">
        <v>-99.859651999999997</v>
      </c>
      <c r="E13" s="9">
        <v>2.1442359999999998</v>
      </c>
      <c r="F13" s="9" t="s">
        <v>14</v>
      </c>
      <c r="H13" s="51"/>
      <c r="J13" s="51"/>
    </row>
    <row r="14" spans="1:10" x14ac:dyDescent="0.35">
      <c r="A14" s="6" t="s">
        <v>169</v>
      </c>
      <c r="B14" s="8" t="s">
        <v>40</v>
      </c>
      <c r="C14" s="7">
        <v>23.713230166543212</v>
      </c>
      <c r="D14" s="7">
        <v>12.071707999999999</v>
      </c>
      <c r="E14" s="7">
        <v>6.8662109999999998</v>
      </c>
      <c r="F14" s="7" t="s">
        <v>18</v>
      </c>
      <c r="H14" s="51"/>
      <c r="J14" s="51"/>
    </row>
    <row r="15" spans="1:10" x14ac:dyDescent="0.35">
      <c r="A15" s="26" t="s">
        <v>175</v>
      </c>
      <c r="B15" s="27" t="s">
        <v>44</v>
      </c>
      <c r="C15" s="9">
        <v>23.672973078703709</v>
      </c>
      <c r="D15" s="9">
        <v>129.04899499999999</v>
      </c>
      <c r="E15" s="9">
        <v>-11.216229</v>
      </c>
      <c r="F15" s="9" t="s">
        <v>20</v>
      </c>
      <c r="H15" s="51"/>
      <c r="J15" s="51"/>
    </row>
    <row r="16" spans="1:10" x14ac:dyDescent="0.35">
      <c r="A16" s="6" t="s">
        <v>170</v>
      </c>
      <c r="B16" s="8" t="s">
        <v>43</v>
      </c>
      <c r="C16" s="7">
        <v>23.03060852623457</v>
      </c>
      <c r="D16" s="7">
        <v>48.505085999999999</v>
      </c>
      <c r="E16" s="7">
        <v>17.149044</v>
      </c>
      <c r="F16" s="7" t="s">
        <v>12</v>
      </c>
      <c r="H16" s="51"/>
      <c r="J16" s="51"/>
    </row>
    <row r="17" spans="1:10" x14ac:dyDescent="0.35">
      <c r="A17" s="26" t="s">
        <v>173</v>
      </c>
      <c r="B17" s="27" t="s">
        <v>54</v>
      </c>
      <c r="C17" s="9">
        <v>17.629941318406061</v>
      </c>
      <c r="D17" s="9">
        <v>-25.020001299600001</v>
      </c>
      <c r="E17" s="9">
        <v>5.0420550952000003</v>
      </c>
      <c r="F17" s="9" t="s">
        <v>15</v>
      </c>
      <c r="H17" s="51"/>
      <c r="J17" s="51"/>
    </row>
    <row r="18" spans="1:10" x14ac:dyDescent="0.35">
      <c r="A18" s="6" t="s">
        <v>30</v>
      </c>
      <c r="B18" s="8" t="s">
        <v>25</v>
      </c>
      <c r="C18" s="7">
        <v>16.84501813975308</v>
      </c>
      <c r="D18" s="7">
        <v>106.35453</v>
      </c>
      <c r="E18" s="7">
        <v>7.8641620000000003</v>
      </c>
      <c r="F18" s="7" t="s">
        <v>14</v>
      </c>
      <c r="H18" s="51"/>
      <c r="J18" s="51"/>
    </row>
    <row r="19" spans="1:10" x14ac:dyDescent="0.35">
      <c r="A19" s="26" t="s">
        <v>179</v>
      </c>
      <c r="B19" s="27" t="s">
        <v>45</v>
      </c>
      <c r="C19" s="9">
        <v>16.614834855740742</v>
      </c>
      <c r="D19" s="9">
        <v>-191.08605399999999</v>
      </c>
      <c r="E19" s="9">
        <v>-26.509004999999998</v>
      </c>
      <c r="F19" s="9" t="s">
        <v>248</v>
      </c>
      <c r="H19" s="51"/>
      <c r="J19" s="51"/>
    </row>
    <row r="20" spans="1:10" x14ac:dyDescent="0.35">
      <c r="A20" s="6" t="s">
        <v>174</v>
      </c>
      <c r="B20" s="8" t="s">
        <v>53</v>
      </c>
      <c r="C20" s="7">
        <v>16.035888660740742</v>
      </c>
      <c r="D20" s="7">
        <v>-52.442874000000003</v>
      </c>
      <c r="E20" s="7">
        <v>-1.1201995</v>
      </c>
      <c r="F20" s="7" t="s">
        <v>12</v>
      </c>
      <c r="H20" s="51"/>
      <c r="J20" s="51"/>
    </row>
    <row r="21" spans="1:10" x14ac:dyDescent="0.35">
      <c r="A21" s="26" t="s">
        <v>41</v>
      </c>
      <c r="B21" s="27" t="s">
        <v>39</v>
      </c>
      <c r="C21" s="9">
        <v>15.916065351049381</v>
      </c>
      <c r="D21" s="9">
        <v>102.770624</v>
      </c>
      <c r="E21" s="9">
        <v>13.988393</v>
      </c>
      <c r="F21" s="9" t="s">
        <v>15</v>
      </c>
      <c r="H21" s="51"/>
      <c r="J21" s="51"/>
    </row>
    <row r="22" spans="1:10" x14ac:dyDescent="0.35">
      <c r="A22" s="6" t="s">
        <v>36</v>
      </c>
      <c r="B22" s="8" t="s">
        <v>31</v>
      </c>
      <c r="C22" s="7">
        <v>15.896500217654319</v>
      </c>
      <c r="D22" s="7">
        <v>-80.909238000000002</v>
      </c>
      <c r="E22" s="7">
        <v>-5.2593690000000004</v>
      </c>
      <c r="F22" s="7" t="s">
        <v>15</v>
      </c>
      <c r="H22" s="51"/>
      <c r="J22" s="51"/>
    </row>
    <row r="23" spans="1:10" x14ac:dyDescent="0.35">
      <c r="A23" s="26" t="s">
        <v>172</v>
      </c>
      <c r="B23" s="27" t="s">
        <v>60</v>
      </c>
      <c r="C23" s="9">
        <v>15.16648875444444</v>
      </c>
      <c r="D23" s="9">
        <v>-71.749044999999995</v>
      </c>
      <c r="E23" s="9">
        <v>1.8289569999999999</v>
      </c>
      <c r="F23" s="9" t="s">
        <v>18</v>
      </c>
      <c r="H23" s="51"/>
      <c r="J23" s="51"/>
    </row>
    <row r="24" spans="1:10" x14ac:dyDescent="0.35">
      <c r="A24" s="6" t="s">
        <v>177</v>
      </c>
      <c r="B24" s="8" t="s">
        <v>56</v>
      </c>
      <c r="C24" s="7">
        <v>13.291920964876541</v>
      </c>
      <c r="D24" s="7">
        <v>-150.52457899999999</v>
      </c>
      <c r="E24" s="7">
        <v>-4.2861500000000001</v>
      </c>
      <c r="F24" s="7" t="s">
        <v>17</v>
      </c>
      <c r="H24" s="51"/>
      <c r="J24" s="51"/>
    </row>
    <row r="25" spans="1:10" x14ac:dyDescent="0.35">
      <c r="A25" s="26" t="s">
        <v>176</v>
      </c>
      <c r="B25" s="27" t="s">
        <v>50</v>
      </c>
      <c r="C25" s="9">
        <v>12.829378540975309</v>
      </c>
      <c r="D25" s="9">
        <v>14.916134</v>
      </c>
      <c r="E25" s="9">
        <v>3.1737000000000002</v>
      </c>
      <c r="F25" s="9" t="s">
        <v>11</v>
      </c>
      <c r="H25" s="51"/>
      <c r="J25" s="51"/>
    </row>
    <row r="26" spans="1:10" x14ac:dyDescent="0.35">
      <c r="A26" s="6" t="s">
        <v>178</v>
      </c>
      <c r="B26" s="8" t="s">
        <v>82</v>
      </c>
      <c r="C26" s="7">
        <v>11.549256709814809</v>
      </c>
      <c r="D26" s="7">
        <v>-41.533999000000001</v>
      </c>
      <c r="E26" s="7">
        <v>-2.4496090000000001</v>
      </c>
      <c r="F26" s="7" t="s">
        <v>18</v>
      </c>
      <c r="H26" s="51"/>
      <c r="J26" s="51"/>
    </row>
    <row r="27" spans="1:10" x14ac:dyDescent="0.35">
      <c r="A27" s="26" t="s">
        <v>183</v>
      </c>
      <c r="B27" s="27" t="s">
        <v>57</v>
      </c>
      <c r="C27" s="9">
        <v>10.414374372952759</v>
      </c>
      <c r="D27" s="9">
        <v>-26.825001162900001</v>
      </c>
      <c r="E27" s="9">
        <v>0.17050027219999989</v>
      </c>
      <c r="F27" s="9" t="s">
        <v>17</v>
      </c>
      <c r="H27" s="51"/>
      <c r="J27" s="51"/>
    </row>
    <row r="28" spans="1:10" x14ac:dyDescent="0.35">
      <c r="A28" s="6" t="s">
        <v>181</v>
      </c>
      <c r="B28" s="8" t="s">
        <v>80</v>
      </c>
      <c r="C28" s="7">
        <v>10.373522097345679</v>
      </c>
      <c r="D28" s="7">
        <v>45.565486999999997</v>
      </c>
      <c r="E28" s="7">
        <v>-6.946699999999989E-2</v>
      </c>
      <c r="F28" s="7" t="s">
        <v>18</v>
      </c>
      <c r="H28" s="51"/>
      <c r="J28" s="51"/>
    </row>
    <row r="29" spans="1:10" x14ac:dyDescent="0.35">
      <c r="A29" s="26" t="s">
        <v>182</v>
      </c>
      <c r="B29" s="27" t="s">
        <v>78</v>
      </c>
      <c r="C29" s="9">
        <v>10.068311079876541</v>
      </c>
      <c r="D29" s="9">
        <v>-34.460206999999997</v>
      </c>
      <c r="E29" s="9">
        <v>-3.4281239999999999</v>
      </c>
      <c r="F29" s="9" t="s">
        <v>18</v>
      </c>
      <c r="H29" s="51"/>
      <c r="J29" s="51"/>
    </row>
    <row r="30" spans="1:10" x14ac:dyDescent="0.35">
      <c r="A30" s="6" t="s">
        <v>180</v>
      </c>
      <c r="B30" s="8" t="s">
        <v>94</v>
      </c>
      <c r="C30" s="7">
        <v>9.9023374388271606</v>
      </c>
      <c r="D30" s="7">
        <v>-165.187196</v>
      </c>
      <c r="E30" s="7">
        <v>-1.552405</v>
      </c>
      <c r="F30" s="7" t="s">
        <v>18</v>
      </c>
      <c r="H30" s="51"/>
      <c r="J30" s="51"/>
    </row>
    <row r="31" spans="1:10" x14ac:dyDescent="0.35">
      <c r="A31" s="26" t="s">
        <v>184</v>
      </c>
      <c r="B31" s="27" t="s">
        <v>115</v>
      </c>
      <c r="C31" s="9">
        <v>8.7676905944444439</v>
      </c>
      <c r="D31" s="9">
        <v>5.3376900000000012</v>
      </c>
      <c r="E31" s="9">
        <v>3.8147790000000001</v>
      </c>
      <c r="F31" s="9" t="s">
        <v>15</v>
      </c>
      <c r="H31" s="51"/>
      <c r="J31" s="51"/>
    </row>
    <row r="32" spans="1:10" x14ac:dyDescent="0.35">
      <c r="A32" s="6" t="s">
        <v>114</v>
      </c>
      <c r="B32" s="8" t="s">
        <v>109</v>
      </c>
      <c r="C32" s="7">
        <v>7.7680863077160494</v>
      </c>
      <c r="D32" s="7">
        <v>-35.0775735</v>
      </c>
      <c r="E32" s="7">
        <v>-2.9553294999999999</v>
      </c>
      <c r="F32" s="7" t="s">
        <v>18</v>
      </c>
      <c r="H32" s="51"/>
      <c r="J32" s="51"/>
    </row>
    <row r="33" spans="1:10" x14ac:dyDescent="0.35">
      <c r="A33" s="26" t="s">
        <v>186</v>
      </c>
      <c r="B33" s="27" t="s">
        <v>61</v>
      </c>
      <c r="C33" s="9">
        <v>7.363045729135802</v>
      </c>
      <c r="D33" s="9">
        <v>13.214302999999999</v>
      </c>
      <c r="E33" s="9">
        <v>-4.0605640000000003</v>
      </c>
      <c r="F33" s="9" t="s">
        <v>17</v>
      </c>
      <c r="H33" s="51"/>
      <c r="J33" s="51"/>
    </row>
    <row r="34" spans="1:10" x14ac:dyDescent="0.35">
      <c r="A34" s="6" t="s">
        <v>187</v>
      </c>
      <c r="B34" s="8" t="s">
        <v>97</v>
      </c>
      <c r="C34" s="7">
        <v>7.0042730535185189</v>
      </c>
      <c r="D34" s="7">
        <v>-4.9343544999999978</v>
      </c>
      <c r="E34" s="7">
        <v>-6.1735895000000003</v>
      </c>
      <c r="F34" s="7" t="s">
        <v>18</v>
      </c>
      <c r="H34" s="51"/>
      <c r="J34" s="51"/>
    </row>
    <row r="35" spans="1:10" x14ac:dyDescent="0.35">
      <c r="A35" s="26" t="s">
        <v>190</v>
      </c>
      <c r="B35" s="27" t="s">
        <v>95</v>
      </c>
      <c r="C35" s="9">
        <v>6.2995507206271606</v>
      </c>
      <c r="D35" s="9">
        <v>30.590367094200001</v>
      </c>
      <c r="E35" s="9">
        <v>6.0572000000000001E-2</v>
      </c>
      <c r="F35" s="9" t="s">
        <v>248</v>
      </c>
      <c r="H35" s="51"/>
      <c r="J35" s="51"/>
    </row>
    <row r="36" spans="1:10" x14ac:dyDescent="0.35">
      <c r="A36" s="6" t="s">
        <v>185</v>
      </c>
      <c r="B36" s="8" t="s">
        <v>258</v>
      </c>
      <c r="C36" s="7">
        <v>6.257917764506173</v>
      </c>
      <c r="D36" s="7">
        <v>15.741142999999999</v>
      </c>
      <c r="E36" s="7">
        <v>9.8762640000000008</v>
      </c>
      <c r="F36" s="7" t="s">
        <v>248</v>
      </c>
      <c r="H36" s="51"/>
      <c r="J36" s="51"/>
    </row>
    <row r="37" spans="1:10" x14ac:dyDescent="0.35">
      <c r="A37" s="26" t="s">
        <v>192</v>
      </c>
      <c r="B37" s="27" t="s">
        <v>118</v>
      </c>
      <c r="C37" s="9">
        <v>5.8515784397530863</v>
      </c>
      <c r="D37" s="9">
        <v>-2.3591319999999989</v>
      </c>
      <c r="E37" s="9">
        <v>9.9056000000000005E-2</v>
      </c>
      <c r="F37" s="9" t="s">
        <v>18</v>
      </c>
      <c r="H37" s="51"/>
      <c r="J37" s="51"/>
    </row>
    <row r="38" spans="1:10" x14ac:dyDescent="0.35">
      <c r="A38" s="6" t="s">
        <v>188</v>
      </c>
      <c r="B38" s="8" t="s">
        <v>116</v>
      </c>
      <c r="C38" s="7">
        <v>5.06603947608642</v>
      </c>
      <c r="D38" s="7">
        <v>-74.458551499999999</v>
      </c>
      <c r="E38" s="7">
        <v>-3.6366404999999999</v>
      </c>
      <c r="F38" s="7" t="s">
        <v>18</v>
      </c>
      <c r="H38" s="51"/>
      <c r="J38" s="51"/>
    </row>
    <row r="39" spans="1:10" x14ac:dyDescent="0.35">
      <c r="A39" s="26" t="s">
        <v>193</v>
      </c>
      <c r="B39" s="27" t="s">
        <v>119</v>
      </c>
      <c r="C39" s="9">
        <v>4.6436496882716032</v>
      </c>
      <c r="D39" s="9">
        <v>2.9525649999999999</v>
      </c>
      <c r="E39" s="9">
        <v>1.255369</v>
      </c>
      <c r="F39" s="9" t="s">
        <v>12</v>
      </c>
      <c r="H39" s="51"/>
      <c r="J39" s="51"/>
    </row>
    <row r="40" spans="1:10" x14ac:dyDescent="0.35">
      <c r="A40" s="6" t="s">
        <v>189</v>
      </c>
      <c r="B40" s="8" t="s">
        <v>117</v>
      </c>
      <c r="C40" s="7">
        <v>4.5705894895061734</v>
      </c>
      <c r="D40" s="7">
        <v>24.458762</v>
      </c>
      <c r="E40" s="7">
        <v>4.1846000000000001E-2</v>
      </c>
      <c r="F40" s="7" t="s">
        <v>248</v>
      </c>
      <c r="H40" s="51"/>
      <c r="J40" s="51"/>
    </row>
    <row r="41" spans="1:10" x14ac:dyDescent="0.35">
      <c r="A41" s="26" t="s">
        <v>194</v>
      </c>
      <c r="B41" s="27" t="s">
        <v>120</v>
      </c>
      <c r="C41" s="9">
        <v>4.0970477456790118</v>
      </c>
      <c r="D41" s="9">
        <v>-14.3980935</v>
      </c>
      <c r="E41" s="9">
        <v>1.012491</v>
      </c>
      <c r="F41" s="9" t="s">
        <v>248</v>
      </c>
      <c r="H41" s="51"/>
      <c r="J41" s="51"/>
    </row>
    <row r="42" spans="1:10" x14ac:dyDescent="0.35">
      <c r="A42" s="6" t="s">
        <v>191</v>
      </c>
      <c r="B42" s="8" t="s">
        <v>100</v>
      </c>
      <c r="C42" s="7">
        <v>3.963838944444444</v>
      </c>
      <c r="D42" s="7">
        <v>-4.9627319999999999</v>
      </c>
      <c r="E42" s="7">
        <v>0.41876350000000001</v>
      </c>
      <c r="F42" s="7" t="s">
        <v>15</v>
      </c>
      <c r="H42" s="51"/>
      <c r="J42" s="51"/>
    </row>
    <row r="43" spans="1:10" x14ac:dyDescent="0.35">
      <c r="A43" s="26" t="s">
        <v>197</v>
      </c>
      <c r="B43" s="27" t="s">
        <v>122</v>
      </c>
      <c r="C43" s="9">
        <v>3.7259117941975299</v>
      </c>
      <c r="D43" s="9">
        <v>-1.035479</v>
      </c>
      <c r="E43" s="9">
        <v>-0.18679899999999999</v>
      </c>
      <c r="F43" s="9" t="s">
        <v>12</v>
      </c>
      <c r="H43" s="51"/>
      <c r="J43" s="51"/>
    </row>
    <row r="44" spans="1:10" x14ac:dyDescent="0.35">
      <c r="A44" s="6" t="s">
        <v>196</v>
      </c>
      <c r="B44" s="8" t="s">
        <v>101</v>
      </c>
      <c r="C44" s="7">
        <v>3.4611463376543208</v>
      </c>
      <c r="D44" s="7">
        <v>-7.5952205000000026</v>
      </c>
      <c r="E44" s="7">
        <v>-3.2993895000000002</v>
      </c>
      <c r="F44" s="7" t="s">
        <v>18</v>
      </c>
      <c r="H44" s="51"/>
      <c r="J44" s="51"/>
    </row>
    <row r="45" spans="1:10" x14ac:dyDescent="0.35">
      <c r="A45" s="26" t="s">
        <v>110</v>
      </c>
      <c r="B45" s="27" t="s">
        <v>111</v>
      </c>
      <c r="C45" s="9">
        <v>3.4139837791358034</v>
      </c>
      <c r="D45" s="9">
        <v>8.4656044999999995</v>
      </c>
      <c r="E45" s="9">
        <v>4.1899999999999999E-4</v>
      </c>
      <c r="F45" s="9" t="s">
        <v>14</v>
      </c>
      <c r="H45" s="51"/>
      <c r="J45" s="51"/>
    </row>
    <row r="46" spans="1:10" x14ac:dyDescent="0.35">
      <c r="A46" s="6" t="s">
        <v>195</v>
      </c>
      <c r="B46" s="8" t="s">
        <v>121</v>
      </c>
      <c r="C46" s="7">
        <v>3.3910863611111108</v>
      </c>
      <c r="D46" s="7">
        <v>18.638181500000002</v>
      </c>
      <c r="E46" s="7">
        <v>2.3718940000000002</v>
      </c>
      <c r="F46" s="7" t="s">
        <v>18</v>
      </c>
      <c r="H46" s="51"/>
      <c r="J46" s="51"/>
    </row>
    <row r="47" spans="1:10" x14ac:dyDescent="0.35">
      <c r="A47" s="26" t="s">
        <v>205</v>
      </c>
      <c r="B47" s="27" t="s">
        <v>112</v>
      </c>
      <c r="C47" s="9">
        <v>3.3742240020987659</v>
      </c>
      <c r="D47" s="9">
        <v>-36.002481899999999</v>
      </c>
      <c r="E47" s="9">
        <v>-2.9958855</v>
      </c>
      <c r="F47" s="9" t="s">
        <v>20</v>
      </c>
      <c r="H47" s="51"/>
      <c r="J47" s="51"/>
    </row>
    <row r="48" spans="1:10" x14ac:dyDescent="0.35">
      <c r="A48" s="6" t="s">
        <v>198</v>
      </c>
      <c r="B48" s="8" t="s">
        <v>96</v>
      </c>
      <c r="C48" s="7">
        <v>3.2322677734567899</v>
      </c>
      <c r="D48" s="7">
        <v>-10.892388</v>
      </c>
      <c r="E48" s="7">
        <v>-2.9577870000000002</v>
      </c>
      <c r="F48" s="7" t="s">
        <v>12</v>
      </c>
      <c r="H48" s="51"/>
      <c r="J48" s="51"/>
    </row>
    <row r="49" spans="1:10" x14ac:dyDescent="0.35">
      <c r="A49" s="26" t="s">
        <v>103</v>
      </c>
      <c r="B49" s="27" t="s">
        <v>102</v>
      </c>
      <c r="C49" s="9">
        <v>3.0786208388888894</v>
      </c>
      <c r="D49" s="9">
        <v>-13.476138000000001</v>
      </c>
      <c r="E49" s="9">
        <v>-0.65260099999999999</v>
      </c>
      <c r="F49" s="9" t="s">
        <v>12</v>
      </c>
      <c r="H49" s="51"/>
      <c r="J49" s="51"/>
    </row>
    <row r="50" spans="1:10" x14ac:dyDescent="0.35">
      <c r="A50" s="6" t="s">
        <v>202</v>
      </c>
      <c r="B50" s="8" t="s">
        <v>126</v>
      </c>
      <c r="C50" s="7">
        <v>2.972120564074074</v>
      </c>
      <c r="D50" s="7">
        <v>-16.163988499999999</v>
      </c>
      <c r="E50" s="7">
        <v>-0.4495075</v>
      </c>
      <c r="F50" s="7" t="s">
        <v>247</v>
      </c>
      <c r="H50" s="51"/>
      <c r="J50" s="51"/>
    </row>
    <row r="51" spans="1:10" x14ac:dyDescent="0.35">
      <c r="A51" s="26" t="s">
        <v>203</v>
      </c>
      <c r="B51" s="27" t="s">
        <v>127</v>
      </c>
      <c r="C51" s="9">
        <v>2.781368527101173</v>
      </c>
      <c r="D51" s="9">
        <v>3.7000735982199999</v>
      </c>
      <c r="E51" s="9">
        <v>-0.51152731680999997</v>
      </c>
      <c r="F51" s="9" t="s">
        <v>11</v>
      </c>
      <c r="H51" s="51"/>
      <c r="J51" s="51"/>
    </row>
    <row r="52" spans="1:10" x14ac:dyDescent="0.35">
      <c r="A52" s="6" t="s">
        <v>207</v>
      </c>
      <c r="B52" s="8" t="s">
        <v>129</v>
      </c>
      <c r="C52" s="7">
        <v>2.4780223408641979</v>
      </c>
      <c r="D52" s="7">
        <v>2.1742500000000011</v>
      </c>
      <c r="E52" s="7">
        <v>2.1300400000000002</v>
      </c>
      <c r="F52" s="7" t="s">
        <v>18</v>
      </c>
      <c r="H52" s="51"/>
      <c r="J52" s="51"/>
    </row>
    <row r="53" spans="1:10" x14ac:dyDescent="0.35">
      <c r="A53" s="26" t="s">
        <v>209</v>
      </c>
      <c r="B53" s="27" t="s">
        <v>113</v>
      </c>
      <c r="C53" s="9">
        <v>2.3974778777777779</v>
      </c>
      <c r="D53" s="9">
        <v>-4.3738685999999998</v>
      </c>
      <c r="E53" s="9">
        <v>-0.83882460000000003</v>
      </c>
      <c r="F53" s="9" t="s">
        <v>250</v>
      </c>
      <c r="H53" s="51"/>
      <c r="J53" s="51"/>
    </row>
    <row r="54" spans="1:10" x14ac:dyDescent="0.35">
      <c r="A54" s="6" t="s">
        <v>200</v>
      </c>
      <c r="B54" s="8" t="s">
        <v>124</v>
      </c>
      <c r="C54" s="7">
        <v>2.3210983266666672</v>
      </c>
      <c r="D54" s="7">
        <v>12.326107</v>
      </c>
      <c r="E54" s="7">
        <v>-2.488359</v>
      </c>
      <c r="F54" s="7" t="s">
        <v>249</v>
      </c>
      <c r="H54" s="51"/>
      <c r="J54" s="51"/>
    </row>
    <row r="55" spans="1:10" x14ac:dyDescent="0.35">
      <c r="A55" s="26" t="s">
        <v>221</v>
      </c>
      <c r="B55" s="27" t="s">
        <v>141</v>
      </c>
      <c r="C55" s="9">
        <v>2.0386774049382721</v>
      </c>
      <c r="D55" s="9">
        <v>14.6915245</v>
      </c>
      <c r="E55" s="9">
        <v>-1.0080359999999999</v>
      </c>
      <c r="F55" s="9" t="s">
        <v>15</v>
      </c>
      <c r="H55" s="51"/>
      <c r="J55" s="51"/>
    </row>
    <row r="56" spans="1:10" x14ac:dyDescent="0.35">
      <c r="A56" s="6" t="s">
        <v>210</v>
      </c>
      <c r="B56" s="8" t="s">
        <v>131</v>
      </c>
      <c r="C56" s="7">
        <v>2.0028443699382721</v>
      </c>
      <c r="D56" s="7">
        <v>-14.014786000000001</v>
      </c>
      <c r="E56" s="7">
        <v>-0.86405200000000004</v>
      </c>
      <c r="F56" s="7" t="s">
        <v>18</v>
      </c>
      <c r="H56" s="51"/>
      <c r="J56" s="51"/>
    </row>
    <row r="57" spans="1:10" x14ac:dyDescent="0.35">
      <c r="A57" s="26" t="s">
        <v>199</v>
      </c>
      <c r="B57" s="27" t="s">
        <v>123</v>
      </c>
      <c r="C57" s="9">
        <v>1.9244017475308641</v>
      </c>
      <c r="D57" s="9">
        <v>-26.325268000000001</v>
      </c>
      <c r="E57" s="9">
        <v>8.0504999999999993E-2</v>
      </c>
      <c r="F57" s="9" t="s">
        <v>249</v>
      </c>
      <c r="H57" s="51"/>
      <c r="J57" s="51"/>
    </row>
    <row r="58" spans="1:10" x14ac:dyDescent="0.35">
      <c r="A58" s="6" t="s">
        <v>206</v>
      </c>
      <c r="B58" s="8" t="s">
        <v>59</v>
      </c>
      <c r="C58" s="7">
        <v>1.7936775579125621</v>
      </c>
      <c r="D58" s="7">
        <v>9.336957721200001</v>
      </c>
      <c r="E58" s="7">
        <v>-1.8251147971000001</v>
      </c>
      <c r="F58" s="7" t="s">
        <v>11</v>
      </c>
      <c r="H58" s="51"/>
      <c r="J58" s="51"/>
    </row>
    <row r="59" spans="1:10" x14ac:dyDescent="0.35">
      <c r="A59" s="26" t="s">
        <v>201</v>
      </c>
      <c r="B59" s="27" t="s">
        <v>125</v>
      </c>
      <c r="C59" s="9">
        <v>1.7890050184567898</v>
      </c>
      <c r="D59" s="9">
        <v>21.279423999999999</v>
      </c>
      <c r="E59" s="9">
        <v>0.373419</v>
      </c>
      <c r="F59" s="9" t="s">
        <v>12</v>
      </c>
      <c r="H59" s="51"/>
      <c r="J59" s="51"/>
    </row>
    <row r="60" spans="1:10" x14ac:dyDescent="0.35">
      <c r="A60" s="6" t="s">
        <v>208</v>
      </c>
      <c r="B60" s="8" t="s">
        <v>130</v>
      </c>
      <c r="C60" s="7">
        <v>1.780113420266815</v>
      </c>
      <c r="D60" s="7">
        <v>-9.1692286480000007</v>
      </c>
      <c r="E60" s="7">
        <v>-0.51272917815000008</v>
      </c>
      <c r="F60" s="7" t="s">
        <v>18</v>
      </c>
      <c r="H60" s="51"/>
      <c r="J60" s="51"/>
    </row>
    <row r="61" spans="1:10" x14ac:dyDescent="0.35">
      <c r="A61" s="26" t="s">
        <v>204</v>
      </c>
      <c r="B61" s="27" t="s">
        <v>128</v>
      </c>
      <c r="C61" s="9">
        <v>1.6976572425925929</v>
      </c>
      <c r="D61" s="9">
        <v>27.8130612</v>
      </c>
      <c r="E61" s="9">
        <v>0</v>
      </c>
      <c r="F61" s="9" t="s">
        <v>250</v>
      </c>
      <c r="H61" s="51"/>
      <c r="J61" s="51"/>
    </row>
    <row r="62" spans="1:10" x14ac:dyDescent="0.35">
      <c r="A62" s="6" t="s">
        <v>220</v>
      </c>
      <c r="B62" s="8" t="s">
        <v>140</v>
      </c>
      <c r="C62" s="7">
        <v>1.6901974722222219</v>
      </c>
      <c r="D62" s="7">
        <v>-6.7342110000000002</v>
      </c>
      <c r="E62" s="7">
        <v>0.74294899999999997</v>
      </c>
      <c r="F62" s="7" t="s">
        <v>18</v>
      </c>
      <c r="H62" s="51"/>
      <c r="J62" s="51"/>
    </row>
    <row r="63" spans="1:10" x14ac:dyDescent="0.35">
      <c r="A63" s="26" t="s">
        <v>212</v>
      </c>
      <c r="B63" s="27" t="s">
        <v>133</v>
      </c>
      <c r="C63" s="9">
        <v>1.657788331481481</v>
      </c>
      <c r="D63" s="9">
        <v>-15.626056999999999</v>
      </c>
      <c r="E63" s="9">
        <v>-0.64932900000000005</v>
      </c>
      <c r="F63" s="9" t="s">
        <v>18</v>
      </c>
      <c r="H63" s="51"/>
      <c r="J63" s="51"/>
    </row>
    <row r="64" spans="1:10" x14ac:dyDescent="0.35">
      <c r="A64" s="6" t="s">
        <v>216</v>
      </c>
      <c r="B64" s="8" t="s">
        <v>136</v>
      </c>
      <c r="C64" s="7">
        <v>1.4705249934845079</v>
      </c>
      <c r="D64" s="7">
        <v>-24.63435148748</v>
      </c>
      <c r="E64" s="7">
        <v>-0.63139831658000001</v>
      </c>
      <c r="F64" s="7" t="s">
        <v>250</v>
      </c>
      <c r="H64" s="51"/>
      <c r="J64" s="51"/>
    </row>
    <row r="65" spans="1:10" x14ac:dyDescent="0.35">
      <c r="A65" s="26" t="s">
        <v>211</v>
      </c>
      <c r="B65" s="27" t="s">
        <v>132</v>
      </c>
      <c r="C65" s="9">
        <v>1.4697621716049381</v>
      </c>
      <c r="D65" s="9">
        <v>-15.88204</v>
      </c>
      <c r="E65" s="9">
        <v>7.3179999999999999E-3</v>
      </c>
      <c r="F65" s="9" t="s">
        <v>18</v>
      </c>
      <c r="H65" s="51"/>
      <c r="J65" s="51"/>
    </row>
    <row r="66" spans="1:10" x14ac:dyDescent="0.35">
      <c r="A66" s="6" t="s">
        <v>215</v>
      </c>
      <c r="B66" s="8" t="s">
        <v>135</v>
      </c>
      <c r="C66" s="7">
        <v>1.4671265246913581</v>
      </c>
      <c r="D66" s="7">
        <v>7.1530750000000003</v>
      </c>
      <c r="E66" s="7">
        <v>-0.17200199999999999</v>
      </c>
      <c r="F66" s="7" t="s">
        <v>248</v>
      </c>
      <c r="H66" s="51"/>
      <c r="J66" s="51"/>
    </row>
    <row r="67" spans="1:10" x14ac:dyDescent="0.35">
      <c r="A67" s="26" t="s">
        <v>217</v>
      </c>
      <c r="B67" s="27" t="s">
        <v>137</v>
      </c>
      <c r="C67" s="9">
        <v>1.3954224537037041</v>
      </c>
      <c r="D67" s="9">
        <v>9.8966170000000009</v>
      </c>
      <c r="E67" s="9">
        <v>-0.39014100000000002</v>
      </c>
      <c r="F67" s="9" t="s">
        <v>249</v>
      </c>
      <c r="H67" s="51"/>
      <c r="J67" s="51"/>
    </row>
    <row r="68" spans="1:10" x14ac:dyDescent="0.35">
      <c r="A68" s="6" t="s">
        <v>213</v>
      </c>
      <c r="B68" s="8" t="s">
        <v>98</v>
      </c>
      <c r="C68" s="7">
        <v>1.3461401076409441</v>
      </c>
      <c r="D68" s="7">
        <v>-0.73511039082000029</v>
      </c>
      <c r="E68" s="7">
        <v>0.11595207664</v>
      </c>
      <c r="F68" s="7" t="s">
        <v>15</v>
      </c>
      <c r="H68" s="51"/>
      <c r="J68" s="51"/>
    </row>
    <row r="69" spans="1:10" x14ac:dyDescent="0.35">
      <c r="A69" s="26" t="s">
        <v>214</v>
      </c>
      <c r="B69" s="27" t="s">
        <v>134</v>
      </c>
      <c r="C69" s="9">
        <v>1.2885203648148151</v>
      </c>
      <c r="D69" s="9">
        <v>2.7351003999999999</v>
      </c>
      <c r="E69" s="9">
        <v>-6.9485500000000019E-2</v>
      </c>
      <c r="F69" s="9" t="s">
        <v>250</v>
      </c>
      <c r="H69" s="51"/>
      <c r="J69" s="51"/>
    </row>
    <row r="70" spans="1:10" x14ac:dyDescent="0.35">
      <c r="A70" s="6" t="s">
        <v>229</v>
      </c>
      <c r="B70" s="8" t="s">
        <v>149</v>
      </c>
      <c r="C70" s="7">
        <v>1.174229904444444</v>
      </c>
      <c r="D70" s="7">
        <v>11.9244465</v>
      </c>
      <c r="E70" s="7">
        <v>1.8901349999999999</v>
      </c>
      <c r="F70" s="7" t="s">
        <v>18</v>
      </c>
      <c r="H70" s="51"/>
      <c r="J70" s="51"/>
    </row>
    <row r="71" spans="1:10" x14ac:dyDescent="0.35">
      <c r="A71" s="26" t="s">
        <v>225</v>
      </c>
      <c r="B71" s="27" t="s">
        <v>144</v>
      </c>
      <c r="C71" s="9">
        <v>1.1102225112013731</v>
      </c>
      <c r="D71" s="9">
        <v>-41.392163529260003</v>
      </c>
      <c r="E71" s="9">
        <v>-0.43167596883000003</v>
      </c>
      <c r="F71" s="9" t="s">
        <v>15</v>
      </c>
      <c r="H71" s="51"/>
      <c r="J71" s="51"/>
    </row>
    <row r="72" spans="1:10" x14ac:dyDescent="0.35">
      <c r="A72" s="6" t="s">
        <v>227</v>
      </c>
      <c r="B72" s="8" t="s">
        <v>147</v>
      </c>
      <c r="C72" s="7">
        <v>1.103933337037037</v>
      </c>
      <c r="D72" s="7">
        <v>-8.4413835000000006</v>
      </c>
      <c r="E72" s="7">
        <v>-0.39607049999999999</v>
      </c>
      <c r="F72" s="7" t="s">
        <v>17</v>
      </c>
      <c r="H72" s="51"/>
      <c r="J72" s="51"/>
    </row>
    <row r="73" spans="1:10" x14ac:dyDescent="0.35">
      <c r="A73" s="26" t="s">
        <v>239</v>
      </c>
      <c r="B73" s="27" t="s">
        <v>259</v>
      </c>
      <c r="C73" s="9">
        <v>1.077697578395062</v>
      </c>
      <c r="D73" s="9">
        <v>-2.6052422000000002</v>
      </c>
      <c r="E73" s="9">
        <v>4.74534E-2</v>
      </c>
      <c r="F73" s="9" t="s">
        <v>249</v>
      </c>
      <c r="H73" s="51"/>
      <c r="J73" s="51"/>
    </row>
    <row r="74" spans="1:10" x14ac:dyDescent="0.35">
      <c r="A74" s="6" t="s">
        <v>222</v>
      </c>
      <c r="B74" s="8" t="s">
        <v>142</v>
      </c>
      <c r="C74" s="7">
        <v>1.0575319351851848</v>
      </c>
      <c r="D74" s="7">
        <v>5.871518</v>
      </c>
      <c r="E74" s="7">
        <v>0.23821300000000001</v>
      </c>
      <c r="F74" s="7" t="s">
        <v>247</v>
      </c>
      <c r="H74" s="51"/>
      <c r="J74" s="51"/>
    </row>
    <row r="75" spans="1:10" x14ac:dyDescent="0.35">
      <c r="A75" s="26" t="s">
        <v>219</v>
      </c>
      <c r="B75" s="27" t="s">
        <v>139</v>
      </c>
      <c r="C75" s="9">
        <v>1.0240351975308641</v>
      </c>
      <c r="D75" s="9">
        <v>20.890257999999999</v>
      </c>
      <c r="E75" s="9">
        <v>9.0996999999999995E-2</v>
      </c>
      <c r="F75" s="9" t="s">
        <v>18</v>
      </c>
      <c r="H75" s="51"/>
      <c r="J75" s="51"/>
    </row>
    <row r="76" spans="1:10" x14ac:dyDescent="0.35">
      <c r="A76" s="6" t="s">
        <v>218</v>
      </c>
      <c r="B76" s="8" t="s">
        <v>138</v>
      </c>
      <c r="C76" s="7">
        <v>0.98278108271604936</v>
      </c>
      <c r="D76" s="7">
        <v>0.2141035</v>
      </c>
      <c r="E76" s="7">
        <v>-0.3377675</v>
      </c>
      <c r="F76" s="7" t="s">
        <v>248</v>
      </c>
      <c r="H76" s="51"/>
      <c r="J76" s="51"/>
    </row>
    <row r="77" spans="1:10" x14ac:dyDescent="0.35">
      <c r="A77" s="26" t="s">
        <v>242</v>
      </c>
      <c r="B77" s="27" t="s">
        <v>160</v>
      </c>
      <c r="C77" s="9">
        <v>0.97674652716049393</v>
      </c>
      <c r="D77" s="9">
        <v>-5.8038714999999996</v>
      </c>
      <c r="E77" s="9">
        <v>-9.3574000000000004E-2</v>
      </c>
      <c r="F77" s="9" t="s">
        <v>12</v>
      </c>
      <c r="H77" s="51"/>
      <c r="J77" s="51"/>
    </row>
    <row r="78" spans="1:10" x14ac:dyDescent="0.35">
      <c r="A78" s="6" t="s">
        <v>226</v>
      </c>
      <c r="B78" s="8" t="s">
        <v>146</v>
      </c>
      <c r="C78" s="7">
        <v>0.93765017283950614</v>
      </c>
      <c r="D78" s="7">
        <v>-18.706772000000001</v>
      </c>
      <c r="E78" s="7">
        <v>-0.31447649999999999</v>
      </c>
      <c r="F78" s="7" t="s">
        <v>18</v>
      </c>
      <c r="H78" s="51"/>
      <c r="J78" s="51"/>
    </row>
    <row r="79" spans="1:10" x14ac:dyDescent="0.35">
      <c r="A79" s="26" t="s">
        <v>245</v>
      </c>
      <c r="B79" s="27" t="s">
        <v>162</v>
      </c>
      <c r="C79" s="9">
        <v>0.93353856543209868</v>
      </c>
      <c r="D79" s="9">
        <v>1.5354778999999998</v>
      </c>
      <c r="E79" s="9">
        <v>-1.8413571000000002</v>
      </c>
      <c r="F79" s="9" t="s">
        <v>249</v>
      </c>
      <c r="H79" s="51"/>
      <c r="J79" s="51"/>
    </row>
    <row r="80" spans="1:10" x14ac:dyDescent="0.35">
      <c r="A80" s="6" t="s">
        <v>223</v>
      </c>
      <c r="B80" s="8" t="s">
        <v>108</v>
      </c>
      <c r="C80" s="7">
        <v>0.92102042534321005</v>
      </c>
      <c r="D80" s="7">
        <v>40.766267009100012</v>
      </c>
      <c r="E80" s="7">
        <v>3.5822525400000041E-2</v>
      </c>
      <c r="F80" s="7" t="s">
        <v>15</v>
      </c>
      <c r="H80" s="51"/>
      <c r="J80" s="51"/>
    </row>
    <row r="81" spans="1:10" x14ac:dyDescent="0.35">
      <c r="A81" s="26" t="s">
        <v>224</v>
      </c>
      <c r="B81" s="27" t="s">
        <v>143</v>
      </c>
      <c r="C81" s="9">
        <v>0.88107310308641962</v>
      </c>
      <c r="D81" s="9">
        <v>7.1252054999999999</v>
      </c>
      <c r="E81" s="9">
        <v>0.25849899999999998</v>
      </c>
      <c r="F81" s="9" t="s">
        <v>249</v>
      </c>
      <c r="H81" s="51"/>
      <c r="J81" s="51"/>
    </row>
    <row r="82" spans="1:10" x14ac:dyDescent="0.35">
      <c r="A82" s="6" t="s">
        <v>235</v>
      </c>
      <c r="B82" s="8" t="s">
        <v>155</v>
      </c>
      <c r="C82" s="7">
        <v>0.858835074074074</v>
      </c>
      <c r="D82" s="7">
        <v>8.8502895000000006</v>
      </c>
      <c r="E82" s="7">
        <v>1.032095</v>
      </c>
      <c r="F82" s="7" t="s">
        <v>18</v>
      </c>
      <c r="H82" s="51"/>
      <c r="J82" s="51"/>
    </row>
    <row r="83" spans="1:10" x14ac:dyDescent="0.35">
      <c r="A83" s="26" t="s">
        <v>234</v>
      </c>
      <c r="B83" s="27" t="s">
        <v>154</v>
      </c>
      <c r="C83" s="9">
        <v>0.82111216666666664</v>
      </c>
      <c r="D83" s="9">
        <v>5.789822</v>
      </c>
      <c r="E83" s="9">
        <v>5.3658999999999998E-2</v>
      </c>
      <c r="F83" s="9" t="s">
        <v>15</v>
      </c>
      <c r="H83" s="51"/>
      <c r="J83" s="51"/>
    </row>
    <row r="84" spans="1:10" x14ac:dyDescent="0.35">
      <c r="A84" s="6" t="s">
        <v>236</v>
      </c>
      <c r="B84" s="8" t="s">
        <v>91</v>
      </c>
      <c r="C84" s="7">
        <v>0.81774872839506163</v>
      </c>
      <c r="D84" s="7">
        <v>0.11759</v>
      </c>
      <c r="E84" s="7">
        <v>-1.0711904999999999</v>
      </c>
      <c r="F84" s="7" t="s">
        <v>12</v>
      </c>
      <c r="H84" s="51"/>
      <c r="J84" s="51"/>
    </row>
    <row r="85" spans="1:10" x14ac:dyDescent="0.35">
      <c r="A85" s="26" t="s">
        <v>232</v>
      </c>
      <c r="B85" s="27" t="s">
        <v>152</v>
      </c>
      <c r="C85" s="9">
        <v>0.76088880246913582</v>
      </c>
      <c r="D85" s="9">
        <v>6.3975955000000004</v>
      </c>
      <c r="E85" s="9">
        <v>5.7093499999999998E-2</v>
      </c>
      <c r="F85" s="9" t="s">
        <v>17</v>
      </c>
      <c r="H85" s="51"/>
      <c r="J85" s="51"/>
    </row>
    <row r="86" spans="1:10" x14ac:dyDescent="0.35">
      <c r="A86" s="6" t="s">
        <v>241</v>
      </c>
      <c r="B86" s="8" t="s">
        <v>159</v>
      </c>
      <c r="C86" s="7">
        <v>0.75950704629629628</v>
      </c>
      <c r="D86" s="7">
        <v>11.753447</v>
      </c>
      <c r="E86" s="7">
        <v>0.15612699999999999</v>
      </c>
      <c r="F86" s="7" t="s">
        <v>12</v>
      </c>
      <c r="H86" s="51"/>
      <c r="J86" s="51"/>
    </row>
    <row r="87" spans="1:10" x14ac:dyDescent="0.35">
      <c r="A87" s="26" t="s">
        <v>231</v>
      </c>
      <c r="B87" s="27" t="s">
        <v>151</v>
      </c>
      <c r="C87" s="9">
        <v>0.75878176234567896</v>
      </c>
      <c r="D87" s="9">
        <v>1.9037834</v>
      </c>
      <c r="E87" s="9">
        <v>-5.0596999999999994E-3</v>
      </c>
      <c r="F87" s="9" t="s">
        <v>11</v>
      </c>
      <c r="H87" s="51"/>
      <c r="J87" s="51"/>
    </row>
    <row r="88" spans="1:10" x14ac:dyDescent="0.35">
      <c r="A88" s="6" t="s">
        <v>237</v>
      </c>
      <c r="B88" s="8" t="s">
        <v>156</v>
      </c>
      <c r="C88" s="7">
        <v>0.74346397617283955</v>
      </c>
      <c r="D88" s="7">
        <v>-7.9282645</v>
      </c>
      <c r="E88" s="7">
        <v>-0.35024300000000003</v>
      </c>
      <c r="F88" s="7" t="s">
        <v>18</v>
      </c>
      <c r="H88" s="51"/>
      <c r="J88" s="51"/>
    </row>
    <row r="89" spans="1:10" x14ac:dyDescent="0.35">
      <c r="A89" s="26" t="s">
        <v>255</v>
      </c>
      <c r="B89" s="27" t="s">
        <v>256</v>
      </c>
      <c r="C89" s="9">
        <v>0.73601135493827152</v>
      </c>
      <c r="D89" s="9">
        <v>-4.2339279999999997</v>
      </c>
      <c r="E89" s="9">
        <v>-1.0849575</v>
      </c>
      <c r="F89" s="9" t="s">
        <v>17</v>
      </c>
      <c r="H89" s="51"/>
      <c r="J89" s="51"/>
    </row>
    <row r="90" spans="1:10" x14ac:dyDescent="0.35">
      <c r="A90" s="6" t="s">
        <v>228</v>
      </c>
      <c r="B90" s="8" t="s">
        <v>148</v>
      </c>
      <c r="C90" s="7">
        <v>0.70335337839506173</v>
      </c>
      <c r="D90" s="7">
        <v>-11.4447592</v>
      </c>
      <c r="E90" s="7">
        <v>-5.9962500000000002E-2</v>
      </c>
      <c r="F90" s="7" t="s">
        <v>249</v>
      </c>
      <c r="H90" s="51"/>
      <c r="J90" s="51"/>
    </row>
    <row r="91" spans="1:10" x14ac:dyDescent="0.35">
      <c r="A91" s="26" t="s">
        <v>261</v>
      </c>
      <c r="B91" s="27" t="s">
        <v>260</v>
      </c>
      <c r="C91" s="9">
        <v>0.63653747530864202</v>
      </c>
      <c r="D91" s="9">
        <v>27.17819999999999</v>
      </c>
      <c r="E91" s="9">
        <v>-0.56568700000000005</v>
      </c>
      <c r="F91" s="9" t="s">
        <v>14</v>
      </c>
      <c r="H91" s="51"/>
      <c r="J91" s="51"/>
    </row>
    <row r="92" spans="1:10" x14ac:dyDescent="0.35">
      <c r="A92" s="6" t="s">
        <v>243</v>
      </c>
      <c r="B92" s="8" t="s">
        <v>99</v>
      </c>
      <c r="C92" s="7">
        <v>0.63602923773000009</v>
      </c>
      <c r="D92" s="7">
        <v>-18.071203046899999</v>
      </c>
      <c r="E92" s="7">
        <v>-0.82492208890000007</v>
      </c>
      <c r="F92" s="7" t="s">
        <v>18</v>
      </c>
      <c r="H92" s="51"/>
      <c r="J92" s="51"/>
    </row>
    <row r="93" spans="1:10" x14ac:dyDescent="0.35">
      <c r="A93" s="26" t="s">
        <v>230</v>
      </c>
      <c r="B93" s="27" t="s">
        <v>150</v>
      </c>
      <c r="C93" s="9">
        <v>0.61119877654320987</v>
      </c>
      <c r="D93" s="9">
        <v>3.004848</v>
      </c>
      <c r="E93" s="9">
        <v>-0.13480400000000001</v>
      </c>
      <c r="F93" s="9" t="s">
        <v>15</v>
      </c>
      <c r="H93" s="51"/>
      <c r="J93" s="51"/>
    </row>
    <row r="94" spans="1:10" x14ac:dyDescent="0.35">
      <c r="A94" s="6" t="s">
        <v>263</v>
      </c>
      <c r="B94" s="8" t="s">
        <v>264</v>
      </c>
      <c r="C94" s="7">
        <v>0.60010466666666662</v>
      </c>
      <c r="D94" s="7">
        <v>-8.0199259999999999</v>
      </c>
      <c r="E94" s="7">
        <v>-3.9311004999999999</v>
      </c>
      <c r="F94" s="7" t="s">
        <v>16</v>
      </c>
      <c r="H94" s="51"/>
      <c r="J94" s="51"/>
    </row>
    <row r="95" spans="1:10" x14ac:dyDescent="0.35">
      <c r="A95" s="26" t="s">
        <v>246</v>
      </c>
      <c r="B95" s="27" t="s">
        <v>163</v>
      </c>
      <c r="C95" s="9">
        <v>0.58538267530864196</v>
      </c>
      <c r="D95" s="9">
        <v>-6.0680009999999998</v>
      </c>
      <c r="E95" s="9">
        <v>7.7590800000000001E-2</v>
      </c>
      <c r="F95" s="9" t="s">
        <v>18</v>
      </c>
      <c r="H95" s="51"/>
      <c r="J95" s="51"/>
    </row>
    <row r="96" spans="1:10" x14ac:dyDescent="0.35">
      <c r="A96" s="6" t="s">
        <v>244</v>
      </c>
      <c r="B96" s="8" t="s">
        <v>161</v>
      </c>
      <c r="C96" s="7">
        <v>0.5740537661255618</v>
      </c>
      <c r="D96" s="7">
        <v>-11.809258545600001</v>
      </c>
      <c r="E96" s="7">
        <v>-0.56186333369999997</v>
      </c>
      <c r="F96" s="7" t="s">
        <v>18</v>
      </c>
      <c r="H96" s="51"/>
      <c r="J96" s="51"/>
    </row>
    <row r="97" spans="1:10" x14ac:dyDescent="0.35">
      <c r="A97" s="26" t="s">
        <v>238</v>
      </c>
      <c r="B97" s="27" t="s">
        <v>157</v>
      </c>
      <c r="C97" s="9">
        <v>0.4776282358641975</v>
      </c>
      <c r="D97" s="9">
        <v>4.4105800000000004</v>
      </c>
      <c r="E97" s="9">
        <v>6.1151999999999998E-2</v>
      </c>
      <c r="F97" s="9" t="s">
        <v>18</v>
      </c>
      <c r="H97" s="51"/>
      <c r="J97" s="51"/>
    </row>
    <row r="98" spans="1:10" x14ac:dyDescent="0.35">
      <c r="A98" s="6" t="s">
        <v>233</v>
      </c>
      <c r="B98" s="8" t="s">
        <v>153</v>
      </c>
      <c r="C98" s="7">
        <v>0.47212413333333331</v>
      </c>
      <c r="D98" s="7">
        <v>-6.7704095000000004</v>
      </c>
      <c r="E98" s="7">
        <v>-8.0160499999999996E-2</v>
      </c>
      <c r="F98" s="7" t="s">
        <v>12</v>
      </c>
      <c r="H98" s="51"/>
      <c r="J98" s="51"/>
    </row>
    <row r="99" spans="1:10" x14ac:dyDescent="0.35">
      <c r="A99" s="26" t="s">
        <v>265</v>
      </c>
      <c r="B99" s="27" t="s">
        <v>266</v>
      </c>
      <c r="C99" s="9">
        <v>0.46782552098765429</v>
      </c>
      <c r="D99" s="9">
        <v>-8.0594155000000001</v>
      </c>
      <c r="E99" s="9">
        <v>0.18554850000000001</v>
      </c>
      <c r="F99" s="9" t="s">
        <v>11</v>
      </c>
      <c r="H99" s="51"/>
      <c r="J99" s="51"/>
    </row>
    <row r="100" spans="1:10" x14ac:dyDescent="0.35">
      <c r="A100" s="6" t="s">
        <v>273</v>
      </c>
      <c r="B100" s="8" t="s">
        <v>145</v>
      </c>
      <c r="C100" s="7">
        <v>0.4654827475308641</v>
      </c>
      <c r="D100" s="7">
        <v>8.100956</v>
      </c>
      <c r="E100" s="7">
        <v>0</v>
      </c>
      <c r="F100" s="7" t="s">
        <v>15</v>
      </c>
      <c r="H100" s="51"/>
      <c r="J100" s="51"/>
    </row>
    <row r="101" spans="1:10" x14ac:dyDescent="0.35">
      <c r="A101" s="62" t="s">
        <v>240</v>
      </c>
      <c r="B101" s="63" t="s">
        <v>158</v>
      </c>
      <c r="C101" s="10">
        <v>0.4602763592592593</v>
      </c>
      <c r="D101" s="10">
        <v>0.75494099999999997</v>
      </c>
      <c r="E101" s="10">
        <v>5.6155499999999997E-2</v>
      </c>
      <c r="F101" s="10" t="s">
        <v>248</v>
      </c>
      <c r="H101" s="51"/>
      <c r="J101" s="51"/>
    </row>
    <row r="102" spans="1:10" x14ac:dyDescent="0.35">
      <c r="A102" s="59"/>
      <c r="B102" s="11"/>
      <c r="C102" s="11"/>
      <c r="D102" s="60"/>
      <c r="E102" s="60"/>
      <c r="F102" s="60"/>
      <c r="G102" s="46"/>
      <c r="H102" s="50"/>
      <c r="J102" s="51"/>
    </row>
    <row r="104" spans="1:10" x14ac:dyDescent="0.35">
      <c r="A104" s="12" t="s">
        <v>69</v>
      </c>
    </row>
    <row r="105" spans="1:10" x14ac:dyDescent="0.35">
      <c r="A105" s="12" t="s">
        <v>84</v>
      </c>
    </row>
    <row r="106" spans="1:10" x14ac:dyDescent="0.35">
      <c r="A106" s="12" t="s">
        <v>253</v>
      </c>
    </row>
    <row r="107" spans="1:10" x14ac:dyDescent="0.35">
      <c r="A107" s="12" t="s">
        <v>252</v>
      </c>
    </row>
    <row r="108" spans="1:10" x14ac:dyDescent="0.35">
      <c r="A108" s="12" t="s">
        <v>274</v>
      </c>
    </row>
    <row r="109" spans="1:10" x14ac:dyDescent="0.35">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Emelia Wan Yi Tan</cp:lastModifiedBy>
  <cp:lastPrinted>2021-05-10T01:23:04Z</cp:lastPrinted>
  <dcterms:created xsi:type="dcterms:W3CDTF">2020-01-13T01:31:10Z</dcterms:created>
  <dcterms:modified xsi:type="dcterms:W3CDTF">2023-08-28T03:29:51Z</dcterms:modified>
</cp:coreProperties>
</file>