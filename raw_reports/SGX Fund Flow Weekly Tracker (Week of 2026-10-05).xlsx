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codeName="ThisWorkbook"/>
  <mc:AlternateContent xmlns:mc="http://schemas.openxmlformats.org/markup-compatibility/2006">
    <mc:Choice Requires="x15">
      <x15ac:absPath xmlns:x15ac="http://schemas.microsoft.com/office/spreadsheetml/2010/11/ac" url="Y:\Production\Insti fund flow tracker files\Draft reports\Final reports\Weekly excel files\"/>
    </mc:Choice>
  </mc:AlternateContent>
  <xr:revisionPtr revIDLastSave="0" documentId="13_ncr:1_{739EF943-DB44-4ACF-8E5E-8E6BD662CFB3}" xr6:coauthVersionLast="47" xr6:coauthVersionMax="47" xr10:uidLastSave="{00000000-0000-0000-0000-000000000000}"/>
  <bookViews>
    <workbookView xWindow="-110" yWindow="-110" windowWidth="19420" windowHeight="10300" tabRatio="888" xr2:uid="{00000000-000D-0000-FFFF-FFFF00000000}"/>
  </bookViews>
  <sheets>
    <sheet name="Weekly Top 10" sheetId="1" r:id="rId1"/>
    <sheet name="Institutional" sheetId="2" r:id="rId2"/>
    <sheet name="Retail" sheetId="3" r:id="rId3"/>
  </sheets>
  <definedNames>
    <definedName name="_xlnm._FilterDatabase" localSheetId="0" hidden="1">'Weekly Top 10'!$A$1:$A$3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5" i="1" l="1"/>
  <c r="C18" i="1"/>
  <c r="F18" i="1" s="1"/>
</calcChain>
</file>

<file path=xl/sharedStrings.xml><?xml version="1.0" encoding="utf-8"?>
<sst xmlns="http://schemas.openxmlformats.org/spreadsheetml/2006/main" count="138" uniqueCount="88">
  <si>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</si>
  <si>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</si>
  <si>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</si>
  <si>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</si>
  <si>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</si>
  <si>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</si>
  <si>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</si>
  <si>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</si>
  <si>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</si>
  <si>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</si>
  <si>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</si>
  <si>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</si>
  <si>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</si>
  <si>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</si>
  <si>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</si>
  <si>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</si>
  <si>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</si>
  <si>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</si>
  <si>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</si>
  <si>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</si>
  <si>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</si>
  <si>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</si>
  <si>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DBS</t>
  </si>
  <si>
    <t>Contact Us</t>
  </si>
  <si>
    <t>Health
care</t>
  </si>
  <si>
    <t>Telcos</t>
  </si>
  <si>
    <t>https://www2.sgx.com/research-education/data-reports</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</si>
  <si>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</si>
  <si>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</si>
  <si>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</si>
  <si>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Source: SGX.</t>
  </si>
  <si>
    <t>sgx.com/research</t>
  </si>
  <si>
    <t>To sign up for daily market updates or for more information, please contact research@SGX.com.</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</si>
  <si>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</si>
  <si>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OCBC</t>
  </si>
  <si>
    <t>O39</t>
  </si>
  <si>
    <t>UOB</t>
  </si>
  <si>
    <t>U11</t>
  </si>
  <si>
    <t>SGX</t>
  </si>
  <si>
    <t>S68</t>
  </si>
  <si>
    <t>Keppel</t>
  </si>
  <si>
    <t>BN4</t>
  </si>
  <si>
    <t xml:space="preserve">AEM </t>
  </si>
  <si>
    <t>AWX</t>
  </si>
  <si>
    <t>Singtel</t>
  </si>
  <si>
    <t>Z74</t>
  </si>
  <si>
    <t>Yangzijiang Shipbuilding</t>
  </si>
  <si>
    <t>BS6</t>
  </si>
  <si>
    <t>UMS</t>
  </si>
  <si>
    <t>ST Engineering</t>
  </si>
  <si>
    <t>S63</t>
  </si>
  <si>
    <t>Genting Singapore</t>
  </si>
  <si>
    <t>G13</t>
  </si>
  <si>
    <t>CapitaLand Ascendas REIT</t>
  </si>
  <si>
    <t>A17U</t>
  </si>
  <si>
    <t>Seatrium</t>
  </si>
  <si>
    <t>5E2</t>
  </si>
  <si>
    <t>Jardine Matheson</t>
  </si>
  <si>
    <t>J36</t>
  </si>
  <si>
    <t>iFast Corporation</t>
  </si>
  <si>
    <t>AIY</t>
  </si>
  <si>
    <t>CapitaLand Investment</t>
  </si>
  <si>
    <t>9CI</t>
  </si>
  <si>
    <t>E28</t>
  </si>
  <si>
    <t>PC Partner</t>
  </si>
  <si>
    <t>PCT</t>
  </si>
  <si>
    <t>SIA</t>
  </si>
  <si>
    <t>C6L</t>
  </si>
  <si>
    <t>Frencken Group</t>
  </si>
  <si>
    <t>Sembcorp Industries</t>
  </si>
  <si>
    <t>U96</t>
  </si>
  <si>
    <t>CapitaLand Integrated Commercial Trust</t>
  </si>
  <si>
    <t>C38U</t>
  </si>
  <si>
    <t>Hongkong Land</t>
  </si>
  <si>
    <t>H78</t>
  </si>
  <si>
    <t>Venture Corporation</t>
  </si>
  <si>
    <t>V03</t>
  </si>
  <si>
    <t>Q&amp;M Dental</t>
  </si>
  <si>
    <t>QC7</t>
  </si>
  <si>
    <t>Sheng Siong</t>
  </si>
  <si>
    <t>OV8</t>
  </si>
  <si>
    <t>UI Boustead REIT</t>
  </si>
  <si>
    <t>UIBU</t>
  </si>
  <si>
    <t>Jardine Cycle &amp; Carriage</t>
  </si>
  <si>
    <t>C07</t>
  </si>
  <si>
    <t>Week of 5 October 2026</t>
  </si>
  <si>
    <r>
      <t xml:space="preserve">Institutional investors net </t>
    </r>
    <r>
      <rPr>
        <b/>
        <sz val="11"/>
        <rFont val="Arial"/>
        <family val="2"/>
      </rPr>
      <t>sell</t>
    </r>
    <r>
      <rPr>
        <sz val="11"/>
        <rFont val="Arial"/>
        <family val="2"/>
      </rPr>
      <t xml:space="preserve"> (-S$895.9m) vs. (-S$309.3m) a week ago</t>
    </r>
  </si>
  <si>
    <r>
      <t xml:space="preserve">Retail investors net </t>
    </r>
    <r>
      <rPr>
        <b/>
        <sz val="11"/>
        <rFont val="Arial"/>
        <family val="2"/>
      </rPr>
      <t>buy</t>
    </r>
    <r>
      <rPr>
        <sz val="11"/>
        <rFont val="Arial"/>
        <family val="2"/>
      </rPr>
      <t xml:space="preserve"> (+S$760.5m) vs. (+S$377.6m) a week ago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</si>
</sst>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_(* #,##0.00_);_(* \(#,##0.00\);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
    <numFmt numFmtId="172" formatCode="dd\ mmmm\ yyyy"/>
    <numFmt numFmtId="173" formatCode="0.00000"/>
    <numFmt numFmtId="174" formatCode="_(* #,##0.0000_);_(* \(#,##0.0000\);_(* &quot;-&quot;?_);_(@_)"/>
    <numFmt numFmtId="175" formatCode="#,##0.00000_);[Red]\(#,##0.00000\)"/>
    <numFmt numFmtId="176" formatCode="0.0000_);[Red]\(0.0000\)"/>
  </numFmts>
  <fonts count="15"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indexed="9"/>
      <name val="Arial"/>
      <family val="2"/>
    </font>
    <font>
      <i/>
      <sz val="11"/>
      <color theme="1"/>
      <name val="Arial"/>
      <family val="2"/>
    </font>
    <font>
      <b/>
      <sz val="11"/>
      <color theme="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4">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thin">
        <color indexed="64"/>
      </left>
      <right/>
      <top/>
      <bottom style="thin">
        <color indexed="64"/>
      </bottom>
      <diagonal/>
    </border>
  </borders>
  <cellStyleXfs count="2">
    <xf numFmtId="0" fontId="0" fillId="0" borderId="0"/>
    <xf numFmtId="164" fontId="1" fillId="0" borderId="0" applyFont="0" applyFill="0" applyBorder="0" applyAlignment="0" applyProtection="0"/>
  </cellStyleXfs>
  <cellXfs count="79">
    <xf numFmtId="0" fontId="0" fillId="0" borderId="0" xfId="0"/>
    <xf numFmtId="0" fontId="2" fillId="0" borderId="0" xfId="0" applyFont="1"/>
    <xf numFmtId="0" fontId="3" fillId="0" borderId="0" xfId="0" applyFont="1"/>
    <xf numFmtId="49" fontId="4" fillId="2" borderId="1" xfId="0" applyNumberFormat="1" applyFont="1" applyFill="1" applyBorder="1" applyAlignment="1">
      <alignment vertical="center" wrapText="1"/>
    </xf>
    <xf numFmtId="49" fontId="4"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5" fillId="0" borderId="0" xfId="0" applyFont="1" applyAlignment="1">
      <alignment horizontal="left"/>
    </xf>
    <xf numFmtId="166" fontId="3" fillId="0" borderId="0" xfId="0" applyNumberFormat="1" applyFont="1" applyAlignment="1">
      <alignment horizontal="left"/>
    </xf>
    <xf numFmtId="49" fontId="4" fillId="2" borderId="6" xfId="0" applyNumberFormat="1" applyFont="1" applyFill="1" applyBorder="1" applyAlignment="1">
      <alignment horizontal="left" vertical="center" wrapText="1"/>
    </xf>
    <xf numFmtId="168" fontId="3" fillId="0" borderId="0" xfId="0" applyNumberFormat="1" applyFont="1"/>
    <xf numFmtId="168" fontId="3" fillId="4" borderId="0" xfId="1" applyNumberFormat="1" applyFont="1" applyFill="1" applyAlignment="1">
      <alignment horizontal="center" vertical="center"/>
    </xf>
    <xf numFmtId="0" fontId="3" fillId="4" borderId="8" xfId="0" applyFont="1" applyFill="1" applyBorder="1" applyAlignment="1">
      <alignment horizontal="left"/>
    </xf>
    <xf numFmtId="165" fontId="3" fillId="4" borderId="8" xfId="0" applyNumberFormat="1" applyFont="1" applyFill="1" applyBorder="1" applyAlignment="1">
      <alignment horizontal="right"/>
    </xf>
    <xf numFmtId="0" fontId="3" fillId="0" borderId="4" xfId="0" applyFont="1" applyBorder="1" applyAlignment="1">
      <alignment horizontal="left"/>
    </xf>
    <xf numFmtId="0" fontId="7" fillId="0" borderId="0" xfId="0" applyFont="1"/>
    <xf numFmtId="0" fontId="1" fillId="0" borderId="0" xfId="0" applyFont="1"/>
    <xf numFmtId="0" fontId="1" fillId="0" borderId="0" xfId="0" applyFont="1" applyAlignment="1">
      <alignment wrapText="1"/>
    </xf>
    <xf numFmtId="0" fontId="8" fillId="0" borderId="0" xfId="0" applyFont="1"/>
    <xf numFmtId="0" fontId="9"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0" fillId="0" borderId="0" xfId="0" applyFont="1"/>
    <xf numFmtId="0" fontId="3" fillId="0" borderId="11" xfId="0" applyFont="1" applyBorder="1" applyAlignment="1">
      <alignment horizontal="left"/>
    </xf>
    <xf numFmtId="0" fontId="12" fillId="5" borderId="8" xfId="0" applyFont="1" applyFill="1" applyBorder="1" applyAlignment="1">
      <alignment vertical="center"/>
    </xf>
    <xf numFmtId="0" fontId="12" fillId="0" borderId="4" xfId="0" applyFont="1" applyBorder="1" applyAlignment="1">
      <alignment vertical="center"/>
    </xf>
    <xf numFmtId="0" fontId="12" fillId="5" borderId="4" xfId="0" applyFont="1" applyFill="1" applyBorder="1" applyAlignment="1">
      <alignment vertical="center"/>
    </xf>
    <xf numFmtId="0" fontId="12" fillId="0" borderId="5" xfId="0" applyFont="1" applyBorder="1" applyAlignment="1">
      <alignment vertical="center"/>
    </xf>
    <xf numFmtId="169" fontId="0" fillId="0" borderId="0" xfId="1" applyNumberFormat="1" applyFont="1"/>
    <xf numFmtId="49" fontId="6"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8" fontId="0" fillId="0" borderId="0" xfId="0" applyNumberFormat="1"/>
    <xf numFmtId="167" fontId="6" fillId="6" borderId="10" xfId="0" applyNumberFormat="1" applyFont="1" applyFill="1" applyBorder="1" applyAlignment="1">
      <alignment horizontal="center"/>
    </xf>
    <xf numFmtId="169" fontId="0" fillId="0" borderId="0" xfId="0" applyNumberFormat="1"/>
    <xf numFmtId="169" fontId="3" fillId="0" borderId="0" xfId="1" applyNumberFormat="1" applyFont="1" applyFill="1"/>
    <xf numFmtId="15" fontId="3" fillId="0" borderId="0" xfId="0" applyNumberFormat="1" applyFont="1" applyAlignment="1">
      <alignment horizontal="left" vertical="center"/>
    </xf>
    <xf numFmtId="166" fontId="3" fillId="7" borderId="0" xfId="0" applyNumberFormat="1" applyFont="1" applyFill="1" applyAlignment="1">
      <alignment horizontal="left"/>
    </xf>
    <xf numFmtId="49" fontId="4" fillId="3" borderId="2" xfId="0" applyNumberFormat="1" applyFont="1" applyFill="1" applyBorder="1" applyAlignment="1">
      <alignment horizontal="left" vertical="center" wrapText="1"/>
    </xf>
    <xf numFmtId="49" fontId="4" fillId="3" borderId="2" xfId="0" applyNumberFormat="1" applyFont="1" applyFill="1" applyBorder="1" applyAlignment="1">
      <alignment horizontal="right" vertical="center" wrapText="1"/>
    </xf>
    <xf numFmtId="49" fontId="4"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2" xfId="0" applyNumberFormat="1" applyFont="1" applyFill="1" applyBorder="1" applyAlignment="1">
      <alignment horizontal="left" vertical="center"/>
    </xf>
    <xf numFmtId="167" fontId="6" fillId="4" borderId="10" xfId="0" applyNumberFormat="1" applyFont="1" applyFill="1" applyBorder="1" applyAlignment="1">
      <alignment horizontal="center"/>
    </xf>
    <xf numFmtId="0" fontId="12" fillId="0" borderId="0" xfId="0" applyFont="1"/>
    <xf numFmtId="171" fontId="0" fillId="0" borderId="0" xfId="0" applyNumberFormat="1"/>
    <xf numFmtId="167" fontId="6" fillId="0" borderId="0" xfId="0" applyNumberFormat="1" applyFont="1" applyAlignment="1">
      <alignment horizontal="center"/>
    </xf>
    <xf numFmtId="0" fontId="13" fillId="0" borderId="0" xfId="0" applyFont="1"/>
    <xf numFmtId="168" fontId="3" fillId="0" borderId="0" xfId="1" applyNumberFormat="1" applyFont="1" applyFill="1" applyAlignment="1">
      <alignment horizontal="center" vertical="center"/>
    </xf>
    <xf numFmtId="166" fontId="3" fillId="4" borderId="0" xfId="0" applyNumberFormat="1" applyFont="1" applyFill="1" applyAlignment="1">
      <alignment horizontal="left"/>
    </xf>
    <xf numFmtId="165" fontId="3" fillId="0" borderId="0" xfId="0" applyNumberFormat="1" applyFont="1" applyAlignment="1">
      <alignment horizontal="center"/>
    </xf>
    <xf numFmtId="0" fontId="3" fillId="0" borderId="5" xfId="0" applyFont="1" applyBorder="1" applyAlignment="1">
      <alignment horizontal="left"/>
    </xf>
    <xf numFmtId="0" fontId="5" fillId="0" borderId="0" xfId="0" applyFont="1"/>
    <xf numFmtId="15" fontId="3" fillId="0" borderId="0" xfId="0" applyNumberFormat="1" applyFont="1" applyAlignment="1">
      <alignment horizontal="left"/>
    </xf>
    <xf numFmtId="172" fontId="3" fillId="0" borderId="0" xfId="0" applyNumberFormat="1" applyFont="1"/>
    <xf numFmtId="165" fontId="3" fillId="4" borderId="0" xfId="0" applyNumberFormat="1" applyFont="1" applyFill="1" applyAlignment="1">
      <alignment horizontal="center"/>
    </xf>
    <xf numFmtId="171" fontId="0" fillId="0" borderId="0" xfId="0" applyNumberFormat="1" applyAlignment="1">
      <alignment horizontal="left"/>
    </xf>
    <xf numFmtId="173" fontId="3" fillId="0" borderId="0" xfId="0" applyNumberFormat="1" applyFont="1"/>
    <xf numFmtId="174" fontId="0" fillId="0" borderId="0" xfId="0" applyNumberFormat="1"/>
    <xf numFmtId="175" fontId="3" fillId="0" borderId="0" xfId="0" applyNumberFormat="1" applyFont="1"/>
    <xf numFmtId="176" fontId="3" fillId="0" borderId="0" xfId="0" applyNumberFormat="1" applyFont="1"/>
    <xf numFmtId="15" fontId="3" fillId="4" borderId="0" xfId="0" applyNumberFormat="1" applyFont="1" applyFill="1" applyAlignment="1">
      <alignment horizontal="left"/>
    </xf>
    <xf numFmtId="0" fontId="3" fillId="0" borderId="13" xfId="0" applyFont="1" applyBorder="1" applyAlignment="1">
      <alignment horizontal="left"/>
    </xf>
    <xf numFmtId="0" fontId="3" fillId="5" borderId="0" xfId="0" applyFont="1" applyFill="1" applyAlignment="1">
      <alignment horizontal="left"/>
    </xf>
    <xf numFmtId="165" fontId="3" fillId="5" borderId="4" xfId="0" applyNumberFormat="1" applyFont="1" applyFill="1" applyBorder="1" applyAlignment="1">
      <alignment horizontal="right"/>
    </xf>
    <xf numFmtId="0" fontId="12" fillId="7" borderId="4" xfId="0" applyFont="1" applyFill="1" applyBorder="1" applyAlignment="1">
      <alignment vertical="center"/>
    </xf>
    <xf numFmtId="0" fontId="3" fillId="7" borderId="0" xfId="0" applyFont="1" applyFill="1" applyAlignment="1">
      <alignment horizontal="left"/>
    </xf>
    <xf numFmtId="165" fontId="3" fillId="7" borderId="4" xfId="0" applyNumberFormat="1" applyFont="1" applyFill="1" applyBorder="1" applyAlignment="1">
      <alignment horizontal="right"/>
    </xf>
    <xf numFmtId="0" fontId="11" fillId="0" borderId="0" xfId="0" applyFont="1" applyAlignment="1">
      <alignment horizontal="left" wrapText="1"/>
    </xf>
    <xf numFmtId="49" fontId="4" fillId="2" borderId="9" xfId="0" applyNumberFormat="1" applyFont="1" applyFill="1" applyBorder="1" applyAlignment="1">
      <alignment horizontal="center" vertical="center" wrapText="1"/>
    </xf>
    <xf numFmtId="49" fontId="4" fillId="2" borderId="10"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9" fontId="4" fillId="2" borderId="3" xfId="0" applyNumberFormat="1" applyFont="1" applyFill="1" applyBorder="1" applyAlignment="1">
      <alignment horizontal="center" vertical="center" wrapText="1"/>
    </xf>
    <xf numFmtId="49" fontId="4" fillId="2" borderId="7" xfId="0" applyNumberFormat="1"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colors>
    <mruColors>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53125" defaultRowHeight="14" x14ac:dyDescent="0.3"/>
  <cols>
    <col min="1" max="1" width="43.453125" style="2" customWidth="1"/>
    <col min="2" max="2" width="7" style="2" customWidth="1"/>
    <col min="3" max="3" width="17.453125" style="2" customWidth="1"/>
    <col min="4" max="4" width="41.54296875" style="2" customWidth="1"/>
    <col min="5" max="5" width="7" style="2" customWidth="1"/>
    <col min="6" max="6" width="17.453125" style="2" customWidth="1"/>
    <col min="7" max="7" width="37.81640625" style="2" bestFit="1" customWidth="1"/>
    <col min="8" max="8" width="30" style="2" bestFit="1" customWidth="1"/>
    <col min="9" max="9" width="12.1796875" style="34" bestFit="1" customWidth="1"/>
    <col min="10" max="10" width="37.81640625" style="2" bestFit="1" customWidth="1"/>
    <col min="11" max="11" width="30" style="2" bestFit="1" customWidth="1"/>
    <col min="12" max="12" width="10.54296875" style="2" bestFit="1" customWidth="1"/>
    <col min="13" max="16384" width="9.453125" style="2"/>
  </cols>
  <sheetData>
    <row r="1" spans="1:13" x14ac:dyDescent="0.3">
      <c r="A1" s="1" t="s">
        <v>85</v>
      </c>
      <c r="C1" s="59"/>
    </row>
    <row r="2" spans="1:13" x14ac:dyDescent="0.3">
      <c r="A2" s="52" t="s">
        <v>86</v>
      </c>
      <c r="I2" s="40"/>
    </row>
    <row r="3" spans="1:13" x14ac:dyDescent="0.3">
      <c r="A3" s="52" t="s">
        <v>87</v>
      </c>
      <c r="I3" s="40"/>
    </row>
    <row r="5" spans="1:13" ht="29.25" customHeight="1" x14ac:dyDescent="0.3">
      <c r="A5" s="3" t="s">
        <v>0</v>
      </c>
      <c r="B5" s="3" t="s">
        <v>1</v>
      </c>
      <c r="C5" s="4" t="s">
        <v>85</v>
      </c>
      <c r="D5" s="43" t="s">
        <v>2</v>
      </c>
      <c r="E5" s="43" t="s">
        <v>1</v>
      </c>
      <c r="F5" s="44" t="str">
        <f>+C5</f>
        <v>Week of 5 October 2026</v>
      </c>
      <c r="I5" s="2"/>
    </row>
    <row r="6" spans="1:13" ht="14.5" x14ac:dyDescent="0.35">
      <c r="A6" s="28" t="s">
        <v>42</v>
      </c>
      <c r="B6" s="46" t="s">
        <v>43</v>
      </c>
      <c r="C6" s="5">
        <v>60.993873999999998</v>
      </c>
      <c r="D6" s="28" t="s">
        <v>22</v>
      </c>
      <c r="E6" s="46" t="s">
        <v>21</v>
      </c>
      <c r="F6" s="5">
        <v>-316.44080700000001</v>
      </c>
      <c r="G6" s="61"/>
      <c r="H6"/>
      <c r="I6" s="2"/>
      <c r="M6"/>
    </row>
    <row r="7" spans="1:13" ht="14.5" x14ac:dyDescent="0.35">
      <c r="A7" s="29" t="s">
        <v>57</v>
      </c>
      <c r="B7" s="9" t="s">
        <v>58</v>
      </c>
      <c r="C7" s="7">
        <v>27.530430649119999</v>
      </c>
      <c r="D7" s="29" t="s">
        <v>34</v>
      </c>
      <c r="E7" s="9" t="s">
        <v>35</v>
      </c>
      <c r="F7" s="7">
        <v>-295.00544739999998</v>
      </c>
      <c r="G7" s="61"/>
      <c r="H7"/>
      <c r="I7" s="2"/>
      <c r="L7"/>
      <c r="M7"/>
    </row>
    <row r="8" spans="1:13" ht="14.5" x14ac:dyDescent="0.35">
      <c r="A8" s="30" t="s">
        <v>49</v>
      </c>
      <c r="B8" s="46" t="s">
        <v>50</v>
      </c>
      <c r="C8" s="5">
        <v>24.900746000000002</v>
      </c>
      <c r="D8" s="30" t="s">
        <v>36</v>
      </c>
      <c r="E8" s="46" t="s">
        <v>37</v>
      </c>
      <c r="F8" s="5">
        <v>-109.2412197</v>
      </c>
      <c r="G8" s="61"/>
      <c r="H8"/>
      <c r="I8" s="2"/>
      <c r="L8"/>
      <c r="M8"/>
    </row>
    <row r="9" spans="1:13" ht="14.5" x14ac:dyDescent="0.35">
      <c r="A9" s="29" t="s">
        <v>69</v>
      </c>
      <c r="B9" s="9" t="s">
        <v>70</v>
      </c>
      <c r="C9" s="7">
        <v>17.112100000000002</v>
      </c>
      <c r="D9" s="29" t="s">
        <v>40</v>
      </c>
      <c r="E9" s="9" t="s">
        <v>41</v>
      </c>
      <c r="F9" s="7">
        <v>-49.239865500000001</v>
      </c>
      <c r="G9" s="61"/>
      <c r="H9"/>
      <c r="I9" s="2"/>
      <c r="L9"/>
      <c r="M9"/>
    </row>
    <row r="10" spans="1:13" ht="14.5" x14ac:dyDescent="0.35">
      <c r="A10" s="30" t="s">
        <v>44</v>
      </c>
      <c r="B10" s="46" t="s">
        <v>45</v>
      </c>
      <c r="C10" s="5">
        <v>14.3991837</v>
      </c>
      <c r="D10" s="30" t="s">
        <v>53</v>
      </c>
      <c r="E10" s="46" t="s">
        <v>54</v>
      </c>
      <c r="F10" s="5">
        <v>-48.922176</v>
      </c>
      <c r="G10" s="61"/>
      <c r="H10"/>
      <c r="I10" s="2"/>
      <c r="L10"/>
      <c r="M10"/>
    </row>
    <row r="11" spans="1:13" ht="14.5" x14ac:dyDescent="0.35">
      <c r="A11" s="29" t="s">
        <v>71</v>
      </c>
      <c r="B11" s="9" t="s">
        <v>72</v>
      </c>
      <c r="C11" s="7">
        <v>9.7845419999999983</v>
      </c>
      <c r="D11" s="29" t="s">
        <v>38</v>
      </c>
      <c r="E11" s="9" t="s">
        <v>39</v>
      </c>
      <c r="F11" s="7">
        <v>-30.730312900000001</v>
      </c>
      <c r="G11" s="61"/>
      <c r="H11"/>
      <c r="I11" s="2"/>
      <c r="L11"/>
      <c r="M11"/>
    </row>
    <row r="12" spans="1:13" ht="14.5" x14ac:dyDescent="0.35">
      <c r="A12" s="30" t="s">
        <v>73</v>
      </c>
      <c r="B12" s="46" t="s">
        <v>74</v>
      </c>
      <c r="C12" s="5">
        <v>6.8938176280000008</v>
      </c>
      <c r="D12" s="30" t="s">
        <v>66</v>
      </c>
      <c r="E12" s="46" t="s">
        <v>67</v>
      </c>
      <c r="F12" s="5">
        <v>-25.365673999999999</v>
      </c>
      <c r="G12" s="61"/>
      <c r="H12"/>
      <c r="I12" s="2"/>
      <c r="L12"/>
      <c r="M12"/>
    </row>
    <row r="13" spans="1:13" ht="14.5" x14ac:dyDescent="0.35">
      <c r="A13" s="29" t="s">
        <v>75</v>
      </c>
      <c r="B13" s="9" t="s">
        <v>76</v>
      </c>
      <c r="C13" s="7">
        <v>6.5874582000000004</v>
      </c>
      <c r="D13" s="29" t="s">
        <v>55</v>
      </c>
      <c r="E13" s="9" t="s">
        <v>56</v>
      </c>
      <c r="F13" s="7">
        <v>-21.028986</v>
      </c>
      <c r="G13" s="61"/>
      <c r="H13"/>
      <c r="I13" s="2"/>
      <c r="L13"/>
      <c r="M13"/>
    </row>
    <row r="14" spans="1:13" ht="14.5" x14ac:dyDescent="0.35">
      <c r="A14" s="30" t="s">
        <v>48</v>
      </c>
      <c r="B14" s="46">
        <v>558</v>
      </c>
      <c r="C14" s="5">
        <v>5.0742099999999999</v>
      </c>
      <c r="D14" s="30" t="s">
        <v>46</v>
      </c>
      <c r="E14" s="46" t="s">
        <v>47</v>
      </c>
      <c r="F14" s="5">
        <v>-19.014885</v>
      </c>
      <c r="G14" s="61"/>
      <c r="H14"/>
      <c r="I14" s="2"/>
      <c r="L14"/>
      <c r="M14"/>
    </row>
    <row r="15" spans="1:13" ht="14.5" x14ac:dyDescent="0.35">
      <c r="A15" s="31" t="s">
        <v>77</v>
      </c>
      <c r="B15" s="27" t="s">
        <v>78</v>
      </c>
      <c r="C15" s="8">
        <v>4.9716760000000004</v>
      </c>
      <c r="D15" s="31" t="s">
        <v>61</v>
      </c>
      <c r="E15" s="27" t="s">
        <v>62</v>
      </c>
      <c r="F15" s="8">
        <v>-18.689007</v>
      </c>
      <c r="G15" s="61"/>
      <c r="H15"/>
      <c r="I15" s="2"/>
      <c r="L15"/>
      <c r="M15"/>
    </row>
    <row r="16" spans="1:13" ht="15.5" x14ac:dyDescent="0.35">
      <c r="A16" s="9"/>
      <c r="B16" s="9"/>
      <c r="C16" s="9"/>
      <c r="D16" s="26"/>
      <c r="E16" s="9"/>
      <c r="F16" s="9"/>
    </row>
    <row r="17" spans="1:9" x14ac:dyDescent="0.3">
      <c r="A17" s="9"/>
      <c r="B17" s="9"/>
      <c r="C17" s="9"/>
      <c r="D17" s="9"/>
      <c r="E17" s="9"/>
      <c r="F17" s="9"/>
    </row>
    <row r="18" spans="1:9" ht="28.5" customHeight="1" x14ac:dyDescent="0.3">
      <c r="A18" s="33" t="s">
        <v>3</v>
      </c>
      <c r="B18" s="3" t="s">
        <v>1</v>
      </c>
      <c r="C18" s="4" t="str">
        <f>C5</f>
        <v>Week of 5 October 2026</v>
      </c>
      <c r="D18" s="45" t="s">
        <v>4</v>
      </c>
      <c r="E18" s="43" t="s">
        <v>1</v>
      </c>
      <c r="F18" s="44" t="str">
        <f>+C18</f>
        <v>Week of 5 October 2026</v>
      </c>
    </row>
    <row r="19" spans="1:9" x14ac:dyDescent="0.3">
      <c r="A19" s="30" t="s">
        <v>34</v>
      </c>
      <c r="B19" s="46" t="s">
        <v>35</v>
      </c>
      <c r="C19" s="16">
        <v>353.02651079999998</v>
      </c>
      <c r="D19" s="30" t="s">
        <v>42</v>
      </c>
      <c r="E19" s="15" t="s">
        <v>43</v>
      </c>
      <c r="F19" s="5">
        <v>-78.414856</v>
      </c>
      <c r="I19" s="2"/>
    </row>
    <row r="20" spans="1:9" ht="14.5" x14ac:dyDescent="0.35">
      <c r="A20" s="29" t="s">
        <v>22</v>
      </c>
      <c r="B20" s="9" t="s">
        <v>21</v>
      </c>
      <c r="C20" s="7">
        <v>313.88621879999999</v>
      </c>
      <c r="D20" s="29" t="s">
        <v>49</v>
      </c>
      <c r="E20" s="17" t="s">
        <v>50</v>
      </c>
      <c r="F20" s="7">
        <v>-15.59806</v>
      </c>
      <c r="G20" s="61"/>
      <c r="I20" s="2"/>
    </row>
    <row r="21" spans="1:9" ht="14.5" x14ac:dyDescent="0.35">
      <c r="A21" s="30" t="s">
        <v>36</v>
      </c>
      <c r="B21" s="46" t="s">
        <v>37</v>
      </c>
      <c r="C21" s="5">
        <v>77.125872099999995</v>
      </c>
      <c r="D21" s="30" t="s">
        <v>69</v>
      </c>
      <c r="E21" s="6" t="s">
        <v>70</v>
      </c>
      <c r="F21" s="5">
        <v>-11.618491000000001</v>
      </c>
      <c r="G21" s="61"/>
      <c r="I21" s="2"/>
    </row>
    <row r="22" spans="1:9" ht="14.5" x14ac:dyDescent="0.35">
      <c r="A22" s="29" t="s">
        <v>40</v>
      </c>
      <c r="B22" s="9" t="s">
        <v>41</v>
      </c>
      <c r="C22" s="7">
        <v>26.825453799999998</v>
      </c>
      <c r="D22" s="29" t="s">
        <v>83</v>
      </c>
      <c r="E22" s="17" t="s">
        <v>84</v>
      </c>
      <c r="F22" s="7">
        <v>-6.8249735999999999</v>
      </c>
      <c r="G22" s="61"/>
      <c r="I22" s="2"/>
    </row>
    <row r="23" spans="1:9" ht="14.5" x14ac:dyDescent="0.35">
      <c r="A23" s="30" t="s">
        <v>79</v>
      </c>
      <c r="B23" s="68" t="s">
        <v>80</v>
      </c>
      <c r="C23" s="69">
        <v>21.293742000000002</v>
      </c>
      <c r="D23" s="30" t="s">
        <v>46</v>
      </c>
      <c r="E23" s="6" t="s">
        <v>47</v>
      </c>
      <c r="F23" s="5">
        <v>-6.5797290000000004</v>
      </c>
      <c r="G23" s="61"/>
      <c r="I23" s="2"/>
    </row>
    <row r="24" spans="1:9" ht="14.5" x14ac:dyDescent="0.35">
      <c r="A24" s="70" t="s">
        <v>53</v>
      </c>
      <c r="B24" s="71" t="s">
        <v>54</v>
      </c>
      <c r="C24" s="72">
        <v>18.785868000000001</v>
      </c>
      <c r="D24" s="29" t="s">
        <v>51</v>
      </c>
      <c r="E24" s="17" t="s">
        <v>52</v>
      </c>
      <c r="F24" s="7">
        <v>-5.2232075</v>
      </c>
      <c r="G24" s="61"/>
      <c r="I24" s="2"/>
    </row>
    <row r="25" spans="1:9" ht="14.5" x14ac:dyDescent="0.35">
      <c r="A25" s="30" t="s">
        <v>61</v>
      </c>
      <c r="B25" s="68" t="s">
        <v>62</v>
      </c>
      <c r="C25" s="69">
        <v>12.979247000000001</v>
      </c>
      <c r="D25" s="30" t="s">
        <v>77</v>
      </c>
      <c r="E25" s="6" t="s">
        <v>78</v>
      </c>
      <c r="F25" s="5">
        <v>-5.0780684999999997</v>
      </c>
      <c r="G25" s="61"/>
      <c r="I25" s="2"/>
    </row>
    <row r="26" spans="1:9" ht="14.5" x14ac:dyDescent="0.35">
      <c r="A26" s="70" t="s">
        <v>59</v>
      </c>
      <c r="B26" s="71" t="s">
        <v>60</v>
      </c>
      <c r="C26" s="72">
        <v>11.808797999999999</v>
      </c>
      <c r="D26" s="29" t="s">
        <v>64</v>
      </c>
      <c r="E26" s="17" t="s">
        <v>65</v>
      </c>
      <c r="F26" s="7">
        <v>-4.2230449999999999</v>
      </c>
      <c r="G26" s="61"/>
      <c r="I26" s="2"/>
    </row>
    <row r="27" spans="1:9" ht="14.5" x14ac:dyDescent="0.35">
      <c r="A27" s="30" t="s">
        <v>68</v>
      </c>
      <c r="B27" s="46" t="s">
        <v>63</v>
      </c>
      <c r="C27" s="5">
        <v>11.380765</v>
      </c>
      <c r="D27" s="30" t="s">
        <v>75</v>
      </c>
      <c r="E27" s="46" t="s">
        <v>76</v>
      </c>
      <c r="F27" s="5">
        <v>-4.1124758000000003</v>
      </c>
      <c r="G27" s="61"/>
      <c r="I27" s="2"/>
    </row>
    <row r="28" spans="1:9" ht="14.5" x14ac:dyDescent="0.35">
      <c r="A28" s="27" t="s">
        <v>81</v>
      </c>
      <c r="B28" s="56" t="s">
        <v>82</v>
      </c>
      <c r="C28" s="8">
        <v>9.3689409999999995</v>
      </c>
      <c r="D28" s="67" t="s">
        <v>44</v>
      </c>
      <c r="E28" s="56" t="s">
        <v>45</v>
      </c>
      <c r="F28" s="8">
        <v>-3.7108941999999989</v>
      </c>
      <c r="G28" s="61"/>
      <c r="I28" s="2"/>
    </row>
    <row r="29" spans="1:9" x14ac:dyDescent="0.3">
      <c r="A29" s="9"/>
      <c r="B29" s="9"/>
      <c r="C29" s="9"/>
      <c r="D29" s="9"/>
      <c r="E29" s="9"/>
      <c r="F29" s="9"/>
    </row>
    <row r="30" spans="1:9" ht="14.5" x14ac:dyDescent="0.35">
      <c r="A30" s="10" t="s">
        <v>30</v>
      </c>
      <c r="B30" s="10"/>
      <c r="C30" s="9"/>
      <c r="D30" s="9"/>
      <c r="E30" s="9"/>
      <c r="F30" s="9"/>
    </row>
    <row r="31" spans="1:9" ht="14.5" x14ac:dyDescent="0.35">
      <c r="A31" s="10" t="s">
        <v>27</v>
      </c>
      <c r="B31" s="10"/>
      <c r="C31" s="9"/>
      <c r="D31" s="9"/>
      <c r="E31" s="9"/>
      <c r="F31" s="9"/>
    </row>
    <row r="32" spans="1:9" ht="14.5" x14ac:dyDescent="0.35">
      <c r="A32" s="10" t="s">
        <v>28</v>
      </c>
      <c r="B32" s="10"/>
      <c r="C32" s="9"/>
      <c r="D32" s="9"/>
      <c r="E32" s="9"/>
      <c r="F32" s="9"/>
    </row>
    <row r="33" spans="1:9" ht="14.5" x14ac:dyDescent="0.35">
      <c r="A33" s="10" t="s">
        <v>6</v>
      </c>
      <c r="B33" s="10"/>
      <c r="C33" s="9"/>
      <c r="D33" s="9"/>
      <c r="E33" s="9"/>
      <c r="F33" s="9"/>
    </row>
    <row r="34" spans="1:9" ht="14.5" x14ac:dyDescent="0.35">
      <c r="A34" s="57" t="s">
        <v>26</v>
      </c>
      <c r="B34" s="10"/>
      <c r="C34" s="9"/>
      <c r="D34" s="9"/>
      <c r="E34" s="9"/>
      <c r="F34" s="9"/>
      <c r="G34" s="49"/>
    </row>
    <row r="35" spans="1:9" ht="14.5" x14ac:dyDescent="0.35">
      <c r="A35" s="10"/>
      <c r="B35" s="10"/>
      <c r="C35" s="9"/>
      <c r="D35" s="9"/>
      <c r="E35" s="9"/>
      <c r="F35" s="9"/>
    </row>
    <row r="36" spans="1:9" ht="14.5" x14ac:dyDescent="0.35">
      <c r="A36" s="10"/>
      <c r="B36" s="10"/>
      <c r="C36" s="9"/>
      <c r="D36" s="9"/>
      <c r="E36" s="9"/>
      <c r="F36" s="9"/>
    </row>
    <row r="37" spans="1:9" customFormat="1" ht="15.5" x14ac:dyDescent="0.35">
      <c r="A37" s="18" t="s">
        <v>23</v>
      </c>
      <c r="B37" s="19"/>
      <c r="C37" s="20"/>
      <c r="D37" s="20"/>
      <c r="E37" s="19"/>
      <c r="F37" s="19"/>
      <c r="I37" s="32"/>
    </row>
    <row r="38" spans="1:9" customFormat="1" ht="14.5" x14ac:dyDescent="0.35">
      <c r="A38" s="21" t="s">
        <v>32</v>
      </c>
      <c r="B38" s="19"/>
      <c r="C38" s="20"/>
      <c r="D38" s="20"/>
      <c r="E38" s="19"/>
      <c r="F38" s="19"/>
      <c r="I38" s="32"/>
    </row>
    <row r="39" spans="1:9" s="25" customFormat="1" ht="19.399999999999999" customHeight="1" x14ac:dyDescent="0.35">
      <c r="A39" s="22" t="s">
        <v>31</v>
      </c>
      <c r="B39" s="23"/>
      <c r="C39" s="24"/>
      <c r="D39" s="24"/>
      <c r="E39" s="23"/>
      <c r="F39" s="23"/>
      <c r="I39" s="35"/>
    </row>
    <row r="40" spans="1:9" ht="169.4" customHeight="1" x14ac:dyDescent="0.3">
      <c r="A40" s="73" t="s">
        <v>33</v>
      </c>
      <c r="B40" s="73"/>
      <c r="C40" s="73"/>
      <c r="D40" s="73"/>
      <c r="E40" s="73"/>
      <c r="F40" s="73"/>
    </row>
    <row r="41" spans="1:9" x14ac:dyDescent="0.3">
      <c r="A41" s="9"/>
      <c r="B41" s="9"/>
      <c r="C41" s="9"/>
      <c r="D41" s="9"/>
      <c r="E41" s="9"/>
      <c r="F41" s="9"/>
    </row>
    <row r="42" spans="1:9" x14ac:dyDescent="0.3">
      <c r="A42" s="9"/>
      <c r="B42" s="9"/>
      <c r="C42" s="9"/>
      <c r="D42" s="9"/>
      <c r="E42" s="9"/>
      <c r="F42" s="9"/>
    </row>
    <row r="43" spans="1:9" x14ac:dyDescent="0.3">
      <c r="A43" s="9"/>
      <c r="B43" s="9"/>
      <c r="C43" s="9"/>
      <c r="D43" s="9"/>
      <c r="E43" s="9"/>
      <c r="F43" s="9"/>
    </row>
    <row r="44" spans="1:9" x14ac:dyDescent="0.3">
      <c r="A44" s="9"/>
      <c r="B44" s="9"/>
      <c r="C44" s="9"/>
      <c r="D44" s="9"/>
      <c r="E44" s="9"/>
      <c r="F44" s="9"/>
    </row>
    <row r="45" spans="1:9" x14ac:dyDescent="0.3">
      <c r="A45" s="9"/>
      <c r="B45" s="9"/>
      <c r="C45" s="9"/>
      <c r="D45" s="9"/>
      <c r="E45" s="9"/>
      <c r="F45" s="9"/>
    </row>
    <row r="46" spans="1:9" x14ac:dyDescent="0.3">
      <c r="A46" s="9"/>
      <c r="B46" s="9"/>
      <c r="C46" s="9"/>
      <c r="D46" s="9"/>
      <c r="E46" s="9"/>
      <c r="F46" s="9"/>
    </row>
    <row r="47" spans="1:9" x14ac:dyDescent="0.3">
      <c r="A47" s="9"/>
      <c r="B47" s="9"/>
      <c r="C47" s="9"/>
      <c r="D47" s="9"/>
      <c r="E47" s="9"/>
      <c r="F47" s="9"/>
    </row>
    <row r="48" spans="1:9" x14ac:dyDescent="0.3">
      <c r="A48" s="9"/>
      <c r="B48" s="9"/>
      <c r="C48" s="9"/>
      <c r="D48" s="9"/>
      <c r="E48" s="9"/>
      <c r="F48" s="9"/>
    </row>
    <row r="49" spans="1:6" x14ac:dyDescent="0.3">
      <c r="A49" s="9"/>
      <c r="B49" s="9"/>
      <c r="C49" s="9"/>
      <c r="D49" s="9"/>
      <c r="E49" s="9"/>
      <c r="F49" s="9"/>
    </row>
    <row r="50" spans="1:6" x14ac:dyDescent="0.3">
      <c r="A50" s="11"/>
      <c r="B50" s="11"/>
      <c r="C50" s="11"/>
      <c r="D50" s="11"/>
      <c r="E50" s="11"/>
      <c r="F50" s="11"/>
    </row>
    <row r="51" spans="1:6" x14ac:dyDescent="0.3">
      <c r="A51" s="11"/>
      <c r="B51" s="11"/>
      <c r="C51" s="11"/>
      <c r="D51" s="11"/>
      <c r="E51" s="11"/>
      <c r="F51" s="11"/>
    </row>
    <row r="52" spans="1:6" x14ac:dyDescent="0.3">
      <c r="A52" s="11"/>
      <c r="B52" s="11"/>
      <c r="C52" s="11"/>
      <c r="D52" s="11"/>
      <c r="E52" s="11"/>
      <c r="F52" s="11"/>
    </row>
    <row r="53" spans="1:6" x14ac:dyDescent="0.3">
      <c r="A53" s="11"/>
      <c r="B53" s="11"/>
      <c r="C53" s="11"/>
      <c r="D53" s="11"/>
      <c r="E53" s="11"/>
      <c r="F53" s="11"/>
    </row>
    <row r="54" spans="1:6" x14ac:dyDescent="0.3">
      <c r="A54" s="11"/>
      <c r="B54" s="11"/>
      <c r="C54" s="11"/>
      <c r="D54" s="11"/>
      <c r="E54" s="11"/>
      <c r="F54" s="11"/>
    </row>
    <row r="55" spans="1:6" x14ac:dyDescent="0.3">
      <c r="A55" s="11"/>
      <c r="B55" s="11"/>
      <c r="C55" s="11"/>
      <c r="D55" s="11"/>
      <c r="E55" s="11"/>
      <c r="F55" s="11"/>
    </row>
    <row r="56" spans="1:6" x14ac:dyDescent="0.3">
      <c r="A56" s="11"/>
      <c r="B56" s="11"/>
      <c r="C56" s="11"/>
      <c r="D56" s="11"/>
      <c r="E56" s="11"/>
      <c r="F56" s="11"/>
    </row>
    <row r="57" spans="1:6" x14ac:dyDescent="0.3">
      <c r="A57" s="11"/>
      <c r="B57" s="11"/>
      <c r="C57" s="11"/>
      <c r="D57" s="11"/>
      <c r="E57" s="11"/>
      <c r="F57" s="11"/>
    </row>
  </sheetData>
  <mergeCells count="1">
    <mergeCell ref="A40:F40"/>
  </mergeCells>
  <pageMargins left="0.7" right="0.7" top="0.75" bottom="0.75" header="0.3" footer="0.3"/>
  <pageSetup paperSize="9" orientation="portrait" verticalDpi="90" r:id="rId1"/>
  <headerFooter>
    <oddFooter>&amp;C_x000D_&amp;1#&amp;"Calibri"&amp;10&amp;K000000 Classified as Internal - For distribution within SGX</oddFooter>
  </headerFooter>
  <ignoredErrors>
    <ignoredError sqref="B29:D29 B16:E18 A4:E4 A16:A18 E1 A5:B5 D5:E5 E13"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23"/>
  <sheetViews>
    <sheetView showGridLines="0" zoomScale="82" zoomScaleNormal="100" workbookViewId="0">
      <selection sqref="A1:A2"/>
    </sheetView>
  </sheetViews>
  <sheetFormatPr defaultColWidth="9.453125" defaultRowHeight="14" x14ac:dyDescent="0.3"/>
  <cols>
    <col min="1" max="1" width="8.453125" style="2" bestFit="1" customWidth="1"/>
    <col min="2" max="2" width="15.26953125" style="2" bestFit="1" customWidth="1"/>
    <col min="3" max="4" width="11.453125" style="2" customWidth="1"/>
    <col min="5" max="5" width="10.54296875" style="2" customWidth="1"/>
    <col min="6" max="6" width="10" style="2" bestFit="1" customWidth="1"/>
    <col min="7" max="7" width="7.54296875" style="2" bestFit="1" customWidth="1"/>
    <col min="8" max="8" width="11.54296875" style="2" customWidth="1"/>
    <col min="9" max="9" width="12.453125" style="2" bestFit="1" customWidth="1"/>
    <col min="10" max="10" width="7.453125" style="2" bestFit="1" customWidth="1"/>
    <col min="11" max="11" width="8" style="2" bestFit="1" customWidth="1"/>
    <col min="12" max="12" width="12.81640625" style="2" bestFit="1" customWidth="1"/>
    <col min="13" max="13" width="8" style="2" bestFit="1" customWidth="1"/>
    <col min="14" max="14" width="8.7265625" style="2" bestFit="1" customWidth="1"/>
    <col min="15" max="16384" width="9.453125" style="2"/>
  </cols>
  <sheetData>
    <row r="1" spans="1:15" ht="17.25" customHeight="1" x14ac:dyDescent="0.3">
      <c r="A1" s="74" t="s">
        <v>7</v>
      </c>
      <c r="B1" s="12"/>
      <c r="C1" s="76" t="s">
        <v>8</v>
      </c>
      <c r="D1" s="77"/>
      <c r="E1" s="77"/>
      <c r="F1" s="77"/>
      <c r="G1" s="77"/>
      <c r="H1" s="77"/>
      <c r="I1" s="77"/>
      <c r="J1" s="77"/>
      <c r="K1" s="77"/>
      <c r="L1" s="77"/>
      <c r="M1" s="77"/>
      <c r="N1" s="78"/>
    </row>
    <row r="2" spans="1:15" ht="56" x14ac:dyDescent="0.3">
      <c r="A2" s="75"/>
      <c r="B2" s="12" t="s">
        <v>9</v>
      </c>
      <c r="C2" s="12" t="s">
        <v>10</v>
      </c>
      <c r="D2" s="12" t="s">
        <v>11</v>
      </c>
      <c r="E2" s="12" t="s">
        <v>12</v>
      </c>
      <c r="F2" s="12" t="s">
        <v>13</v>
      </c>
      <c r="G2" s="12" t="s">
        <v>24</v>
      </c>
      <c r="H2" s="12" t="s">
        <v>14</v>
      </c>
      <c r="I2" s="12" t="s">
        <v>15</v>
      </c>
      <c r="J2" s="12" t="s">
        <v>16</v>
      </c>
      <c r="K2" s="12" t="s">
        <v>17</v>
      </c>
      <c r="L2" s="12" t="s">
        <v>18</v>
      </c>
      <c r="M2" s="12" t="s">
        <v>25</v>
      </c>
      <c r="N2" s="12" t="s">
        <v>19</v>
      </c>
    </row>
    <row r="3" spans="1:15" x14ac:dyDescent="0.3">
      <c r="A3" s="38">
        <v>-292.39016919701999</v>
      </c>
      <c r="B3" s="54">
        <v>46279</v>
      </c>
      <c r="C3" s="14">
        <v>-8.6340450292400011</v>
      </c>
      <c r="D3" s="14">
        <v>-19.044397662899996</v>
      </c>
      <c r="E3" s="14">
        <v>-6.9447999999999968E-2</v>
      </c>
      <c r="F3" s="14">
        <v>-203.87497680000001</v>
      </c>
      <c r="G3" s="14">
        <v>-7.512434987799999</v>
      </c>
      <c r="H3" s="14">
        <v>-22.639228367649984</v>
      </c>
      <c r="I3" s="14">
        <v>1.4361336999999996</v>
      </c>
      <c r="J3" s="14">
        <v>-29.993767583100002</v>
      </c>
      <c r="K3" s="14">
        <v>34.293706333670009</v>
      </c>
      <c r="L3" s="14">
        <v>13.963193700000003</v>
      </c>
      <c r="M3" s="14">
        <v>-63.780474700000013</v>
      </c>
      <c r="N3" s="14">
        <v>13.465570199999998</v>
      </c>
    </row>
    <row r="4" spans="1:15" x14ac:dyDescent="0.3">
      <c r="A4" s="38">
        <v>-161.09824321231002</v>
      </c>
      <c r="B4" s="42">
        <v>46286</v>
      </c>
      <c r="C4" s="53">
        <v>0.61581616473999967</v>
      </c>
      <c r="D4" s="53">
        <v>-2.8786897087999996</v>
      </c>
      <c r="E4" s="53">
        <v>-1.9824638000000008</v>
      </c>
      <c r="F4" s="53">
        <v>-68.503075499999994</v>
      </c>
      <c r="G4" s="53">
        <v>-2.8509667688000007</v>
      </c>
      <c r="H4" s="53">
        <v>53.361529378699991</v>
      </c>
      <c r="I4" s="53">
        <v>-1.1121615000000002</v>
      </c>
      <c r="J4" s="53">
        <v>-18.616451033399997</v>
      </c>
      <c r="K4" s="53">
        <v>-79.76560114475005</v>
      </c>
      <c r="L4" s="53">
        <v>8.597190699999997</v>
      </c>
      <c r="M4" s="53">
        <v>-47.953719899999996</v>
      </c>
      <c r="N4" s="53">
        <v>-9.6500999999998421E-3</v>
      </c>
    </row>
    <row r="5" spans="1:15" x14ac:dyDescent="0.3">
      <c r="A5" s="38">
        <v>-309.29865062323989</v>
      </c>
      <c r="B5" s="66">
        <v>46293</v>
      </c>
      <c r="C5" s="14">
        <v>-4.51401390963</v>
      </c>
      <c r="D5" s="14">
        <v>-5.2473070780000013</v>
      </c>
      <c r="E5" s="14">
        <v>3.6890622999999998</v>
      </c>
      <c r="F5" s="14">
        <v>-37.570520599999995</v>
      </c>
      <c r="G5" s="14">
        <v>-6.6973278516499999</v>
      </c>
      <c r="H5" s="14">
        <v>-73.911993013999961</v>
      </c>
      <c r="I5" s="14">
        <v>5.7408999999999946E-2</v>
      </c>
      <c r="J5" s="14">
        <v>-92.458971875800003</v>
      </c>
      <c r="K5" s="14">
        <v>-154.43107834415997</v>
      </c>
      <c r="L5" s="14">
        <v>42.599410449999979</v>
      </c>
      <c r="M5" s="14">
        <v>19.837295700000002</v>
      </c>
      <c r="N5" s="14">
        <v>-0.65061539999999995</v>
      </c>
    </row>
    <row r="6" spans="1:15" ht="14.5" x14ac:dyDescent="0.35">
      <c r="A6" s="38">
        <v>-895.87766925147992</v>
      </c>
      <c r="B6" s="58">
        <v>46300</v>
      </c>
      <c r="C6" s="53">
        <v>4.9442284419999991</v>
      </c>
      <c r="D6" s="53">
        <v>8.3792950999998006E-2</v>
      </c>
      <c r="E6" s="53">
        <v>-2.2749057000000001</v>
      </c>
      <c r="F6" s="53">
        <v>-772.96736537300001</v>
      </c>
      <c r="G6" s="53">
        <v>-5.2067675303000005</v>
      </c>
      <c r="H6" s="53">
        <v>-59.740679378879975</v>
      </c>
      <c r="I6" s="53">
        <v>-1.1231072000000004</v>
      </c>
      <c r="J6" s="53">
        <v>-0.59290447199999985</v>
      </c>
      <c r="K6" s="53">
        <v>-132.78865469029998</v>
      </c>
      <c r="L6" s="53">
        <v>47.559942199999995</v>
      </c>
      <c r="M6" s="53">
        <v>12.7019263</v>
      </c>
      <c r="N6" s="53">
        <v>13.526825200000003</v>
      </c>
      <c r="O6"/>
    </row>
    <row r="7" spans="1:15" ht="14.5" x14ac:dyDescent="0.35">
      <c r="A7" s="51"/>
      <c r="B7" s="42"/>
      <c r="C7" s="50"/>
      <c r="D7" s="50"/>
      <c r="E7" s="50"/>
      <c r="F7" s="50"/>
      <c r="G7" s="50"/>
      <c r="H7" s="50"/>
      <c r="I7" s="50"/>
      <c r="J7" s="50"/>
      <c r="K7" s="50"/>
      <c r="L7" s="50"/>
      <c r="M7" s="50"/>
      <c r="N7" s="50"/>
    </row>
    <row r="8" spans="1:15" ht="14.5" x14ac:dyDescent="0.35">
      <c r="B8" s="10" t="s">
        <v>5</v>
      </c>
      <c r="C8" s="10"/>
      <c r="D8" s="10"/>
    </row>
    <row r="9" spans="1:15" ht="14.5" x14ac:dyDescent="0.35">
      <c r="B9" s="10" t="s">
        <v>27</v>
      </c>
      <c r="C9" s="10"/>
      <c r="D9" s="10"/>
    </row>
    <row r="10" spans="1:15" ht="14.5" x14ac:dyDescent="0.35">
      <c r="B10" s="10" t="s">
        <v>6</v>
      </c>
      <c r="C10" s="10"/>
      <c r="D10" s="10"/>
    </row>
    <row r="11" spans="1:15" ht="14.5" x14ac:dyDescent="0.35">
      <c r="B11" s="10" t="s">
        <v>26</v>
      </c>
      <c r="C11" s="11"/>
      <c r="D11" s="11"/>
    </row>
    <row r="12" spans="1:15" ht="14.5" x14ac:dyDescent="0.35">
      <c r="B12"/>
    </row>
    <row r="13" spans="1:15" ht="14.5" x14ac:dyDescent="0.35">
      <c r="C13" s="50"/>
      <c r="D13" s="50"/>
      <c r="E13" s="50"/>
      <c r="F13" s="50"/>
      <c r="G13" s="50"/>
      <c r="H13" s="50"/>
      <c r="I13" s="50"/>
      <c r="J13" s="50"/>
      <c r="K13" s="50"/>
      <c r="L13" s="50"/>
      <c r="M13" s="50"/>
      <c r="N13" s="50"/>
    </row>
    <row r="14" spans="1:15" ht="14.5" x14ac:dyDescent="0.35">
      <c r="B14" s="39"/>
      <c r="C14" s="39"/>
      <c r="D14" s="39"/>
      <c r="E14" s="39"/>
      <c r="F14" s="39"/>
      <c r="G14" s="39"/>
      <c r="H14" s="39"/>
      <c r="I14" s="39"/>
      <c r="J14" s="39"/>
      <c r="K14" s="39"/>
      <c r="L14" s="39"/>
      <c r="M14" s="39"/>
      <c r="N14"/>
      <c r="O14" s="37"/>
    </row>
    <row r="15" spans="1:15" ht="14.5" x14ac:dyDescent="0.35">
      <c r="B15" s="39"/>
      <c r="C15" s="39"/>
      <c r="D15" s="39"/>
      <c r="E15" s="39"/>
      <c r="F15" s="39"/>
      <c r="G15" s="39"/>
      <c r="H15" s="39"/>
      <c r="I15" s="39"/>
      <c r="J15" s="39"/>
      <c r="K15" s="39"/>
      <c r="L15" s="39"/>
      <c r="M15" s="39"/>
      <c r="N15" s="39"/>
      <c r="O15" s="39"/>
    </row>
    <row r="16" spans="1:15" ht="14.5" x14ac:dyDescent="0.35">
      <c r="C16" s="53"/>
      <c r="D16" s="53"/>
      <c r="E16" s="53"/>
      <c r="F16" s="53"/>
      <c r="G16" s="53"/>
      <c r="H16" s="53"/>
      <c r="I16" s="53"/>
      <c r="J16" s="53"/>
      <c r="K16" s="53"/>
      <c r="L16" s="53"/>
      <c r="M16" s="53"/>
      <c r="N16" s="53"/>
      <c r="O16" s="37"/>
    </row>
    <row r="17" spans="3:22" ht="14.5" x14ac:dyDescent="0.35">
      <c r="C17" s="36"/>
      <c r="D17" s="36"/>
      <c r="E17" s="36"/>
      <c r="F17" s="36"/>
      <c r="G17" s="36"/>
      <c r="H17" s="36"/>
      <c r="I17" s="36"/>
      <c r="J17" s="36"/>
      <c r="K17" s="36"/>
      <c r="L17" s="36"/>
      <c r="M17" s="36"/>
      <c r="N17" s="63"/>
      <c r="O17" s="36"/>
    </row>
    <row r="18" spans="3:22" ht="14.5" x14ac:dyDescent="0.35">
      <c r="C18"/>
      <c r="D18"/>
      <c r="K18" s="53"/>
      <c r="L18" s="53"/>
      <c r="M18" s="53"/>
      <c r="N18" s="53"/>
      <c r="O18" s="53"/>
      <c r="P18" s="53"/>
      <c r="Q18" s="53"/>
      <c r="R18" s="53"/>
      <c r="S18" s="53"/>
      <c r="T18" s="53"/>
      <c r="U18" s="53"/>
      <c r="V18" s="53"/>
    </row>
    <row r="19" spans="3:22" ht="14.5" x14ac:dyDescent="0.35">
      <c r="C19"/>
      <c r="D19"/>
    </row>
    <row r="20" spans="3:22" ht="14.5" x14ac:dyDescent="0.35">
      <c r="C20"/>
      <c r="D20"/>
      <c r="L20" s="64"/>
    </row>
    <row r="21" spans="3:22" ht="14.5" x14ac:dyDescent="0.35">
      <c r="C21"/>
      <c r="D21"/>
      <c r="O21" s="62"/>
    </row>
    <row r="22" spans="3:22" ht="14.5" x14ac:dyDescent="0.35">
      <c r="C22"/>
      <c r="D22"/>
    </row>
    <row r="23" spans="3:22" ht="14.5" x14ac:dyDescent="0.3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headerFooter>
    <oddFooter>&amp;C_x000D_&amp;1#&amp;"Calibri"&amp;10&amp;K000000 Classified as Internal - For distribution within SGX</oddFooter>
  </headerFooter>
  <ignoredErrors>
    <ignoredError sqref="A7"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T23"/>
  <sheetViews>
    <sheetView showGridLines="0" zoomScale="80" zoomScaleNormal="80" workbookViewId="0">
      <selection sqref="A1:A2"/>
    </sheetView>
  </sheetViews>
  <sheetFormatPr defaultColWidth="9.453125" defaultRowHeight="14" x14ac:dyDescent="0.3"/>
  <cols>
    <col min="1" max="1" width="8.453125" style="2" bestFit="1" customWidth="1"/>
    <col min="2" max="2" width="15.54296875" style="2" bestFit="1" customWidth="1"/>
    <col min="3" max="4" width="11.453125" style="2" bestFit="1" customWidth="1"/>
    <col min="5" max="5" width="10.54296875" style="2" bestFit="1" customWidth="1"/>
    <col min="6" max="6" width="10.1796875" style="2" bestFit="1" customWidth="1"/>
    <col min="7" max="7" width="7.7265625" style="2" bestFit="1" customWidth="1"/>
    <col min="8" max="8" width="11.54296875" style="2" bestFit="1" customWidth="1"/>
    <col min="9" max="9" width="12.453125" style="2" bestFit="1" customWidth="1"/>
    <col min="10" max="10" width="7.81640625" style="2" bestFit="1" customWidth="1"/>
    <col min="11" max="11" width="7.453125" style="2" bestFit="1" customWidth="1"/>
    <col min="12" max="12" width="12.81640625" style="2" bestFit="1" customWidth="1"/>
    <col min="13" max="13" width="8" style="2" bestFit="1" customWidth="1"/>
    <col min="14" max="14" width="8.7265625" style="2" bestFit="1" customWidth="1"/>
    <col min="15" max="16384" width="9.453125" style="2"/>
  </cols>
  <sheetData>
    <row r="1" spans="1:20" ht="17.25" customHeight="1" x14ac:dyDescent="0.3">
      <c r="A1" s="74" t="s">
        <v>7</v>
      </c>
      <c r="B1" s="12"/>
      <c r="C1" s="76" t="s">
        <v>8</v>
      </c>
      <c r="D1" s="77"/>
      <c r="E1" s="77"/>
      <c r="F1" s="77"/>
      <c r="G1" s="77"/>
      <c r="H1" s="77"/>
      <c r="I1" s="77"/>
      <c r="J1" s="77"/>
      <c r="K1" s="77"/>
      <c r="L1" s="77"/>
      <c r="M1" s="77"/>
      <c r="N1" s="78"/>
    </row>
    <row r="2" spans="1:20" ht="56" x14ac:dyDescent="0.3">
      <c r="A2" s="75"/>
      <c r="B2" s="12" t="s">
        <v>20</v>
      </c>
      <c r="C2" s="12" t="s">
        <v>10</v>
      </c>
      <c r="D2" s="12" t="s">
        <v>11</v>
      </c>
      <c r="E2" s="12" t="s">
        <v>12</v>
      </c>
      <c r="F2" s="12" t="s">
        <v>13</v>
      </c>
      <c r="G2" s="12" t="s">
        <v>24</v>
      </c>
      <c r="H2" s="12" t="s">
        <v>14</v>
      </c>
      <c r="I2" s="12" t="s">
        <v>15</v>
      </c>
      <c r="J2" s="12" t="s">
        <v>16</v>
      </c>
      <c r="K2" s="12" t="s">
        <v>17</v>
      </c>
      <c r="L2" s="12" t="s">
        <v>18</v>
      </c>
      <c r="M2" s="12" t="s">
        <v>25</v>
      </c>
      <c r="N2" s="12" t="s">
        <v>19</v>
      </c>
    </row>
    <row r="3" spans="1:20" x14ac:dyDescent="0.3">
      <c r="A3" s="48">
        <v>358.12257688435</v>
      </c>
      <c r="B3" s="47">
        <v>46279</v>
      </c>
      <c r="C3" s="60">
        <v>3.0291522486500004</v>
      </c>
      <c r="D3" s="60">
        <v>-6.8684220408000005</v>
      </c>
      <c r="E3" s="60">
        <v>-0.36852859999999998</v>
      </c>
      <c r="F3" s="60">
        <v>191.1035699</v>
      </c>
      <c r="G3" s="60">
        <v>9.4438575873500028</v>
      </c>
      <c r="H3" s="60">
        <v>70.801944635759995</v>
      </c>
      <c r="I3" s="60">
        <v>-0.95277770000000062</v>
      </c>
      <c r="J3" s="60">
        <v>14.177798227800002</v>
      </c>
      <c r="K3" s="60">
        <v>47.478405275590006</v>
      </c>
      <c r="L3" s="60">
        <v>-29.313753849999994</v>
      </c>
      <c r="M3" s="60">
        <v>51.747432799999999</v>
      </c>
      <c r="N3" s="60">
        <v>7.8438984000000005</v>
      </c>
      <c r="P3" s="13"/>
    </row>
    <row r="4" spans="1:20" x14ac:dyDescent="0.3">
      <c r="A4" s="48">
        <v>-11.557349593689997</v>
      </c>
      <c r="B4" s="58">
        <v>46286</v>
      </c>
      <c r="C4" s="55">
        <v>4.0536695489600021</v>
      </c>
      <c r="D4" s="55">
        <v>12.086456343999998</v>
      </c>
      <c r="E4" s="55">
        <v>0.65858579999999989</v>
      </c>
      <c r="F4" s="55">
        <v>-157.85294630000001</v>
      </c>
      <c r="G4" s="55">
        <v>2.5906050559500002</v>
      </c>
      <c r="H4" s="55">
        <v>-17.323917914749988</v>
      </c>
      <c r="I4" s="55">
        <v>5.5802639999999988</v>
      </c>
      <c r="J4" s="55">
        <v>2.9412031761000001</v>
      </c>
      <c r="K4" s="55">
        <v>85.331450396049988</v>
      </c>
      <c r="L4" s="55">
        <v>-16.985215299999993</v>
      </c>
      <c r="M4" s="55">
        <v>52.291851299999998</v>
      </c>
      <c r="N4" s="55">
        <v>15.0706443</v>
      </c>
      <c r="P4" s="13"/>
    </row>
    <row r="5" spans="1:20" x14ac:dyDescent="0.3">
      <c r="A5" s="48">
        <v>377.56362352050996</v>
      </c>
      <c r="B5" s="66">
        <v>46293</v>
      </c>
      <c r="C5" s="60">
        <v>3.3157269357999986</v>
      </c>
      <c r="D5" s="60">
        <v>14.2166326598</v>
      </c>
      <c r="E5" s="60">
        <v>-4.3688103999999992</v>
      </c>
      <c r="F5" s="60">
        <v>207.64024069999999</v>
      </c>
      <c r="G5" s="60">
        <v>3.7519293923000006</v>
      </c>
      <c r="H5" s="60">
        <v>32.009014356050031</v>
      </c>
      <c r="I5" s="60">
        <v>0.39167490000000066</v>
      </c>
      <c r="J5" s="60">
        <v>117.40796338449998</v>
      </c>
      <c r="K5" s="60">
        <v>52.239471642059989</v>
      </c>
      <c r="L5" s="60">
        <v>-61.686153050000009</v>
      </c>
      <c r="M5" s="60">
        <v>11.470052000000001</v>
      </c>
      <c r="N5" s="60">
        <v>1.1758810000000002</v>
      </c>
      <c r="P5" s="13"/>
    </row>
    <row r="6" spans="1:20" x14ac:dyDescent="0.3">
      <c r="A6" s="48">
        <v>760.52230776646991</v>
      </c>
      <c r="B6" s="58">
        <v>46300</v>
      </c>
      <c r="C6" s="55">
        <v>-11.348627457180001</v>
      </c>
      <c r="D6" s="55">
        <v>15.296048870400003</v>
      </c>
      <c r="E6" s="55">
        <v>-9.3650499999999984E-2</v>
      </c>
      <c r="F6" s="55">
        <v>768.30175589299995</v>
      </c>
      <c r="G6" s="55">
        <v>3.0524259746999998</v>
      </c>
      <c r="H6" s="55">
        <v>11.528684271799996</v>
      </c>
      <c r="I6" s="55">
        <v>0.7555582999999999</v>
      </c>
      <c r="J6" s="55">
        <v>1.6950597025999994</v>
      </c>
      <c r="K6" s="55">
        <v>30.483159011150008</v>
      </c>
      <c r="L6" s="55">
        <v>-50.21155330000002</v>
      </c>
      <c r="M6" s="55">
        <v>-1.9573877999999989</v>
      </c>
      <c r="N6" s="55">
        <v>-6.9791652000000006</v>
      </c>
      <c r="P6" s="13"/>
    </row>
    <row r="7" spans="1:20" ht="14.5" x14ac:dyDescent="0.35">
      <c r="A7" s="51"/>
      <c r="B7" s="41"/>
      <c r="C7" s="39"/>
      <c r="D7" s="39"/>
      <c r="E7" s="39"/>
      <c r="F7" s="39"/>
      <c r="G7" s="39"/>
      <c r="H7" s="39"/>
      <c r="I7" s="39"/>
      <c r="J7" s="39"/>
      <c r="K7" s="39"/>
      <c r="L7" s="39"/>
      <c r="M7" s="39"/>
      <c r="N7" s="39"/>
      <c r="P7" s="13"/>
    </row>
    <row r="8" spans="1:20" ht="14.5" x14ac:dyDescent="0.35">
      <c r="B8" s="10" t="s">
        <v>5</v>
      </c>
      <c r="C8" s="10"/>
      <c r="D8" s="10"/>
    </row>
    <row r="9" spans="1:20" ht="14.5" x14ac:dyDescent="0.35">
      <c r="B9" s="10" t="s">
        <v>29</v>
      </c>
      <c r="C9" s="10"/>
      <c r="D9" s="10"/>
    </row>
    <row r="10" spans="1:20" ht="14.5" x14ac:dyDescent="0.35">
      <c r="B10" s="10" t="s">
        <v>6</v>
      </c>
      <c r="C10" s="10"/>
      <c r="D10" s="10"/>
    </row>
    <row r="11" spans="1:20" ht="14.5" x14ac:dyDescent="0.35">
      <c r="B11" s="10" t="s">
        <v>26</v>
      </c>
      <c r="C11" s="11"/>
      <c r="D11" s="11"/>
    </row>
    <row r="12" spans="1:20" ht="14.5" x14ac:dyDescent="0.35">
      <c r="C12" s="39"/>
      <c r="D12" s="39"/>
      <c r="E12" s="39"/>
      <c r="F12" s="39"/>
      <c r="G12" s="39"/>
      <c r="H12" s="39"/>
      <c r="I12" s="39"/>
      <c r="J12" s="39"/>
      <c r="K12" s="39"/>
      <c r="L12" s="39"/>
      <c r="M12" s="39"/>
      <c r="N12" s="39"/>
    </row>
    <row r="13" spans="1:20" ht="14.5" x14ac:dyDescent="0.35">
      <c r="B13"/>
      <c r="C13" s="39"/>
      <c r="D13" s="39"/>
      <c r="E13" s="39"/>
      <c r="F13" s="39"/>
      <c r="G13" s="39"/>
      <c r="H13" s="39"/>
      <c r="I13" s="39"/>
      <c r="J13" s="39"/>
      <c r="K13" s="39"/>
      <c r="L13" s="39"/>
      <c r="M13" s="39"/>
      <c r="N13" s="39"/>
      <c r="O13" s="37"/>
      <c r="P13"/>
      <c r="Q13"/>
      <c r="R13"/>
    </row>
    <row r="14" spans="1:20" ht="14.5" x14ac:dyDescent="0.35">
      <c r="C14"/>
      <c r="D14"/>
      <c r="E14"/>
      <c r="F14"/>
      <c r="G14"/>
      <c r="H14"/>
      <c r="I14"/>
      <c r="J14"/>
      <c r="K14"/>
      <c r="L14"/>
      <c r="M14"/>
      <c r="N14"/>
      <c r="O14"/>
      <c r="P14"/>
      <c r="Q14"/>
      <c r="R14"/>
    </row>
    <row r="15" spans="1:20" ht="14.5" x14ac:dyDescent="0.35">
      <c r="C15"/>
      <c r="D15"/>
      <c r="E15"/>
      <c r="F15"/>
      <c r="G15"/>
      <c r="H15"/>
      <c r="I15" s="55"/>
      <c r="J15" s="55"/>
      <c r="K15" s="55"/>
      <c r="L15" s="55"/>
      <c r="M15" s="55"/>
      <c r="N15" s="55"/>
      <c r="O15" s="55"/>
      <c r="P15" s="55"/>
      <c r="Q15" s="55"/>
      <c r="R15" s="55"/>
      <c r="S15" s="55"/>
      <c r="T15" s="55"/>
    </row>
    <row r="16" spans="1:20" ht="14.5" x14ac:dyDescent="0.35">
      <c r="C16" s="36"/>
      <c r="D16" s="36"/>
      <c r="E16" s="36"/>
      <c r="F16" s="36"/>
      <c r="G16" s="36"/>
      <c r="H16" s="36"/>
      <c r="I16" s="36"/>
      <c r="J16" s="36"/>
      <c r="K16" s="36"/>
      <c r="L16" s="36"/>
      <c r="M16" s="36"/>
      <c r="N16" s="36"/>
    </row>
    <row r="17" spans="3:14" ht="14.5" x14ac:dyDescent="0.35">
      <c r="C17"/>
      <c r="D17"/>
      <c r="E17"/>
      <c r="F17"/>
      <c r="G17"/>
      <c r="H17"/>
      <c r="I17"/>
      <c r="J17"/>
      <c r="K17"/>
      <c r="L17"/>
      <c r="M17"/>
      <c r="N17"/>
    </row>
    <row r="18" spans="3:14" ht="14.5" x14ac:dyDescent="0.35">
      <c r="C18" s="37"/>
      <c r="D18" s="37"/>
      <c r="E18" s="37"/>
      <c r="F18" s="37"/>
      <c r="G18" s="37"/>
      <c r="H18" s="37"/>
      <c r="I18" s="37"/>
      <c r="J18" s="37"/>
      <c r="K18" s="37"/>
      <c r="L18" s="37"/>
      <c r="M18" s="37"/>
      <c r="N18" s="37"/>
    </row>
    <row r="19" spans="3:14" ht="14.5" x14ac:dyDescent="0.35">
      <c r="C19"/>
      <c r="D19"/>
      <c r="M19" s="65"/>
    </row>
    <row r="20" spans="3:14" ht="14.5" x14ac:dyDescent="0.35">
      <c r="C20"/>
      <c r="D20"/>
    </row>
    <row r="21" spans="3:14" ht="14.5" x14ac:dyDescent="0.35">
      <c r="C21"/>
      <c r="D21"/>
    </row>
    <row r="22" spans="3:14" ht="14.5" x14ac:dyDescent="0.35">
      <c r="C22"/>
      <c r="D22"/>
    </row>
    <row r="23" spans="3:14" ht="14.5" x14ac:dyDescent="0.3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headerFooter>
    <oddFooter>&amp;C_x000D_&amp;1#&amp;"Calibri"&amp;10&amp;K000000 Classified as Internal - For distribution within SGX</oddFooter>
  </headerFooter>
  <ignoredErrors>
    <ignoredError sqref="A7" formulaRange="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3.xml><?xml version="1.0" encoding="utf-8"?>
<ds:datastoreItem xmlns:ds="http://schemas.openxmlformats.org/officeDocument/2006/customXml" ds:itemID="{0B9DFD5A-5B98-4FC4-88C5-38A4EF6FA71E}">
  <ds:schemaRefs>
    <ds:schemaRef ds:uri="http://schemas.microsoft.com/sharepoint/v3/contenttype/forms"/>
  </ds:schemaRefs>
</ds:datastoreItem>
</file>

<file path=docMetadata/LabelInfo.xml><?xml version="1.0" encoding="utf-8"?>
<clbl:labelList xmlns:clbl="http://schemas.microsoft.com/office/2020/mipLabelMetadata">
  <clbl:label id="{6e5fe074-0613-4a7c-9c73-8412c159d5ae}" enabled="1" method="Standard" siteId="{40a099d1-7f41-4891-a5d6-f7e35d69f3a8}"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Weekly Top 10</vt:lpstr>
      <vt:lpstr>Institutional</vt:lpstr>
      <vt:lpstr>Retail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Ethan Ong</cp:lastModifiedBy>
  <cp:lastPrinted>2024-07-01T01:26:22Z</cp:lastPrinted>
  <dcterms:created xsi:type="dcterms:W3CDTF">2020-01-13T01:31:10Z</dcterms:created>
  <dcterms:modified xsi:type="dcterms:W3CDTF">2026-10-12T01:26:11Z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owerlinkCOMAddIn.COMAddIn.WebAddinBridge.Options">
    <vt:lpwstr>{"port":50157,"version":"1.26.718"}</vt:lpwstr>
  </property>
</Properties>
</file>