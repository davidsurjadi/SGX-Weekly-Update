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C7AF65FD-EBB4-48F2-B337-B0D4421A75E6}" xr6:coauthVersionLast="47" xr6:coauthVersionMax="47" xr10:uidLastSave="{00000000-0000-0000-0000-000000000000}"/>
  <bookViews>
    <workbookView xWindow="34215" yWindow="345" windowWidth="22005" windowHeight="12585"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10'!$A$5:$F$15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4" i="3" l="1"/>
  <c r="A5" i="3"/>
  <c r="A6" i="3"/>
  <c r="A3" i="3"/>
  <c r="A4" i="2"/>
  <c r="A5" i="2"/>
  <c r="A6" i="2"/>
  <c r="A3" i="2"/>
  <c r="A1" i="4" l="1"/>
  <c r="A1" i="5" l="1"/>
  <c r="D32" i="4" l="1"/>
  <c r="C18" i="1" l="1"/>
  <c r="F18" i="1" s="1"/>
  <c r="F5" i="1"/>
</calcChain>
</file>

<file path=xl/sharedStrings.xml><?xml version="1.0" encoding="utf-8"?>
<sst xmlns="http://schemas.openxmlformats.org/spreadsheetml/2006/main" count="520" uniqueCount="276">
  <si>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</si>
  <si>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</si>
  <si>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</si>
  <si>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</si>
  <si>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</si>
  <si>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</si>
  <si>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</si>
  <si>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</si>
  <si>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</si>
  <si>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</si>
  <si>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</si>
  <si>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</si>
  <si>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</si>
  <si>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</si>
  <si>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</si>
  <si>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</si>
  <si>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</si>
  <si>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</si>
  <si>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</si>
  <si>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</si>
  <si>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</si>
  <si>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</si>
  <si>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</si>
  <si>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</si>
  <si>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</si>
  <si>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</si>
  <si>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</si>
  <si>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</si>
  <si>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</si>
  <si>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</si>
  <si>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</si>
  <si>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</si>
  <si>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</si>
  <si>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</si>
  <si>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</si>
  <si>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</si>
  <si>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</si>
  <si>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</si>
  <si>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</si>
  <si>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</si>
  <si>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</si>
  <si>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</si>
  <si>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</si>
  <si>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</si>
  <si>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</si>
  <si>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</si>
  <si>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</si>
  <si>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</si>
  <si>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</si>
  <si>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</si>
  <si>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</si>
  <si>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</si>
  <si>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</si>
  <si>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</si>
  <si>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</si>
  <si>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</si>
  <si>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</si>
  <si>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</si>
  <si>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</si>
  <si>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</si>
  <si>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</si>
  <si>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</si>
  <si>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</si>
  <si>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</si>
  <si>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</si>
  <si>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</si>
  <si>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</si>
  <si>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</si>
  <si>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</si>
  <si>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</si>
  <si>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</si>
  <si>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</si>
  <si>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</si>
  <si>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</si>
  <si>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</si>
  <si>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</si>
  <si>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</si>
  <si>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</si>
  <si>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</si>
  <si>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</si>
  <si>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</si>
  <si>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</si>
  <si>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</si>
  <si>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</si>
  <si>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</si>
  <si>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</si>
  <si>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</si>
  <si>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</si>
  <si>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</si>
  <si>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</si>
  <si>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</si>
  <si>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</si>
  <si>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</si>
  <si>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</si>
  <si>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</si>
  <si>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</si>
  <si>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</si>
  <si>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</si>
  <si>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</si>
  <si>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</si>
  <si>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</si>
  <si>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</si>
  <si>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</si>
  <si>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</si>
  <si>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</si>
  <si>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</si>
  <si>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</si>
  <si>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</si>
  <si>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</si>
  <si>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</si>
  <si>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</si>
  <si>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</si>
  <si>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</si>
  <si>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</si>
  <si>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</si>
  <si>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</si>
  <si>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</si>
  <si>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</si>
  <si>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</si>
  <si>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</si>
  <si>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</si>
  <si>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</si>
  <si>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</si>
  <si>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</si>
  <si>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</si>
  <si>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</si>
  <si>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</si>
  <si>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</si>
  <si>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</si>
  <si>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</si>
  <si>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</si>
  <si>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</si>
  <si>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</si>
  <si>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</si>
  <si>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</si>
  <si>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</si>
  <si>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</si>
  <si>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</si>
  <si>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</si>
  <si>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</si>
  <si>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</si>
  <si>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</si>
  <si>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</si>
  <si>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</si>
  <si>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</si>
  <si>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</si>
  <si>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</si>
  <si>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</si>
  <si>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</si>
  <si>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</si>
  <si>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</si>
  <si>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</si>
  <si>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</si>
  <si>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</si>
  <si>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</si>
  <si>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</si>
  <si>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</si>
  <si>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8K7</t>
  </si>
  <si>
    <t>Z59</t>
  </si>
  <si>
    <t>Y45</t>
  </si>
  <si>
    <t>BN2</t>
  </si>
  <si>
    <t>BEZ</t>
  </si>
  <si>
    <t>G92</t>
  </si>
  <si>
    <t>T14</t>
  </si>
  <si>
    <t>NTA</t>
  </si>
  <si>
    <t>H02</t>
  </si>
  <si>
    <t>S59</t>
  </si>
  <si>
    <t>5LY</t>
  </si>
  <si>
    <t>AGS</t>
  </si>
  <si>
    <t>G Invacom</t>
  </si>
  <si>
    <t>QS9</t>
  </si>
  <si>
    <t>Keppel Corporation</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</si>
  <si>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</si>
  <si>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</si>
  <si>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</si>
  <si>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</si>
  <si>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</si>
  <si>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</si>
  <si>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</si>
  <si>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</si>
  <si>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</si>
  <si>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</si>
  <si>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</si>
  <si>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</si>
  <si>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</si>
  <si>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</si>
  <si>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</si>
  <si>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</si>
  <si>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</si>
  <si>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</si>
  <si>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</si>
  <si>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</si>
  <si>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</si>
  <si>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</si>
  <si>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</si>
  <si>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</si>
  <si>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</si>
  <si>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</si>
  <si>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</si>
  <si>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</si>
  <si>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</si>
  <si>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</si>
  <si>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</si>
  <si>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</si>
  <si>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</si>
  <si>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</si>
  <si>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</si>
  <si>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</si>
  <si>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</si>
  <si>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</si>
  <si>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</si>
  <si>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</si>
  <si>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</si>
  <si>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</si>
  <si>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</si>
  <si>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</si>
  <si>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</si>
  <si>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</si>
  <si>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</si>
  <si>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</si>
  <si>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</si>
  <si>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</si>
  <si>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</si>
  <si>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</si>
  <si>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</si>
  <si>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</si>
  <si>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</si>
  <si>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</si>
  <si>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</si>
  <si>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</si>
  <si>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</si>
  <si>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</si>
  <si>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</si>
  <si>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</si>
  <si>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</si>
  <si>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</si>
  <si>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</si>
  <si>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</si>
  <si>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</si>
  <si>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</si>
  <si>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</si>
  <si>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</si>
  <si>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</si>
  <si>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</si>
  <si>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</si>
  <si>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</si>
  <si>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</si>
  <si>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</si>
  <si>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</si>
  <si>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</si>
  <si>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</si>
  <si>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</si>
  <si>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</si>
  <si>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UGHealthcare</t>
  </si>
  <si>
    <t>Best World</t>
  </si>
  <si>
    <t>Valuetronics</t>
  </si>
  <si>
    <t>Haw Par</t>
  </si>
  <si>
    <t>TheHourGlass</t>
  </si>
  <si>
    <t>Sasseur Reit</t>
  </si>
  <si>
    <t>Delfi</t>
  </si>
  <si>
    <t>SMI Vantage^</t>
  </si>
  <si>
    <t>Yoma Strategic</t>
  </si>
  <si>
    <t>SIA Engineering</t>
  </si>
  <si>
    <t>Source: SGX.</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</si>
  <si>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</si>
  <si>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 Pacific Oak US REIT</t>
  </si>
  <si>
    <t>Mapletree Pan Asia Commercial Trust</t>
  </si>
  <si>
    <t>Week of 19 February 2024</t>
  </si>
  <si>
    <r>
      <t>Institutional investors net</t>
    </r>
    <r>
      <rPr>
        <b/>
        <sz val="11"/>
        <rFont val="Arial"/>
        <family val="2"/>
      </rPr>
      <t xml:space="preserve"> sell </t>
    </r>
    <r>
      <rPr>
        <sz val="11"/>
        <rFont val="Arial"/>
        <family val="2"/>
      </rPr>
      <t>(-S$356.7m) vs. (+S$203.9m) a week ago</t>
    </r>
  </si>
  <si>
    <t>Frencken Group</t>
  </si>
  <si>
    <t>ISDN</t>
  </si>
  <si>
    <t>I07</t>
  </si>
  <si>
    <t>https://links.sgx.com/1.0.0/corporate-announcements/NBMCVN5SHXM5VTO6/b1f9bea26b24f86cd6578269e5aeced0d161907945ecae1439947e8bde04791c</t>
  </si>
  <si>
    <r>
      <t xml:space="preserve">Retail investors net </t>
    </r>
    <r>
      <rPr>
        <b/>
        <sz val="11"/>
        <rFont val="Arial"/>
        <family val="2"/>
      </rPr>
      <t xml:space="preserve">buy </t>
    </r>
    <r>
      <rPr>
        <sz val="11"/>
        <rFont val="Arial"/>
        <family val="2"/>
      </rPr>
      <t>(+S$195.2m) vs.</t>
    </r>
    <r>
      <rPr>
        <b/>
        <sz val="11"/>
        <rFont val="Arial"/>
        <family val="2"/>
      </rPr>
      <t xml:space="preserve"> </t>
    </r>
    <r>
      <rPr>
        <sz val="11"/>
        <rFont val="Arial"/>
        <family val="2"/>
      </rPr>
      <t>(-S$316.4m) a week ago</t>
    </r>
  </si>
  <si>
    <t>Novo Tellus SPAC*</t>
  </si>
  <si>
    <t>*Note that Novo Tellus SPAC is delisted as of 22 Feb'24.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</si>
</sst>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15" fontId="3" fillId="0" borderId="13" xfId="0" applyNumberFormat="1" applyFont="1" applyBorder="1" applyAlignment="1">
      <alignment horizontal="left" vertical="center"/>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links.sgx.com/1.0.0/corporate-announcements/NBMCVN5SHXM5VTO6/b1f9bea26b24f86cd6578269e5aeced0d161907945ecae1439947e8bde04791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28515625" style="2" bestFit="1" customWidth="1"/>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267</v>
      </c>
    </row>
    <row r="2" spans="1:13" ht="15" x14ac:dyDescent="0.25">
      <c r="A2" s="84" t="s">
        <v>268</v>
      </c>
      <c r="I2" s="58"/>
    </row>
    <row r="3" spans="1:13" ht="15" x14ac:dyDescent="0.25">
      <c r="A3" s="84" t="s">
        <v>273</v>
      </c>
      <c r="I3" s="58"/>
    </row>
    <row r="5" spans="1:13" ht="29.25" customHeight="1" x14ac:dyDescent="0.2">
      <c r="A5" s="3" t="s">
        <v>0</v>
      </c>
      <c r="B5" s="3" t="s">
        <v>1</v>
      </c>
      <c r="C5" s="4" t="s">
        <v>267</v>
      </c>
      <c r="D5" s="79" t="s">
        <v>2</v>
      </c>
      <c r="E5" s="79" t="s">
        <v>1</v>
      </c>
      <c r="F5" s="80" t="str">
        <f>+C5</f>
        <v>Week of 19 February 2024</v>
      </c>
    </row>
    <row r="6" spans="1:13" ht="15" x14ac:dyDescent="0.25">
      <c r="A6" s="36" t="s">
        <v>65</v>
      </c>
      <c r="B6" s="85" t="s">
        <v>59</v>
      </c>
      <c r="C6" s="6">
        <v>16.416443000000001</v>
      </c>
      <c r="D6" s="36" t="s">
        <v>28</v>
      </c>
      <c r="E6" s="85" t="s">
        <v>23</v>
      </c>
      <c r="F6" s="6">
        <v>-124.77154899999999</v>
      </c>
      <c r="K6" s="47"/>
      <c r="L6"/>
      <c r="M6"/>
    </row>
    <row r="7" spans="1:13" ht="15" x14ac:dyDescent="0.25">
      <c r="A7" s="37" t="s">
        <v>79</v>
      </c>
      <c r="B7" s="10" t="s">
        <v>56</v>
      </c>
      <c r="C7" s="8">
        <v>16.252869</v>
      </c>
      <c r="D7" s="37" t="s">
        <v>33</v>
      </c>
      <c r="E7" s="10" t="s">
        <v>31</v>
      </c>
      <c r="F7" s="8">
        <v>-109.52584400000001</v>
      </c>
      <c r="K7" s="47"/>
      <c r="L7"/>
      <c r="M7"/>
    </row>
    <row r="8" spans="1:13" ht="15" x14ac:dyDescent="0.25">
      <c r="A8" s="38" t="s">
        <v>29</v>
      </c>
      <c r="B8" s="85" t="s">
        <v>24</v>
      </c>
      <c r="C8" s="6">
        <v>16.016082999999998</v>
      </c>
      <c r="D8" s="38" t="s">
        <v>86</v>
      </c>
      <c r="E8" s="85" t="s">
        <v>85</v>
      </c>
      <c r="F8" s="6">
        <v>-50.953485999999998</v>
      </c>
      <c r="K8" s="47"/>
      <c r="L8"/>
      <c r="M8"/>
    </row>
    <row r="9" spans="1:13" ht="15" x14ac:dyDescent="0.25">
      <c r="A9" s="37" t="s">
        <v>147</v>
      </c>
      <c r="B9" s="10" t="s">
        <v>91</v>
      </c>
      <c r="C9" s="8">
        <v>15.756859199999999</v>
      </c>
      <c r="D9" s="37" t="s">
        <v>45</v>
      </c>
      <c r="E9" s="10" t="s">
        <v>42</v>
      </c>
      <c r="F9" s="8">
        <v>-40.608654999999999</v>
      </c>
      <c r="K9" s="47"/>
      <c r="L9"/>
      <c r="M9"/>
    </row>
    <row r="10" spans="1:13" ht="15" x14ac:dyDescent="0.25">
      <c r="A10" s="38" t="s">
        <v>27</v>
      </c>
      <c r="B10" s="85" t="s">
        <v>22</v>
      </c>
      <c r="C10" s="6">
        <v>15.230212</v>
      </c>
      <c r="D10" s="38" t="s">
        <v>26</v>
      </c>
      <c r="E10" s="85" t="s">
        <v>21</v>
      </c>
      <c r="F10" s="6">
        <v>-40.422229999999999</v>
      </c>
      <c r="K10" s="47"/>
      <c r="L10"/>
      <c r="M10"/>
    </row>
    <row r="11" spans="1:13" ht="15" x14ac:dyDescent="0.25">
      <c r="A11" s="37" t="s">
        <v>60</v>
      </c>
      <c r="B11" s="10" t="s">
        <v>51</v>
      </c>
      <c r="C11" s="8">
        <v>13.226684499999999</v>
      </c>
      <c r="D11" s="37" t="s">
        <v>36</v>
      </c>
      <c r="E11" s="10" t="s">
        <v>35</v>
      </c>
      <c r="F11" s="8">
        <v>-31.0125855</v>
      </c>
      <c r="K11" s="47"/>
      <c r="L11"/>
      <c r="M11"/>
    </row>
    <row r="12" spans="1:13" ht="15" x14ac:dyDescent="0.25">
      <c r="A12" s="38" t="s">
        <v>269</v>
      </c>
      <c r="B12" s="85" t="s">
        <v>113</v>
      </c>
      <c r="C12" s="6">
        <v>10.2788</v>
      </c>
      <c r="D12" s="38" t="s">
        <v>34</v>
      </c>
      <c r="E12" s="85" t="s">
        <v>30</v>
      </c>
      <c r="F12" s="6">
        <v>-19.730505999999998</v>
      </c>
      <c r="K12" s="47"/>
      <c r="L12"/>
      <c r="M12"/>
    </row>
    <row r="13" spans="1:13" ht="15" x14ac:dyDescent="0.25">
      <c r="A13" s="37" t="s">
        <v>90</v>
      </c>
      <c r="B13" s="10" t="s">
        <v>25</v>
      </c>
      <c r="C13" s="8">
        <v>9.6900239999999993</v>
      </c>
      <c r="D13" s="37" t="s">
        <v>81</v>
      </c>
      <c r="E13" s="10" t="s">
        <v>80</v>
      </c>
      <c r="F13" s="8">
        <v>-14.362470999999999</v>
      </c>
      <c r="K13" s="47"/>
      <c r="L13"/>
      <c r="M13"/>
    </row>
    <row r="14" spans="1:13" ht="15" x14ac:dyDescent="0.25">
      <c r="A14" s="38" t="s">
        <v>39</v>
      </c>
      <c r="B14" s="85" t="s">
        <v>37</v>
      </c>
      <c r="C14" s="6">
        <v>8.9488439999999994</v>
      </c>
      <c r="D14" s="38" t="s">
        <v>50</v>
      </c>
      <c r="E14" s="85" t="s">
        <v>48</v>
      </c>
      <c r="F14" s="6">
        <v>-14.135885999999999</v>
      </c>
      <c r="K14" s="47"/>
      <c r="L14"/>
      <c r="M14"/>
    </row>
    <row r="15" spans="1:13" ht="15" x14ac:dyDescent="0.25">
      <c r="A15" s="39" t="s">
        <v>46</v>
      </c>
      <c r="B15" s="35" t="s">
        <v>43</v>
      </c>
      <c r="C15" s="9">
        <v>5.2671260000000002</v>
      </c>
      <c r="D15" s="39" t="s">
        <v>40</v>
      </c>
      <c r="E15" s="35" t="s">
        <v>38</v>
      </c>
      <c r="F15" s="9">
        <v>-13.185112</v>
      </c>
      <c r="K15" s="47"/>
      <c r="L15"/>
      <c r="M15"/>
    </row>
    <row r="16" spans="1:13" ht="15" x14ac:dyDescent="0.2">
      <c r="A16" s="10"/>
      <c r="B16" s="10"/>
      <c r="C16" s="10"/>
      <c r="D16" s="33"/>
      <c r="E16" s="10"/>
      <c r="F16" s="10"/>
    </row>
    <row r="17" spans="1:13" x14ac:dyDescent="0.2">
      <c r="A17" s="10"/>
      <c r="B17" s="10"/>
      <c r="C17" s="10"/>
      <c r="D17" s="10"/>
      <c r="E17" s="10"/>
      <c r="F17" s="10"/>
    </row>
    <row r="18" spans="1:13" ht="28.5" customHeight="1" x14ac:dyDescent="0.2">
      <c r="A18" s="41" t="s">
        <v>3</v>
      </c>
      <c r="B18" s="3" t="s">
        <v>1</v>
      </c>
      <c r="C18" s="4" t="str">
        <f>C5</f>
        <v>Week of 19 February 2024</v>
      </c>
      <c r="D18" s="81" t="s">
        <v>4</v>
      </c>
      <c r="E18" s="79" t="s">
        <v>1</v>
      </c>
      <c r="F18" s="80" t="str">
        <f>+C18</f>
        <v>Week of 19 February 2024</v>
      </c>
    </row>
    <row r="19" spans="1:13" ht="15" x14ac:dyDescent="0.25">
      <c r="A19" s="75" t="s">
        <v>33</v>
      </c>
      <c r="B19" s="85" t="s">
        <v>31</v>
      </c>
      <c r="C19" s="6">
        <v>169.01257699999999</v>
      </c>
      <c r="D19" s="36" t="s">
        <v>27</v>
      </c>
      <c r="E19" s="85" t="s">
        <v>22</v>
      </c>
      <c r="F19" s="6">
        <v>-72.435840999999996</v>
      </c>
      <c r="I19" s="40"/>
      <c r="K19" s="47"/>
      <c r="L19"/>
      <c r="M19"/>
    </row>
    <row r="20" spans="1:13" ht="15" x14ac:dyDescent="0.25">
      <c r="A20" s="37" t="s">
        <v>28</v>
      </c>
      <c r="B20" s="10" t="s">
        <v>23</v>
      </c>
      <c r="C20" s="8">
        <v>98.460076000000001</v>
      </c>
      <c r="D20" s="37" t="s">
        <v>26</v>
      </c>
      <c r="E20" s="10" t="s">
        <v>21</v>
      </c>
      <c r="F20" s="8">
        <v>-28.151876000000001</v>
      </c>
      <c r="I20" s="40"/>
      <c r="K20" s="47"/>
      <c r="L20"/>
      <c r="M20"/>
    </row>
    <row r="21" spans="1:13" ht="15" x14ac:dyDescent="0.25">
      <c r="A21" s="38" t="s">
        <v>36</v>
      </c>
      <c r="B21" s="85" t="s">
        <v>35</v>
      </c>
      <c r="C21" s="6">
        <v>47.014919499999998</v>
      </c>
      <c r="D21" s="38" t="s">
        <v>29</v>
      </c>
      <c r="E21" s="85" t="s">
        <v>24</v>
      </c>
      <c r="F21" s="6">
        <v>-23.253896000000001</v>
      </c>
      <c r="I21" s="40"/>
      <c r="K21" s="47"/>
      <c r="L21"/>
      <c r="M21"/>
    </row>
    <row r="22" spans="1:13" ht="15" x14ac:dyDescent="0.25">
      <c r="A22" s="37" t="s">
        <v>45</v>
      </c>
      <c r="B22" s="10" t="s">
        <v>42</v>
      </c>
      <c r="C22" s="8">
        <v>41.990143000000003</v>
      </c>
      <c r="D22" s="37" t="s">
        <v>39</v>
      </c>
      <c r="E22" s="10" t="s">
        <v>37</v>
      </c>
      <c r="F22" s="8">
        <v>-18.082211999999998</v>
      </c>
      <c r="I22" s="40"/>
      <c r="K22" s="47"/>
      <c r="L22"/>
      <c r="M22"/>
    </row>
    <row r="23" spans="1:13" ht="15" x14ac:dyDescent="0.25">
      <c r="A23" s="38" t="s">
        <v>34</v>
      </c>
      <c r="B23" s="85" t="s">
        <v>30</v>
      </c>
      <c r="C23" s="6">
        <v>28.736363999999998</v>
      </c>
      <c r="D23" s="38" t="s">
        <v>65</v>
      </c>
      <c r="E23" s="85" t="s">
        <v>59</v>
      </c>
      <c r="F23" s="6">
        <v>-17.390692999999999</v>
      </c>
      <c r="I23" s="50"/>
      <c r="K23" s="47"/>
      <c r="L23"/>
      <c r="M23"/>
    </row>
    <row r="24" spans="1:13" ht="15" x14ac:dyDescent="0.25">
      <c r="A24" s="37" t="s">
        <v>86</v>
      </c>
      <c r="B24" s="10" t="s">
        <v>85</v>
      </c>
      <c r="C24" s="8">
        <v>23.038743</v>
      </c>
      <c r="D24" s="37" t="s">
        <v>269</v>
      </c>
      <c r="E24" s="10" t="s">
        <v>113</v>
      </c>
      <c r="F24" s="8">
        <v>-13.465919</v>
      </c>
      <c r="I24" s="40"/>
      <c r="K24" s="47"/>
      <c r="L24"/>
      <c r="M24"/>
    </row>
    <row r="25" spans="1:13" ht="15" x14ac:dyDescent="0.25">
      <c r="A25" s="38" t="s">
        <v>40</v>
      </c>
      <c r="B25" s="85" t="s">
        <v>38</v>
      </c>
      <c r="C25" s="6">
        <v>7.3067719999999996</v>
      </c>
      <c r="D25" s="38" t="s">
        <v>154</v>
      </c>
      <c r="E25" s="85" t="s">
        <v>32</v>
      </c>
      <c r="F25" s="6">
        <v>-12.873564</v>
      </c>
      <c r="I25" s="40"/>
      <c r="K25" s="47"/>
      <c r="L25"/>
      <c r="M25"/>
    </row>
    <row r="26" spans="1:13" ht="15" x14ac:dyDescent="0.25">
      <c r="A26" s="37" t="s">
        <v>81</v>
      </c>
      <c r="B26" s="10" t="s">
        <v>80</v>
      </c>
      <c r="C26" s="8">
        <v>6.9372759999999998</v>
      </c>
      <c r="D26" s="37" t="s">
        <v>60</v>
      </c>
      <c r="E26" s="10" t="s">
        <v>51</v>
      </c>
      <c r="F26" s="8">
        <v>-11.391462499999999</v>
      </c>
      <c r="I26" s="40"/>
      <c r="K26" s="47"/>
      <c r="L26"/>
      <c r="M26"/>
    </row>
    <row r="27" spans="1:13" ht="15" x14ac:dyDescent="0.25">
      <c r="A27" s="38" t="s">
        <v>265</v>
      </c>
      <c r="B27" s="85" t="s">
        <v>97</v>
      </c>
      <c r="C27" s="6">
        <v>4.3362709994499999</v>
      </c>
      <c r="D27" s="38" t="s">
        <v>44</v>
      </c>
      <c r="E27" s="85" t="s">
        <v>41</v>
      </c>
      <c r="F27" s="6">
        <v>-8.7286230000000007</v>
      </c>
      <c r="I27" s="40"/>
      <c r="K27" s="47"/>
      <c r="L27"/>
      <c r="M27"/>
    </row>
    <row r="28" spans="1:13" ht="15" x14ac:dyDescent="0.25">
      <c r="A28" s="39" t="s">
        <v>50</v>
      </c>
      <c r="B28" s="35" t="s">
        <v>48</v>
      </c>
      <c r="C28" s="9">
        <v>4.1854069999999997</v>
      </c>
      <c r="D28" s="39" t="s">
        <v>49</v>
      </c>
      <c r="E28" s="35" t="s">
        <v>47</v>
      </c>
      <c r="F28" s="9">
        <v>-8.0831686000000005</v>
      </c>
      <c r="I28" s="40"/>
      <c r="K28" s="47"/>
      <c r="L28"/>
      <c r="M28"/>
    </row>
    <row r="29" spans="1:13" x14ac:dyDescent="0.2">
      <c r="A29" s="10"/>
      <c r="B29" s="10"/>
      <c r="C29" s="10"/>
      <c r="D29" s="10"/>
      <c r="E29" s="10"/>
      <c r="F29" s="10"/>
    </row>
    <row r="30" spans="1:13" x14ac:dyDescent="0.2">
      <c r="A30" s="11" t="s">
        <v>263</v>
      </c>
      <c r="B30" s="11"/>
      <c r="C30" s="10"/>
      <c r="D30" s="10"/>
      <c r="E30" s="10"/>
      <c r="F30" s="10"/>
    </row>
    <row r="31" spans="1:13" x14ac:dyDescent="0.2">
      <c r="A31" s="11" t="s">
        <v>82</v>
      </c>
      <c r="B31" s="11"/>
      <c r="C31" s="10"/>
      <c r="D31" s="10"/>
      <c r="E31" s="10"/>
      <c r="F31" s="10"/>
    </row>
    <row r="32" spans="1:13" x14ac:dyDescent="0.2">
      <c r="A32" s="11" t="s">
        <v>83</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87" t="s">
        <v>264</v>
      </c>
      <c r="B40" s="87"/>
      <c r="C40" s="87"/>
      <c r="D40" s="87"/>
      <c r="E40" s="87"/>
      <c r="F40" s="87"/>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140625" style="2"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88" t="s">
        <v>7</v>
      </c>
      <c r="B1" s="13"/>
      <c r="C1" s="90" t="s">
        <v>8</v>
      </c>
      <c r="D1" s="91"/>
      <c r="E1" s="91"/>
      <c r="F1" s="91"/>
      <c r="G1" s="91"/>
      <c r="H1" s="91"/>
      <c r="I1" s="91"/>
      <c r="J1" s="91"/>
      <c r="K1" s="91"/>
      <c r="L1" s="91"/>
      <c r="M1" s="91"/>
      <c r="N1" s="92"/>
    </row>
    <row r="2" spans="1:15" ht="60" customHeight="1" x14ac:dyDescent="0.2">
      <c r="A2" s="89"/>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f>SUM(C3:N3)</f>
        <v>-284.40025409617004</v>
      </c>
      <c r="B3" s="16">
        <v>45320</v>
      </c>
      <c r="C3" s="17">
        <v>-6.8954819843599982</v>
      </c>
      <c r="D3" s="17">
        <v>-7.9952984967000011</v>
      </c>
      <c r="E3" s="17">
        <v>-1.5623640000000001</v>
      </c>
      <c r="F3" s="17">
        <v>-193.478084</v>
      </c>
      <c r="G3" s="17">
        <v>-1.9111549854000001</v>
      </c>
      <c r="H3" s="17">
        <v>9.0792856316500021</v>
      </c>
      <c r="I3" s="17">
        <v>-2.2439969</v>
      </c>
      <c r="J3" s="17">
        <v>-26.029204932600003</v>
      </c>
      <c r="K3" s="17">
        <v>-47.959949828759996</v>
      </c>
      <c r="L3" s="17">
        <v>-14.041464</v>
      </c>
      <c r="M3" s="17">
        <v>-10.913559800000002</v>
      </c>
      <c r="N3" s="17">
        <v>19.551019199999995</v>
      </c>
    </row>
    <row r="4" spans="1:15" ht="15" x14ac:dyDescent="0.25">
      <c r="A4" s="49">
        <f t="shared" ref="A4:A6" si="0">SUM(C4:N4)</f>
        <v>-145.06840794932</v>
      </c>
      <c r="B4" s="70">
        <v>45327</v>
      </c>
      <c r="C4" s="71">
        <v>13.492986455229996</v>
      </c>
      <c r="D4" s="71">
        <v>-6.5678229333000004</v>
      </c>
      <c r="E4" s="71">
        <v>-1.1445855999999996</v>
      </c>
      <c r="F4" s="71">
        <v>-98.035383300000007</v>
      </c>
      <c r="G4" s="71">
        <v>0.17306169870000027</v>
      </c>
      <c r="H4" s="71">
        <v>23.172296441460013</v>
      </c>
      <c r="I4" s="71">
        <v>-0.85225989999999996</v>
      </c>
      <c r="J4" s="71">
        <v>-7.8718208337000011</v>
      </c>
      <c r="K4" s="71">
        <v>-22.771211377709996</v>
      </c>
      <c r="L4" s="71">
        <v>6.6136775999999999</v>
      </c>
      <c r="M4" s="71">
        <v>-50.257239600000005</v>
      </c>
      <c r="N4" s="71">
        <v>-1.0201065999999999</v>
      </c>
    </row>
    <row r="5" spans="1:15" ht="15" x14ac:dyDescent="0.25">
      <c r="A5" s="49">
        <f t="shared" si="0"/>
        <v>203.88894710106999</v>
      </c>
      <c r="B5" s="73">
        <v>45334</v>
      </c>
      <c r="C5" s="17">
        <v>-4.4855109951400003</v>
      </c>
      <c r="D5" s="17">
        <v>-8.1961384653999989</v>
      </c>
      <c r="E5" s="17">
        <v>1.9378410000000001</v>
      </c>
      <c r="F5" s="17">
        <v>114.78411057680002</v>
      </c>
      <c r="G5" s="17">
        <v>-1.9072132751000002</v>
      </c>
      <c r="H5" s="17">
        <v>87.817808812369989</v>
      </c>
      <c r="I5" s="17">
        <v>-0.64935860000000001</v>
      </c>
      <c r="J5" s="17">
        <v>-3.7378663614999992</v>
      </c>
      <c r="K5" s="17">
        <v>23.012601309040001</v>
      </c>
      <c r="L5" s="17">
        <v>8.7783444999999993</v>
      </c>
      <c r="M5" s="17">
        <v>-3.842224000000003</v>
      </c>
      <c r="N5" s="17">
        <v>-9.6234473999999999</v>
      </c>
    </row>
    <row r="6" spans="1:15" ht="15" x14ac:dyDescent="0.25">
      <c r="A6" s="49">
        <f t="shared" si="0"/>
        <v>-356.74851362620007</v>
      </c>
      <c r="B6" s="82">
        <v>45341</v>
      </c>
      <c r="C6" s="71">
        <v>-43.397642494480024</v>
      </c>
      <c r="D6" s="71">
        <v>8.7264830919999987</v>
      </c>
      <c r="E6" s="71">
        <v>3.1889930000000004</v>
      </c>
      <c r="F6" s="71">
        <v>-184.24064039999999</v>
      </c>
      <c r="G6" s="71">
        <v>-0.49551733869999987</v>
      </c>
      <c r="H6" s="71">
        <v>-102.03056626424004</v>
      </c>
      <c r="I6" s="71">
        <v>0.41300969999999992</v>
      </c>
      <c r="J6" s="71">
        <v>19.635222198099999</v>
      </c>
      <c r="K6" s="71">
        <v>-33.301668818879996</v>
      </c>
      <c r="L6" s="71">
        <v>21.889433400000001</v>
      </c>
      <c r="M6" s="71">
        <v>-6.7746769999999978</v>
      </c>
      <c r="N6" s="71">
        <v>-40.360942699999995</v>
      </c>
    </row>
    <row r="7" spans="1:15" ht="15" x14ac:dyDescent="0.25">
      <c r="A7" s="72"/>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1"/>
      <c r="D13" s="61"/>
      <c r="E13" s="61"/>
      <c r="F13" s="61"/>
      <c r="G13" s="61"/>
      <c r="H13" s="61"/>
      <c r="I13" s="61"/>
      <c r="J13" s="61"/>
      <c r="K13" s="61"/>
      <c r="L13" s="61"/>
      <c r="M13" s="61"/>
      <c r="N13" s="61"/>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88" t="s">
        <v>7</v>
      </c>
      <c r="B1" s="13"/>
      <c r="C1" s="90" t="s">
        <v>8</v>
      </c>
      <c r="D1" s="91"/>
      <c r="E1" s="91"/>
      <c r="F1" s="91"/>
      <c r="G1" s="91"/>
      <c r="H1" s="91"/>
      <c r="I1" s="91"/>
      <c r="J1" s="91"/>
      <c r="K1" s="91"/>
      <c r="L1" s="91"/>
      <c r="M1" s="91"/>
      <c r="N1" s="92"/>
    </row>
    <row r="2" spans="1:18" ht="60" x14ac:dyDescent="0.2">
      <c r="A2" s="89"/>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49">
        <f>SUM(C3:N3)</f>
        <v>-12.770038318130013</v>
      </c>
      <c r="B3" s="60">
        <v>45320</v>
      </c>
      <c r="C3" s="59">
        <v>-0.98482954764999986</v>
      </c>
      <c r="D3" s="59">
        <v>1.9565834569000002</v>
      </c>
      <c r="E3" s="59">
        <v>1.0403008999999996</v>
      </c>
      <c r="F3" s="59">
        <v>25.814044199999998</v>
      </c>
      <c r="G3" s="59">
        <v>1.9083782816999997</v>
      </c>
      <c r="H3" s="59">
        <v>-66.653434366930014</v>
      </c>
      <c r="I3" s="59">
        <v>2.0854665000000003</v>
      </c>
      <c r="J3" s="59">
        <v>23.576630656100001</v>
      </c>
      <c r="K3" s="59">
        <v>25.227004501749999</v>
      </c>
      <c r="L3" s="59">
        <v>22.199734700000004</v>
      </c>
      <c r="M3" s="59">
        <v>-18.110389300000001</v>
      </c>
      <c r="N3" s="59">
        <v>-30.8295283</v>
      </c>
      <c r="P3" s="15"/>
    </row>
    <row r="4" spans="1:18" ht="15" x14ac:dyDescent="0.25">
      <c r="A4" s="49">
        <f t="shared" ref="A4:A6" si="0">SUM(C4:N4)</f>
        <v>483.49107292075996</v>
      </c>
      <c r="B4" s="68">
        <v>45327</v>
      </c>
      <c r="C4" s="69">
        <v>-3.24512489437</v>
      </c>
      <c r="D4" s="69">
        <v>25.983025899299996</v>
      </c>
      <c r="E4" s="69">
        <v>-1.2585700000000002</v>
      </c>
      <c r="F4" s="69">
        <v>271.49758669999994</v>
      </c>
      <c r="G4" s="69">
        <v>-0.74979619150000021</v>
      </c>
      <c r="H4" s="69">
        <v>47.035673350780009</v>
      </c>
      <c r="I4" s="69">
        <v>8.9349500000000193E-2</v>
      </c>
      <c r="J4" s="69">
        <v>18.510422131799995</v>
      </c>
      <c r="K4" s="69">
        <v>61.709201424750006</v>
      </c>
      <c r="L4" s="69">
        <v>-12.1174214</v>
      </c>
      <c r="M4" s="69">
        <v>64.261180199999998</v>
      </c>
      <c r="N4" s="69">
        <v>11.775546199999999</v>
      </c>
      <c r="P4" s="15"/>
    </row>
    <row r="5" spans="1:18" ht="15" x14ac:dyDescent="0.25">
      <c r="A5" s="49">
        <f t="shared" si="0"/>
        <v>-316.37547126618006</v>
      </c>
      <c r="B5" s="74">
        <v>45334</v>
      </c>
      <c r="C5" s="59">
        <v>5.8683151700300007</v>
      </c>
      <c r="D5" s="59">
        <v>1.3844319845999999</v>
      </c>
      <c r="E5" s="59">
        <v>-1.7353871999999995</v>
      </c>
      <c r="F5" s="59">
        <v>-180.30676707680001</v>
      </c>
      <c r="G5" s="59">
        <v>1.3442990060999995</v>
      </c>
      <c r="H5" s="59">
        <v>-120.76891827945003</v>
      </c>
      <c r="I5" s="59">
        <v>-0.86250970000000005</v>
      </c>
      <c r="J5" s="59">
        <v>5.0192960894999992</v>
      </c>
      <c r="K5" s="59">
        <v>-2.2320697601600008</v>
      </c>
      <c r="L5" s="59">
        <v>-10.5638077</v>
      </c>
      <c r="M5" s="59">
        <v>-5.0710757999999991</v>
      </c>
      <c r="N5" s="59">
        <v>-8.4512780000000003</v>
      </c>
      <c r="P5" s="15"/>
    </row>
    <row r="6" spans="1:18" ht="15" x14ac:dyDescent="0.25">
      <c r="A6" s="49">
        <f t="shared" si="0"/>
        <v>195.18642737303009</v>
      </c>
      <c r="B6" s="86">
        <v>45341</v>
      </c>
      <c r="C6" s="69">
        <v>50.221252936930014</v>
      </c>
      <c r="D6" s="69">
        <v>-21.726860278400004</v>
      </c>
      <c r="E6" s="69">
        <v>-6.9449169999999993</v>
      </c>
      <c r="F6" s="69">
        <v>-3.4255616000000071</v>
      </c>
      <c r="G6" s="69">
        <v>-0.25376494920000009</v>
      </c>
      <c r="H6" s="69">
        <v>158.56028781730006</v>
      </c>
      <c r="I6" s="69">
        <v>-0.3917674000000001</v>
      </c>
      <c r="J6" s="69">
        <v>-17.839971062299995</v>
      </c>
      <c r="K6" s="69">
        <v>23.665920408699993</v>
      </c>
      <c r="L6" s="69">
        <v>-18.587834400000006</v>
      </c>
      <c r="M6" s="69">
        <v>-9.8563967000000012</v>
      </c>
      <c r="N6" s="69">
        <v>41.766039599999999</v>
      </c>
      <c r="P6" s="15"/>
    </row>
    <row r="7" spans="1:18" ht="15" x14ac:dyDescent="0.25">
      <c r="A7" s="72"/>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3"/>
      <c r="D13" s="83"/>
      <c r="E13" s="83"/>
      <c r="F13" s="83"/>
      <c r="G13" s="83"/>
      <c r="H13" s="83"/>
      <c r="I13" s="83"/>
      <c r="J13" s="83"/>
      <c r="K13" s="83"/>
      <c r="L13" s="83"/>
      <c r="M13" s="83"/>
      <c r="N13" s="83"/>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9" ht="60" x14ac:dyDescent="0.25">
      <c r="A1" s="34" t="str">
        <f>CONCATENATE("STI Constituents - ",'Weekly Top 10'!$C$5)</f>
        <v>STI Constituents - Week of 19 February 2024</v>
      </c>
      <c r="B1" s="18" t="s">
        <v>1</v>
      </c>
      <c r="C1" s="19" t="s">
        <v>73</v>
      </c>
      <c r="D1" s="19" t="s">
        <v>74</v>
      </c>
    </row>
    <row r="2" spans="1:9" x14ac:dyDescent="0.25">
      <c r="A2" s="20" t="s">
        <v>90</v>
      </c>
      <c r="B2" s="21" t="s">
        <v>25</v>
      </c>
      <c r="C2" s="22">
        <v>9.6900239999999993</v>
      </c>
      <c r="D2" s="22">
        <v>-3.2361260000000001</v>
      </c>
      <c r="E2" s="40"/>
      <c r="F2" s="44"/>
      <c r="H2" s="45"/>
      <c r="I2" s="45"/>
    </row>
    <row r="3" spans="1:9" x14ac:dyDescent="0.25">
      <c r="A3" s="23" t="s">
        <v>79</v>
      </c>
      <c r="B3" s="24" t="s">
        <v>56</v>
      </c>
      <c r="C3" s="8">
        <v>16.252869</v>
      </c>
      <c r="D3" s="8">
        <v>-0.84125099999999997</v>
      </c>
      <c r="E3" s="40"/>
      <c r="F3" s="44"/>
      <c r="H3" s="45"/>
      <c r="I3" s="45"/>
    </row>
    <row r="4" spans="1:9" x14ac:dyDescent="0.25">
      <c r="A4" s="5" t="s">
        <v>86</v>
      </c>
      <c r="B4" s="7" t="s">
        <v>85</v>
      </c>
      <c r="C4" s="6">
        <v>-50.953485999999998</v>
      </c>
      <c r="D4" s="6">
        <v>23.038743</v>
      </c>
      <c r="E4" s="40"/>
      <c r="F4" s="44"/>
      <c r="H4" s="45"/>
      <c r="I4" s="45"/>
    </row>
    <row r="5" spans="1:9" x14ac:dyDescent="0.25">
      <c r="A5" s="23" t="s">
        <v>63</v>
      </c>
      <c r="B5" s="24" t="s">
        <v>54</v>
      </c>
      <c r="C5" s="8">
        <v>2.7216840000000002</v>
      </c>
      <c r="D5" s="8">
        <v>-1.774532</v>
      </c>
      <c r="E5" s="40"/>
      <c r="F5" s="44"/>
      <c r="H5" s="45"/>
      <c r="I5" s="45"/>
    </row>
    <row r="6" spans="1:9" x14ac:dyDescent="0.25">
      <c r="A6" s="5" t="s">
        <v>87</v>
      </c>
      <c r="B6" s="7" t="s">
        <v>57</v>
      </c>
      <c r="C6" s="6">
        <v>0.6079187920000001</v>
      </c>
      <c r="D6" s="6">
        <v>-0.8343202784</v>
      </c>
      <c r="E6" s="40"/>
      <c r="F6" s="44"/>
      <c r="H6" s="45"/>
      <c r="I6" s="45"/>
    </row>
    <row r="7" spans="1:9" x14ac:dyDescent="0.25">
      <c r="A7" s="23" t="s">
        <v>26</v>
      </c>
      <c r="B7" s="24" t="s">
        <v>21</v>
      </c>
      <c r="C7" s="8">
        <v>-40.422229999999999</v>
      </c>
      <c r="D7" s="8">
        <v>-28.151876000000001</v>
      </c>
      <c r="E7" s="40"/>
      <c r="F7" s="44"/>
      <c r="H7" s="45"/>
      <c r="I7" s="45"/>
    </row>
    <row r="8" spans="1:9" x14ac:dyDescent="0.25">
      <c r="A8" s="5" t="s">
        <v>88</v>
      </c>
      <c r="B8" s="7" t="s">
        <v>89</v>
      </c>
      <c r="C8" s="6">
        <v>0.57778200000000002</v>
      </c>
      <c r="D8" s="6">
        <v>-0.58561099999999999</v>
      </c>
      <c r="E8" s="40"/>
      <c r="F8" s="44"/>
      <c r="H8" s="45"/>
      <c r="I8" s="45"/>
    </row>
    <row r="9" spans="1:9" x14ac:dyDescent="0.25">
      <c r="A9" s="23" t="s">
        <v>81</v>
      </c>
      <c r="B9" s="24" t="s">
        <v>80</v>
      </c>
      <c r="C9" s="8">
        <v>-14.362470999999999</v>
      </c>
      <c r="D9" s="8">
        <v>6.9372759999999998</v>
      </c>
      <c r="E9" s="40"/>
      <c r="F9" s="44"/>
      <c r="H9" s="45"/>
      <c r="I9" s="45"/>
    </row>
    <row r="10" spans="1:9" x14ac:dyDescent="0.25">
      <c r="A10" s="5" t="s">
        <v>36</v>
      </c>
      <c r="B10" s="7" t="s">
        <v>35</v>
      </c>
      <c r="C10" s="6">
        <v>-31.0125855</v>
      </c>
      <c r="D10" s="6">
        <v>47.014919499999998</v>
      </c>
      <c r="E10" s="40"/>
      <c r="F10" s="44"/>
      <c r="H10" s="45"/>
      <c r="I10" s="45"/>
    </row>
    <row r="11" spans="1:9" x14ac:dyDescent="0.25">
      <c r="A11" s="23" t="s">
        <v>64</v>
      </c>
      <c r="B11" s="24" t="s">
        <v>55</v>
      </c>
      <c r="C11" s="8">
        <v>2.9853180981</v>
      </c>
      <c r="D11" s="8">
        <v>-0.55746556229999999</v>
      </c>
      <c r="E11" s="40"/>
      <c r="F11" s="44"/>
      <c r="H11" s="45"/>
      <c r="I11" s="45"/>
    </row>
    <row r="12" spans="1:9" x14ac:dyDescent="0.25">
      <c r="A12" s="5" t="s">
        <v>50</v>
      </c>
      <c r="B12" s="7" t="s">
        <v>48</v>
      </c>
      <c r="C12" s="6">
        <v>-14.135885999999999</v>
      </c>
      <c r="D12" s="6">
        <v>4.1854069999999997</v>
      </c>
      <c r="E12" s="40"/>
      <c r="F12" s="44"/>
      <c r="H12" s="45"/>
      <c r="I12" s="45"/>
    </row>
    <row r="13" spans="1:9" x14ac:dyDescent="0.25">
      <c r="A13" s="23" t="s">
        <v>62</v>
      </c>
      <c r="B13" s="24" t="s">
        <v>52</v>
      </c>
      <c r="C13" s="8">
        <v>2.4971782824000002</v>
      </c>
      <c r="D13" s="8">
        <v>-0.53529924220000002</v>
      </c>
      <c r="E13" s="40"/>
      <c r="F13" s="44"/>
      <c r="H13" s="45"/>
      <c r="I13" s="45"/>
    </row>
    <row r="14" spans="1:9" x14ac:dyDescent="0.25">
      <c r="A14" s="5" t="s">
        <v>171</v>
      </c>
      <c r="B14" s="7" t="s">
        <v>32</v>
      </c>
      <c r="C14" s="6">
        <v>3.767973</v>
      </c>
      <c r="D14" s="6">
        <v>-12.873564</v>
      </c>
      <c r="E14" s="40"/>
      <c r="F14" s="44"/>
      <c r="H14" s="45"/>
      <c r="I14" s="45"/>
    </row>
    <row r="15" spans="1:9" x14ac:dyDescent="0.25">
      <c r="A15" s="23" t="s">
        <v>266</v>
      </c>
      <c r="B15" s="24" t="s">
        <v>58</v>
      </c>
      <c r="C15" s="8">
        <v>-6.6094809999999997</v>
      </c>
      <c r="D15" s="8">
        <v>7.0971000000000006E-2</v>
      </c>
      <c r="E15" s="40"/>
      <c r="F15" s="44"/>
      <c r="H15" s="45"/>
      <c r="I15" s="45"/>
    </row>
    <row r="16" spans="1:9" x14ac:dyDescent="0.25">
      <c r="A16" s="5" t="s">
        <v>77</v>
      </c>
      <c r="B16" s="7" t="s">
        <v>76</v>
      </c>
      <c r="C16" s="6">
        <v>-12.927292</v>
      </c>
      <c r="D16" s="6">
        <v>2.7199239999999998</v>
      </c>
      <c r="E16" s="40"/>
      <c r="F16" s="44"/>
      <c r="H16" s="45"/>
      <c r="I16" s="45"/>
    </row>
    <row r="17" spans="1:9" x14ac:dyDescent="0.25">
      <c r="A17" s="23" t="s">
        <v>40</v>
      </c>
      <c r="B17" s="24" t="s">
        <v>38</v>
      </c>
      <c r="C17" s="8">
        <v>-13.185112</v>
      </c>
      <c r="D17" s="8">
        <v>7.3067719999999996</v>
      </c>
      <c r="E17" s="40"/>
      <c r="F17" s="44"/>
      <c r="H17" s="45"/>
      <c r="I17" s="45"/>
    </row>
    <row r="18" spans="1:9" x14ac:dyDescent="0.25">
      <c r="A18" s="5" t="s">
        <v>27</v>
      </c>
      <c r="B18" s="7" t="s">
        <v>22</v>
      </c>
      <c r="C18" s="6">
        <v>15.230212</v>
      </c>
      <c r="D18" s="6">
        <v>-72.435840999999996</v>
      </c>
      <c r="E18" s="40"/>
      <c r="F18" s="44"/>
      <c r="H18" s="45"/>
      <c r="I18" s="45"/>
    </row>
    <row r="19" spans="1:9" x14ac:dyDescent="0.25">
      <c r="A19" s="23" t="s">
        <v>34</v>
      </c>
      <c r="B19" s="24" t="s">
        <v>30</v>
      </c>
      <c r="C19" s="8">
        <v>-19.730505999999998</v>
      </c>
      <c r="D19" s="8">
        <v>28.736363999999998</v>
      </c>
      <c r="E19" s="40"/>
      <c r="F19" s="44"/>
      <c r="H19" s="45"/>
      <c r="I19" s="45"/>
    </row>
    <row r="20" spans="1:9" x14ac:dyDescent="0.25">
      <c r="A20" s="5" t="s">
        <v>147</v>
      </c>
      <c r="B20" s="7" t="s">
        <v>91</v>
      </c>
      <c r="C20" s="6">
        <v>15.756859199999999</v>
      </c>
      <c r="D20" s="6">
        <v>-6.5596463999999992</v>
      </c>
      <c r="E20" s="40"/>
      <c r="F20" s="44"/>
      <c r="H20" s="45"/>
      <c r="I20" s="45"/>
    </row>
    <row r="21" spans="1:9" x14ac:dyDescent="0.25">
      <c r="A21" s="66" t="s">
        <v>45</v>
      </c>
      <c r="B21" s="24" t="s">
        <v>42</v>
      </c>
      <c r="C21" s="8">
        <v>-40.608654999999999</v>
      </c>
      <c r="D21" s="8">
        <v>41.990143000000003</v>
      </c>
      <c r="E21" s="40"/>
      <c r="F21" s="44"/>
      <c r="H21" s="45"/>
      <c r="I21" s="45"/>
    </row>
    <row r="22" spans="1:9" x14ac:dyDescent="0.25">
      <c r="A22" s="67" t="s">
        <v>29</v>
      </c>
      <c r="B22" s="7" t="s">
        <v>24</v>
      </c>
      <c r="C22" s="6">
        <v>16.016082999999998</v>
      </c>
      <c r="D22" s="76">
        <v>-23.253896000000001</v>
      </c>
      <c r="E22" s="40"/>
      <c r="F22" s="44"/>
      <c r="H22" s="45"/>
      <c r="I22" s="45"/>
    </row>
    <row r="23" spans="1:9" x14ac:dyDescent="0.25">
      <c r="A23" s="23" t="s">
        <v>33</v>
      </c>
      <c r="B23" s="24" t="s">
        <v>31</v>
      </c>
      <c r="C23" s="8">
        <v>-109.52584400000001</v>
      </c>
      <c r="D23" s="8">
        <v>169.01257699999999</v>
      </c>
      <c r="E23" s="40"/>
      <c r="F23" s="44"/>
      <c r="H23" s="45"/>
      <c r="I23" s="45"/>
    </row>
    <row r="24" spans="1:9" x14ac:dyDescent="0.25">
      <c r="A24" s="5" t="s">
        <v>49</v>
      </c>
      <c r="B24" s="7" t="s">
        <v>47</v>
      </c>
      <c r="C24" s="6">
        <v>-7.8311890999999978</v>
      </c>
      <c r="D24" s="6">
        <v>-8.0831686000000005</v>
      </c>
      <c r="E24" s="40"/>
      <c r="F24" s="44"/>
      <c r="H24" s="45"/>
      <c r="I24" s="45"/>
    </row>
    <row r="25" spans="1:9" x14ac:dyDescent="0.25">
      <c r="A25" s="23" t="s">
        <v>39</v>
      </c>
      <c r="B25" s="24" t="s">
        <v>37</v>
      </c>
      <c r="C25" s="8">
        <v>8.9488439999999994</v>
      </c>
      <c r="D25" s="8">
        <v>-18.082211999999998</v>
      </c>
      <c r="E25" s="40"/>
      <c r="F25" s="44"/>
      <c r="H25" s="45"/>
      <c r="I25" s="45"/>
    </row>
    <row r="26" spans="1:9" x14ac:dyDescent="0.25">
      <c r="A26" s="5" t="s">
        <v>60</v>
      </c>
      <c r="B26" s="7" t="s">
        <v>51</v>
      </c>
      <c r="C26" s="6">
        <v>13.226684499999999</v>
      </c>
      <c r="D26" s="6">
        <v>-11.391462499999999</v>
      </c>
      <c r="E26" s="40"/>
      <c r="F26" s="44"/>
      <c r="H26" s="45"/>
      <c r="I26" s="45"/>
    </row>
    <row r="27" spans="1:9" x14ac:dyDescent="0.25">
      <c r="A27" s="23" t="s">
        <v>28</v>
      </c>
      <c r="B27" s="24" t="s">
        <v>23</v>
      </c>
      <c r="C27" s="8">
        <v>-124.77154899999999</v>
      </c>
      <c r="D27" s="8">
        <v>98.460076000000001</v>
      </c>
      <c r="E27" s="40"/>
      <c r="F27" s="44"/>
      <c r="H27" s="45"/>
      <c r="I27" s="45"/>
    </row>
    <row r="28" spans="1:9" x14ac:dyDescent="0.25">
      <c r="A28" s="5" t="s">
        <v>65</v>
      </c>
      <c r="B28" s="7" t="s">
        <v>59</v>
      </c>
      <c r="C28" s="6">
        <v>16.416443000000001</v>
      </c>
      <c r="D28" s="6">
        <v>-17.390692999999999</v>
      </c>
      <c r="E28" s="40"/>
      <c r="F28" s="44"/>
      <c r="H28" s="45"/>
      <c r="I28" s="45"/>
    </row>
    <row r="29" spans="1:9" x14ac:dyDescent="0.25">
      <c r="A29" s="23" t="s">
        <v>46</v>
      </c>
      <c r="B29" s="24" t="s">
        <v>43</v>
      </c>
      <c r="C29" s="8">
        <v>5.2671260000000002</v>
      </c>
      <c r="D29" s="8">
        <v>-1.0495270000000001</v>
      </c>
      <c r="E29" s="40"/>
      <c r="F29" s="44"/>
      <c r="H29" s="45"/>
      <c r="I29" s="45"/>
    </row>
    <row r="30" spans="1:9" x14ac:dyDescent="0.25">
      <c r="A30" s="5" t="s">
        <v>44</v>
      </c>
      <c r="B30" s="7" t="s">
        <v>41</v>
      </c>
      <c r="C30" s="6">
        <v>-5.7035559999999998</v>
      </c>
      <c r="D30" s="6">
        <v>-8.7286230000000007</v>
      </c>
      <c r="E30" s="40"/>
      <c r="F30" s="44"/>
      <c r="H30" s="45"/>
      <c r="I30" s="45"/>
    </row>
    <row r="31" spans="1:9" ht="15.75" thickBot="1" x14ac:dyDescent="0.3">
      <c r="A31" s="23" t="s">
        <v>61</v>
      </c>
      <c r="B31" s="24" t="s">
        <v>53</v>
      </c>
      <c r="C31" s="8">
        <v>-0.87173599999999996</v>
      </c>
      <c r="D31" s="8">
        <v>-2.2790780000000002</v>
      </c>
      <c r="E31" s="40"/>
      <c r="F31" s="44"/>
      <c r="H31" s="45"/>
      <c r="I31" s="45"/>
    </row>
    <row r="32" spans="1:9" ht="21" customHeight="1" thickBot="1" x14ac:dyDescent="0.3">
      <c r="A32" s="93" t="s">
        <v>66</v>
      </c>
      <c r="B32" s="94"/>
      <c r="C32" s="77">
        <f>SUM(C2:C31)</f>
        <v>-362.68857972749993</v>
      </c>
      <c r="D32" s="78">
        <f>SUM(D2:D31)</f>
        <v>210.82897991710001</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autoFilter ref="A1:D32" xr:uid="{00000000-0001-0000-0300-000000000000}"/>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11"/>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9" ht="60" x14ac:dyDescent="0.25">
      <c r="A1" s="34" t="str">
        <f>CONCATENATE("100 Most Traded Stocks YTD - ",'Weekly Top 10'!$C$5)</f>
        <v>100 Most Traded Stocks YTD - Week of 19 February 2024</v>
      </c>
      <c r="B1" s="18" t="s">
        <v>1</v>
      </c>
      <c r="C1" s="53" t="s">
        <v>102</v>
      </c>
      <c r="D1" s="19" t="s">
        <v>101</v>
      </c>
      <c r="E1" s="19" t="s">
        <v>103</v>
      </c>
      <c r="F1" s="19" t="s">
        <v>104</v>
      </c>
    </row>
    <row r="2" spans="1:9" x14ac:dyDescent="0.25">
      <c r="A2" s="20" t="s">
        <v>26</v>
      </c>
      <c r="B2" s="21" t="s">
        <v>21</v>
      </c>
      <c r="C2" s="62">
        <v>129.8420805291579</v>
      </c>
      <c r="D2" s="62">
        <v>-284.79683199999999</v>
      </c>
      <c r="E2" s="62">
        <v>-40.422229999999999</v>
      </c>
      <c r="F2" s="22" t="s">
        <v>13</v>
      </c>
      <c r="G2" s="61"/>
      <c r="H2" s="61"/>
      <c r="I2" s="61"/>
    </row>
    <row r="3" spans="1:9" x14ac:dyDescent="0.25">
      <c r="A3" s="23" t="s">
        <v>28</v>
      </c>
      <c r="B3" s="24" t="s">
        <v>23</v>
      </c>
      <c r="C3" s="63">
        <v>67.284858613157894</v>
      </c>
      <c r="D3" s="63">
        <v>-25.573715</v>
      </c>
      <c r="E3" s="63">
        <v>-124.77154899999999</v>
      </c>
      <c r="F3" s="8" t="s">
        <v>13</v>
      </c>
      <c r="G3" s="61"/>
      <c r="H3" s="61"/>
      <c r="I3" s="61"/>
    </row>
    <row r="4" spans="1:9" x14ac:dyDescent="0.25">
      <c r="A4" s="5" t="s">
        <v>49</v>
      </c>
      <c r="B4" s="7" t="s">
        <v>47</v>
      </c>
      <c r="C4" s="64">
        <v>58.451441092842103</v>
      </c>
      <c r="D4" s="64">
        <v>-72.476391100000001</v>
      </c>
      <c r="E4" s="64">
        <v>-7.8311890999999996</v>
      </c>
      <c r="F4" s="6" t="s">
        <v>172</v>
      </c>
      <c r="G4" s="61"/>
      <c r="H4" s="61"/>
      <c r="I4" s="61"/>
    </row>
    <row r="5" spans="1:9" x14ac:dyDescent="0.25">
      <c r="A5" s="23" t="s">
        <v>176</v>
      </c>
      <c r="B5" s="24" t="s">
        <v>22</v>
      </c>
      <c r="C5" s="63">
        <v>58.219288666763156</v>
      </c>
      <c r="D5" s="63">
        <v>82.801391599999988</v>
      </c>
      <c r="E5" s="63">
        <v>15.230212</v>
      </c>
      <c r="F5" s="8" t="s">
        <v>13</v>
      </c>
      <c r="G5" s="61"/>
      <c r="H5" s="61"/>
      <c r="I5" s="61"/>
    </row>
    <row r="6" spans="1:9" x14ac:dyDescent="0.25">
      <c r="A6" s="5" t="s">
        <v>177</v>
      </c>
      <c r="B6" s="7" t="s">
        <v>56</v>
      </c>
      <c r="C6" s="64">
        <v>48.938791715526321</v>
      </c>
      <c r="D6" s="64">
        <v>29.720320999999998</v>
      </c>
      <c r="E6" s="64">
        <v>16.252869</v>
      </c>
      <c r="F6" s="6" t="s">
        <v>17</v>
      </c>
      <c r="G6" s="61"/>
      <c r="H6" s="61"/>
      <c r="I6" s="61"/>
    </row>
    <row r="7" spans="1:9" x14ac:dyDescent="0.25">
      <c r="A7" s="23" t="s">
        <v>33</v>
      </c>
      <c r="B7" s="24" t="s">
        <v>31</v>
      </c>
      <c r="C7" s="63">
        <v>44.399762826315794</v>
      </c>
      <c r="D7" s="63">
        <v>-33.747954</v>
      </c>
      <c r="E7" s="63">
        <v>-109.52584400000001</v>
      </c>
      <c r="F7" s="8" t="s">
        <v>14</v>
      </c>
      <c r="G7" s="61"/>
      <c r="H7" s="61"/>
      <c r="I7" s="61"/>
    </row>
    <row r="8" spans="1:9" x14ac:dyDescent="0.25">
      <c r="A8" s="5" t="s">
        <v>147</v>
      </c>
      <c r="B8" s="7" t="s">
        <v>91</v>
      </c>
      <c r="C8" s="64">
        <v>37.270108825157905</v>
      </c>
      <c r="D8" s="64">
        <v>-35.2754446</v>
      </c>
      <c r="E8" s="64">
        <v>15.756859199999999</v>
      </c>
      <c r="F8" s="48" t="s">
        <v>14</v>
      </c>
      <c r="G8" s="61"/>
      <c r="H8" s="61"/>
      <c r="I8" s="61"/>
    </row>
    <row r="9" spans="1:9" x14ac:dyDescent="0.25">
      <c r="A9" s="23" t="s">
        <v>178</v>
      </c>
      <c r="B9" s="24" t="s">
        <v>25</v>
      </c>
      <c r="C9" s="63">
        <v>36.923385496578945</v>
      </c>
      <c r="D9" s="63">
        <v>-11.622799000000001</v>
      </c>
      <c r="E9" s="63">
        <v>9.6900239999999993</v>
      </c>
      <c r="F9" s="8" t="s">
        <v>17</v>
      </c>
      <c r="G9" s="61"/>
      <c r="H9" s="61"/>
      <c r="I9" s="61"/>
    </row>
    <row r="10" spans="1:9" x14ac:dyDescent="0.25">
      <c r="A10" s="5" t="s">
        <v>180</v>
      </c>
      <c r="B10" s="7" t="s">
        <v>85</v>
      </c>
      <c r="C10" s="64">
        <v>28.481167839473692</v>
      </c>
      <c r="D10" s="64">
        <v>-74.379970999999998</v>
      </c>
      <c r="E10" s="64">
        <v>-50.953485999999998</v>
      </c>
      <c r="F10" s="6" t="s">
        <v>13</v>
      </c>
      <c r="G10" s="61"/>
      <c r="H10" s="61"/>
      <c r="I10" s="61"/>
    </row>
    <row r="11" spans="1:9" x14ac:dyDescent="0.25">
      <c r="A11" s="23" t="s">
        <v>154</v>
      </c>
      <c r="B11" s="24" t="s">
        <v>32</v>
      </c>
      <c r="C11" s="63">
        <v>26.351509447368421</v>
      </c>
      <c r="D11" s="63">
        <v>88.813474999999997</v>
      </c>
      <c r="E11" s="63">
        <v>3.767973</v>
      </c>
      <c r="F11" s="8" t="s">
        <v>14</v>
      </c>
      <c r="G11" s="61"/>
      <c r="H11" s="61"/>
      <c r="I11" s="61"/>
    </row>
    <row r="12" spans="1:9" x14ac:dyDescent="0.25">
      <c r="A12" s="5" t="s">
        <v>181</v>
      </c>
      <c r="B12" s="7" t="s">
        <v>38</v>
      </c>
      <c r="C12" s="64">
        <v>26.19285511052632</v>
      </c>
      <c r="D12" s="64">
        <v>-62.336654000000003</v>
      </c>
      <c r="E12" s="64">
        <v>-13.185112</v>
      </c>
      <c r="F12" s="6" t="s">
        <v>17</v>
      </c>
      <c r="G12" s="61"/>
      <c r="H12" s="61"/>
      <c r="I12" s="61"/>
    </row>
    <row r="13" spans="1:9" x14ac:dyDescent="0.25">
      <c r="A13" s="23" t="s">
        <v>179</v>
      </c>
      <c r="B13" s="24" t="s">
        <v>53</v>
      </c>
      <c r="C13" s="63">
        <v>25.814326402631579</v>
      </c>
      <c r="D13" s="63">
        <v>32.367448000000003</v>
      </c>
      <c r="E13" s="63">
        <v>-0.87173599999999996</v>
      </c>
      <c r="F13" s="8" t="s">
        <v>14</v>
      </c>
      <c r="G13" s="61"/>
      <c r="H13" s="61"/>
      <c r="I13" s="61"/>
    </row>
    <row r="14" spans="1:9" x14ac:dyDescent="0.25">
      <c r="A14" s="5" t="s">
        <v>182</v>
      </c>
      <c r="B14" s="7" t="s">
        <v>35</v>
      </c>
      <c r="C14" s="64">
        <v>25.124704431578948</v>
      </c>
      <c r="D14" s="64">
        <v>-11.401557499999999</v>
      </c>
      <c r="E14" s="64">
        <v>-31.0125855</v>
      </c>
      <c r="F14" s="6" t="s">
        <v>10</v>
      </c>
      <c r="G14" s="61"/>
      <c r="H14" s="61"/>
      <c r="I14" s="61"/>
    </row>
    <row r="15" spans="1:9" x14ac:dyDescent="0.25">
      <c r="A15" s="23" t="s">
        <v>186</v>
      </c>
      <c r="B15" s="24" t="s">
        <v>42</v>
      </c>
      <c r="C15" s="63">
        <v>19.598594113684211</v>
      </c>
      <c r="D15" s="63">
        <v>-10.811998800000001</v>
      </c>
      <c r="E15" s="63">
        <v>-40.608654999999999</v>
      </c>
      <c r="F15" s="8" t="s">
        <v>19</v>
      </c>
      <c r="G15" s="61"/>
      <c r="H15" s="61"/>
      <c r="I15" s="61"/>
    </row>
    <row r="16" spans="1:9" x14ac:dyDescent="0.25">
      <c r="A16" s="5" t="s">
        <v>183</v>
      </c>
      <c r="B16" s="7" t="s">
        <v>78</v>
      </c>
      <c r="C16" s="64">
        <v>17.686187892105259</v>
      </c>
      <c r="D16" s="64">
        <v>-43.920490999999998</v>
      </c>
      <c r="E16" s="64">
        <v>3.2237089999999999</v>
      </c>
      <c r="F16" s="6" t="s">
        <v>17</v>
      </c>
      <c r="G16" s="61"/>
      <c r="H16" s="61"/>
      <c r="I16" s="61"/>
    </row>
    <row r="17" spans="1:11" x14ac:dyDescent="0.25">
      <c r="A17" s="23" t="s">
        <v>185</v>
      </c>
      <c r="B17" s="24" t="s">
        <v>41</v>
      </c>
      <c r="C17" s="63">
        <v>17.254350342105258</v>
      </c>
      <c r="D17" s="63">
        <v>-16.309087000000002</v>
      </c>
      <c r="E17" s="63">
        <v>-5.7035559999999998</v>
      </c>
      <c r="F17" s="8" t="s">
        <v>11</v>
      </c>
      <c r="G17" s="61"/>
      <c r="H17" s="61"/>
      <c r="I17" s="61"/>
    </row>
    <row r="18" spans="1:11" x14ac:dyDescent="0.25">
      <c r="A18" s="5" t="s">
        <v>29</v>
      </c>
      <c r="B18" s="7" t="s">
        <v>24</v>
      </c>
      <c r="C18" s="64">
        <v>17.066770686842109</v>
      </c>
      <c r="D18" s="64">
        <v>-52.857126999999998</v>
      </c>
      <c r="E18" s="64">
        <v>16.016082999999998</v>
      </c>
      <c r="F18" s="6" t="s">
        <v>13</v>
      </c>
      <c r="G18" s="61"/>
      <c r="H18" s="61"/>
      <c r="I18" s="61"/>
      <c r="J18" s="61"/>
      <c r="K18" s="61"/>
    </row>
    <row r="19" spans="1:11" x14ac:dyDescent="0.25">
      <c r="A19" s="23" t="s">
        <v>189</v>
      </c>
      <c r="B19" s="24" t="s">
        <v>51</v>
      </c>
      <c r="C19" s="63">
        <v>16.396491557894741</v>
      </c>
      <c r="D19" s="63">
        <v>-5.2537525</v>
      </c>
      <c r="E19" s="63">
        <v>13.226684499999999</v>
      </c>
      <c r="F19" s="8" t="s">
        <v>11</v>
      </c>
      <c r="G19" s="61"/>
      <c r="H19" s="61"/>
      <c r="I19" s="61"/>
      <c r="J19" s="61"/>
      <c r="K19" s="61"/>
    </row>
    <row r="20" spans="1:11" x14ac:dyDescent="0.25">
      <c r="A20" s="5" t="s">
        <v>184</v>
      </c>
      <c r="B20" s="7" t="s">
        <v>52</v>
      </c>
      <c r="C20" s="64">
        <v>15.71796451048737</v>
      </c>
      <c r="D20" s="64">
        <v>26.223039551099991</v>
      </c>
      <c r="E20" s="64">
        <v>2.4971782824000011</v>
      </c>
      <c r="F20" s="6" t="s">
        <v>14</v>
      </c>
      <c r="G20" s="61"/>
      <c r="H20" s="61"/>
      <c r="I20" s="61"/>
      <c r="J20" s="61"/>
      <c r="K20" s="61"/>
    </row>
    <row r="21" spans="1:11" x14ac:dyDescent="0.25">
      <c r="A21" s="23" t="s">
        <v>39</v>
      </c>
      <c r="B21" s="24" t="s">
        <v>37</v>
      </c>
      <c r="C21" s="63">
        <v>15.66842616052632</v>
      </c>
      <c r="D21" s="63">
        <v>18.440149000000002</v>
      </c>
      <c r="E21" s="63">
        <v>8.9488439999999994</v>
      </c>
      <c r="F21" s="8" t="s">
        <v>14</v>
      </c>
      <c r="G21" s="61"/>
      <c r="H21" s="61"/>
      <c r="I21" s="61"/>
      <c r="J21" s="61"/>
      <c r="K21" s="61"/>
    </row>
    <row r="22" spans="1:11" x14ac:dyDescent="0.25">
      <c r="A22" s="5" t="s">
        <v>188</v>
      </c>
      <c r="B22" s="7" t="s">
        <v>58</v>
      </c>
      <c r="C22" s="64">
        <v>14.912795186842111</v>
      </c>
      <c r="D22" s="64">
        <v>-43.830230999999998</v>
      </c>
      <c r="E22" s="64">
        <v>-6.6094809999999997</v>
      </c>
      <c r="F22" s="6" t="s">
        <v>17</v>
      </c>
      <c r="G22" s="61"/>
      <c r="H22" s="61"/>
      <c r="I22" s="61"/>
      <c r="J22" s="61"/>
      <c r="K22" s="61"/>
    </row>
    <row r="23" spans="1:11" x14ac:dyDescent="0.25">
      <c r="A23" s="23" t="s">
        <v>187</v>
      </c>
      <c r="B23" s="24" t="s">
        <v>76</v>
      </c>
      <c r="C23" s="63">
        <v>14.879754324736838</v>
      </c>
      <c r="D23" s="63">
        <v>-20.488320000000002</v>
      </c>
      <c r="E23" s="63">
        <v>-12.927292</v>
      </c>
      <c r="F23" s="8" t="s">
        <v>17</v>
      </c>
      <c r="G23" s="61"/>
      <c r="H23" s="61"/>
      <c r="I23" s="61"/>
      <c r="J23" s="61"/>
      <c r="K23" s="61"/>
    </row>
    <row r="24" spans="1:11" x14ac:dyDescent="0.25">
      <c r="A24" s="5" t="s">
        <v>190</v>
      </c>
      <c r="B24" s="7" t="s">
        <v>48</v>
      </c>
      <c r="C24" s="64">
        <v>14.266717871052631</v>
      </c>
      <c r="D24" s="64">
        <v>-40.002510000000001</v>
      </c>
      <c r="E24" s="64">
        <v>-14.135885999999999</v>
      </c>
      <c r="F24" s="6" t="s">
        <v>10</v>
      </c>
      <c r="G24" s="61"/>
      <c r="H24" s="61"/>
      <c r="I24" s="61"/>
      <c r="J24" s="61"/>
      <c r="K24" s="61"/>
    </row>
    <row r="25" spans="1:11" x14ac:dyDescent="0.25">
      <c r="A25" s="23" t="s">
        <v>191</v>
      </c>
      <c r="B25" s="24" t="s">
        <v>59</v>
      </c>
      <c r="C25" s="63">
        <v>14.185266565263159</v>
      </c>
      <c r="D25" s="63">
        <v>3.9638</v>
      </c>
      <c r="E25" s="63">
        <v>16.416443000000001</v>
      </c>
      <c r="F25" s="8" t="s">
        <v>16</v>
      </c>
      <c r="G25" s="61"/>
      <c r="H25" s="61"/>
      <c r="I25" s="61"/>
      <c r="J25" s="61"/>
      <c r="K25" s="61"/>
    </row>
    <row r="26" spans="1:11" x14ac:dyDescent="0.25">
      <c r="A26" s="5" t="s">
        <v>192</v>
      </c>
      <c r="B26" s="7" t="s">
        <v>54</v>
      </c>
      <c r="C26" s="64">
        <v>14.13658643684211</v>
      </c>
      <c r="D26" s="64">
        <v>-46.196010000000001</v>
      </c>
      <c r="E26" s="64">
        <v>2.7216840000000002</v>
      </c>
      <c r="F26" s="6" t="s">
        <v>16</v>
      </c>
      <c r="G26" s="61"/>
      <c r="H26" s="61"/>
      <c r="I26" s="61"/>
      <c r="J26" s="61"/>
      <c r="K26" s="61"/>
    </row>
    <row r="27" spans="1:11" x14ac:dyDescent="0.25">
      <c r="A27" s="23" t="s">
        <v>34</v>
      </c>
      <c r="B27" s="24" t="s">
        <v>30</v>
      </c>
      <c r="C27" s="63">
        <v>13.51673879473684</v>
      </c>
      <c r="D27" s="63">
        <v>10.608908</v>
      </c>
      <c r="E27" s="63">
        <v>-19.730505999999998</v>
      </c>
      <c r="F27" s="8" t="s">
        <v>14</v>
      </c>
      <c r="G27" s="61"/>
      <c r="H27" s="61"/>
      <c r="I27" s="61"/>
      <c r="J27" s="61"/>
      <c r="K27" s="61"/>
    </row>
    <row r="28" spans="1:11" x14ac:dyDescent="0.25">
      <c r="A28" s="5" t="s">
        <v>193</v>
      </c>
      <c r="B28" s="7" t="s">
        <v>43</v>
      </c>
      <c r="C28" s="64">
        <v>11.826216928947371</v>
      </c>
      <c r="D28" s="64">
        <v>48.689596000000002</v>
      </c>
      <c r="E28" s="64">
        <v>5.2671260000000002</v>
      </c>
      <c r="F28" s="6" t="s">
        <v>173</v>
      </c>
      <c r="G28" s="61"/>
      <c r="H28" s="61"/>
      <c r="I28" s="61"/>
      <c r="J28" s="61"/>
      <c r="K28" s="61"/>
    </row>
    <row r="29" spans="1:11" x14ac:dyDescent="0.25">
      <c r="A29" s="23" t="s">
        <v>196</v>
      </c>
      <c r="B29" s="24" t="s">
        <v>80</v>
      </c>
      <c r="C29" s="63">
        <v>10.194850825</v>
      </c>
      <c r="D29" s="63">
        <v>-20.502019000000001</v>
      </c>
      <c r="E29" s="63">
        <v>-14.362470999999999</v>
      </c>
      <c r="F29" s="8" t="s">
        <v>17</v>
      </c>
      <c r="G29" s="61"/>
      <c r="H29" s="61"/>
      <c r="I29" s="61"/>
      <c r="J29" s="61"/>
      <c r="K29" s="61"/>
    </row>
    <row r="30" spans="1:11" x14ac:dyDescent="0.25">
      <c r="A30" s="5" t="s">
        <v>194</v>
      </c>
      <c r="B30" s="7" t="s">
        <v>105</v>
      </c>
      <c r="C30" s="64">
        <v>8.7253858103157889</v>
      </c>
      <c r="D30" s="64">
        <v>-0.148314</v>
      </c>
      <c r="E30" s="64">
        <v>-1.0907875</v>
      </c>
      <c r="F30" s="6" t="s">
        <v>17</v>
      </c>
      <c r="G30" s="61"/>
      <c r="H30" s="61"/>
      <c r="I30" s="61"/>
      <c r="J30" s="61"/>
      <c r="K30" s="61"/>
    </row>
    <row r="31" spans="1:11" x14ac:dyDescent="0.25">
      <c r="A31" s="23" t="s">
        <v>195</v>
      </c>
      <c r="B31" s="24" t="s">
        <v>112</v>
      </c>
      <c r="C31" s="63">
        <v>8.2313124394736832</v>
      </c>
      <c r="D31" s="63">
        <v>15.953325</v>
      </c>
      <c r="E31" s="63">
        <v>-1.0628519999999999</v>
      </c>
      <c r="F31" s="8" t="s">
        <v>17</v>
      </c>
      <c r="G31" s="61"/>
      <c r="H31" s="61"/>
      <c r="I31" s="61"/>
      <c r="J31" s="61"/>
      <c r="K31" s="61"/>
    </row>
    <row r="32" spans="1:11" x14ac:dyDescent="0.25">
      <c r="A32" s="5" t="s">
        <v>197</v>
      </c>
      <c r="B32" s="7" t="s">
        <v>55</v>
      </c>
      <c r="C32" s="64">
        <v>7.6976494764947372</v>
      </c>
      <c r="D32" s="64">
        <v>3.1317956680000001</v>
      </c>
      <c r="E32" s="64">
        <v>2.9853180981</v>
      </c>
      <c r="F32" s="6" t="s">
        <v>16</v>
      </c>
      <c r="G32" s="61"/>
      <c r="H32" s="61"/>
      <c r="I32" s="61"/>
      <c r="J32" s="61"/>
      <c r="K32" s="61"/>
    </row>
    <row r="33" spans="1:11" x14ac:dyDescent="0.25">
      <c r="A33" s="23" t="s">
        <v>202</v>
      </c>
      <c r="B33" s="24" t="s">
        <v>148</v>
      </c>
      <c r="C33" s="63">
        <v>6.3979657947368418</v>
      </c>
      <c r="D33" s="63">
        <v>6.5414510000000003</v>
      </c>
      <c r="E33" s="63">
        <v>4.1054399999999998</v>
      </c>
      <c r="F33" s="8" t="s">
        <v>173</v>
      </c>
      <c r="G33" s="61"/>
      <c r="H33" s="61"/>
      <c r="I33" s="61"/>
      <c r="J33" s="61"/>
      <c r="K33" s="61"/>
    </row>
    <row r="34" spans="1:11" x14ac:dyDescent="0.25">
      <c r="A34" s="5" t="s">
        <v>144</v>
      </c>
      <c r="B34" s="7" t="s">
        <v>109</v>
      </c>
      <c r="C34" s="64">
        <v>6.3236009315789472</v>
      </c>
      <c r="D34" s="64">
        <v>21.080185</v>
      </c>
      <c r="E34" s="64">
        <v>-0.52165199999999978</v>
      </c>
      <c r="F34" s="6" t="s">
        <v>14</v>
      </c>
      <c r="G34" s="61"/>
      <c r="H34" s="61"/>
      <c r="I34" s="61"/>
      <c r="J34" s="61"/>
      <c r="K34" s="61"/>
    </row>
    <row r="35" spans="1:11" x14ac:dyDescent="0.25">
      <c r="A35" s="23" t="s">
        <v>198</v>
      </c>
      <c r="B35" s="24" t="s">
        <v>92</v>
      </c>
      <c r="C35" s="63">
        <v>6.3122999473684205</v>
      </c>
      <c r="D35" s="63">
        <v>-6.8625550000000004</v>
      </c>
      <c r="E35" s="63">
        <v>-2.8723510000000001</v>
      </c>
      <c r="F35" s="8" t="s">
        <v>17</v>
      </c>
      <c r="G35" s="61"/>
      <c r="H35" s="61"/>
      <c r="I35" s="61"/>
      <c r="J35" s="61"/>
      <c r="K35" s="61"/>
    </row>
    <row r="36" spans="1:11" x14ac:dyDescent="0.25">
      <c r="A36" s="5" t="s">
        <v>199</v>
      </c>
      <c r="B36" s="7" t="s">
        <v>93</v>
      </c>
      <c r="C36" s="64">
        <v>6.1480472927368419</v>
      </c>
      <c r="D36" s="64">
        <v>-30.473142224</v>
      </c>
      <c r="E36" s="64">
        <v>8.3549999999999996E-3</v>
      </c>
      <c r="F36" s="6" t="s">
        <v>173</v>
      </c>
      <c r="G36" s="61"/>
      <c r="H36" s="61"/>
      <c r="I36" s="61"/>
      <c r="J36" s="61"/>
      <c r="K36" s="61"/>
    </row>
    <row r="37" spans="1:11" x14ac:dyDescent="0.25">
      <c r="A37" s="23" t="s">
        <v>201</v>
      </c>
      <c r="B37" s="24" t="s">
        <v>113</v>
      </c>
      <c r="C37" s="63">
        <v>5.9766045236842107</v>
      </c>
      <c r="D37" s="63">
        <v>11.080696</v>
      </c>
      <c r="E37" s="63">
        <v>10.2788</v>
      </c>
      <c r="F37" s="8" t="s">
        <v>173</v>
      </c>
      <c r="G37" s="61"/>
      <c r="H37" s="61"/>
      <c r="I37" s="61"/>
      <c r="J37" s="61"/>
      <c r="K37" s="61"/>
    </row>
    <row r="38" spans="1:11" x14ac:dyDescent="0.25">
      <c r="A38" s="5" t="s">
        <v>200</v>
      </c>
      <c r="B38" s="7" t="s">
        <v>95</v>
      </c>
      <c r="C38" s="64">
        <v>5.8590978947368422</v>
      </c>
      <c r="D38" s="64">
        <v>-21.471131</v>
      </c>
      <c r="E38" s="64">
        <v>-1.9652670000000001</v>
      </c>
      <c r="F38" s="6" t="s">
        <v>17</v>
      </c>
      <c r="G38" s="61"/>
      <c r="H38" s="61"/>
      <c r="I38" s="61"/>
      <c r="J38" s="61"/>
      <c r="K38" s="61"/>
    </row>
    <row r="39" spans="1:11" x14ac:dyDescent="0.25">
      <c r="A39" s="23" t="s">
        <v>203</v>
      </c>
      <c r="B39" s="24" t="s">
        <v>124</v>
      </c>
      <c r="C39" s="63">
        <v>5.4519948157894733</v>
      </c>
      <c r="D39" s="63">
        <v>12.927822000000001</v>
      </c>
      <c r="E39" s="63">
        <v>2.3856575000000002</v>
      </c>
      <c r="F39" s="8" t="s">
        <v>174</v>
      </c>
      <c r="G39" s="61"/>
      <c r="H39" s="61"/>
      <c r="I39" s="61"/>
      <c r="J39" s="61"/>
      <c r="K39" s="61"/>
    </row>
    <row r="40" spans="1:11" x14ac:dyDescent="0.25">
      <c r="A40" s="5" t="s">
        <v>205</v>
      </c>
      <c r="B40" s="7" t="s">
        <v>127</v>
      </c>
      <c r="C40" s="64">
        <v>4.6962887368421056</v>
      </c>
      <c r="D40" s="64">
        <v>-11.720801</v>
      </c>
      <c r="E40" s="64">
        <v>3.8420920000000001</v>
      </c>
      <c r="F40" s="6" t="s">
        <v>173</v>
      </c>
      <c r="G40" s="61"/>
      <c r="H40" s="61"/>
      <c r="I40" s="61"/>
      <c r="J40" s="61"/>
      <c r="K40" s="61"/>
    </row>
    <row r="41" spans="1:11" x14ac:dyDescent="0.25">
      <c r="A41" s="23" t="s">
        <v>207</v>
      </c>
      <c r="B41" s="24" t="s">
        <v>106</v>
      </c>
      <c r="C41" s="63">
        <v>3.6819773684210531</v>
      </c>
      <c r="D41" s="63">
        <v>8.6134319999999995</v>
      </c>
      <c r="E41" s="63">
        <v>1.9904305</v>
      </c>
      <c r="F41" s="8" t="s">
        <v>17</v>
      </c>
      <c r="G41" s="61"/>
      <c r="H41" s="61"/>
      <c r="I41" s="61"/>
      <c r="J41" s="61"/>
      <c r="K41" s="61"/>
    </row>
    <row r="42" spans="1:11" x14ac:dyDescent="0.25">
      <c r="A42" s="5" t="s">
        <v>206</v>
      </c>
      <c r="B42" s="7" t="s">
        <v>114</v>
      </c>
      <c r="C42" s="64">
        <v>3.3327912105263158</v>
      </c>
      <c r="D42" s="64">
        <v>-9.5850600000000004</v>
      </c>
      <c r="E42" s="64">
        <v>-0.16565849999999999</v>
      </c>
      <c r="F42" s="6" t="s">
        <v>173</v>
      </c>
      <c r="G42" s="61"/>
      <c r="H42" s="61"/>
      <c r="I42" s="61"/>
      <c r="J42" s="61"/>
      <c r="K42" s="61"/>
    </row>
    <row r="43" spans="1:11" x14ac:dyDescent="0.25">
      <c r="A43" s="23" t="s">
        <v>204</v>
      </c>
      <c r="B43" s="24" t="s">
        <v>98</v>
      </c>
      <c r="C43" s="63">
        <v>3.1610738157894742</v>
      </c>
      <c r="D43" s="63">
        <v>-1.373786</v>
      </c>
      <c r="E43" s="63">
        <v>-0.80622300000000002</v>
      </c>
      <c r="F43" s="8" t="s">
        <v>14</v>
      </c>
      <c r="G43" s="61"/>
      <c r="H43" s="61"/>
      <c r="I43" s="61"/>
      <c r="J43" s="61"/>
      <c r="K43" s="61"/>
    </row>
    <row r="44" spans="1:11" x14ac:dyDescent="0.25">
      <c r="A44" s="5" t="s">
        <v>209</v>
      </c>
      <c r="B44" s="7" t="s">
        <v>99</v>
      </c>
      <c r="C44" s="64">
        <v>2.9523576973684209</v>
      </c>
      <c r="D44" s="64">
        <v>-21.100905999999998</v>
      </c>
      <c r="E44" s="64">
        <v>-1.0527074999999999</v>
      </c>
      <c r="F44" s="6" t="s">
        <v>17</v>
      </c>
      <c r="G44" s="61"/>
      <c r="H44" s="61"/>
      <c r="I44" s="61"/>
      <c r="J44" s="61"/>
      <c r="K44" s="61"/>
    </row>
    <row r="45" spans="1:11" x14ac:dyDescent="0.25">
      <c r="A45" s="23" t="s">
        <v>210</v>
      </c>
      <c r="B45" s="24" t="s">
        <v>108</v>
      </c>
      <c r="C45" s="63">
        <v>2.8912500657894742</v>
      </c>
      <c r="D45" s="63">
        <v>-4.8205714999999998</v>
      </c>
      <c r="E45" s="63">
        <v>-0.24409420000000001</v>
      </c>
      <c r="F45" s="8" t="s">
        <v>174</v>
      </c>
      <c r="G45" s="61"/>
      <c r="H45" s="61"/>
      <c r="I45" s="61"/>
      <c r="J45" s="61"/>
      <c r="K45" s="61"/>
    </row>
    <row r="46" spans="1:11" x14ac:dyDescent="0.25">
      <c r="A46" s="5" t="s">
        <v>208</v>
      </c>
      <c r="B46" s="7" t="s">
        <v>119</v>
      </c>
      <c r="C46" s="64">
        <v>2.845294739736842</v>
      </c>
      <c r="D46" s="64">
        <v>-3.9881E-2</v>
      </c>
      <c r="E46" s="64">
        <v>6.9472999999999993E-2</v>
      </c>
      <c r="F46" s="6" t="s">
        <v>172</v>
      </c>
      <c r="G46" s="61"/>
      <c r="H46" s="61"/>
      <c r="I46" s="61"/>
      <c r="J46" s="61"/>
      <c r="K46" s="61"/>
    </row>
    <row r="47" spans="1:11" x14ac:dyDescent="0.25">
      <c r="A47" s="23" t="s">
        <v>220</v>
      </c>
      <c r="B47" s="24" t="s">
        <v>122</v>
      </c>
      <c r="C47" s="63">
        <v>2.7777986702218418</v>
      </c>
      <c r="D47" s="63">
        <v>4.6638849895499996</v>
      </c>
      <c r="E47" s="63">
        <v>0.44590468920000004</v>
      </c>
      <c r="F47" s="8" t="s">
        <v>17</v>
      </c>
      <c r="G47" s="61"/>
      <c r="H47" s="61"/>
      <c r="I47" s="61"/>
      <c r="J47" s="61"/>
      <c r="K47" s="61"/>
    </row>
    <row r="48" spans="1:11" x14ac:dyDescent="0.25">
      <c r="A48" s="5" t="s">
        <v>212</v>
      </c>
      <c r="B48" s="7" t="s">
        <v>110</v>
      </c>
      <c r="C48" s="64">
        <v>2.7755939578947371</v>
      </c>
      <c r="D48" s="64">
        <v>-7.3653845000000002</v>
      </c>
      <c r="E48" s="64">
        <v>-1.519898</v>
      </c>
      <c r="F48" s="6" t="s">
        <v>17</v>
      </c>
      <c r="G48" s="61"/>
      <c r="H48" s="61"/>
      <c r="I48" s="61"/>
      <c r="J48" s="61"/>
      <c r="K48" s="61"/>
    </row>
    <row r="49" spans="1:11" x14ac:dyDescent="0.25">
      <c r="A49" s="23" t="s">
        <v>211</v>
      </c>
      <c r="B49" s="24" t="s">
        <v>121</v>
      </c>
      <c r="C49" s="63">
        <v>2.6114156421052632</v>
      </c>
      <c r="D49" s="63">
        <v>0.43120299999999939</v>
      </c>
      <c r="E49" s="63">
        <v>-0.65887200000000001</v>
      </c>
      <c r="F49" s="8" t="s">
        <v>17</v>
      </c>
      <c r="G49" s="61"/>
      <c r="H49" s="61"/>
      <c r="I49" s="61"/>
      <c r="J49" s="61"/>
      <c r="K49" s="61"/>
    </row>
    <row r="50" spans="1:11" x14ac:dyDescent="0.25">
      <c r="A50" s="5" t="s">
        <v>219</v>
      </c>
      <c r="B50" s="7" t="s">
        <v>111</v>
      </c>
      <c r="C50" s="64">
        <v>2.4360296710526308</v>
      </c>
      <c r="D50" s="64">
        <v>6.0021319999999996</v>
      </c>
      <c r="E50" s="64">
        <v>2.3273440000000001</v>
      </c>
      <c r="F50" s="6" t="s">
        <v>11</v>
      </c>
      <c r="G50" s="61"/>
      <c r="H50" s="61"/>
      <c r="I50" s="61"/>
      <c r="J50" s="61"/>
      <c r="K50" s="61"/>
    </row>
    <row r="51" spans="1:11" x14ac:dyDescent="0.25">
      <c r="A51" s="23" t="s">
        <v>213</v>
      </c>
      <c r="B51" s="24" t="s">
        <v>155</v>
      </c>
      <c r="C51" s="63">
        <v>2.3507331552631578</v>
      </c>
      <c r="D51" s="63">
        <v>-1.3013858999999999</v>
      </c>
      <c r="E51" s="63">
        <v>-0.45293890000000003</v>
      </c>
      <c r="F51" s="8" t="s">
        <v>14</v>
      </c>
      <c r="G51" s="61"/>
      <c r="H51" s="61"/>
      <c r="I51" s="61"/>
      <c r="J51" s="61"/>
      <c r="K51" s="61"/>
    </row>
    <row r="52" spans="1:11" x14ac:dyDescent="0.25">
      <c r="A52" s="5" t="s">
        <v>224</v>
      </c>
      <c r="B52" s="7" t="s">
        <v>132</v>
      </c>
      <c r="C52" s="64">
        <v>2.2500456184210531</v>
      </c>
      <c r="D52" s="64">
        <v>-7.4273775000000004</v>
      </c>
      <c r="E52" s="64">
        <v>1.189689</v>
      </c>
      <c r="F52" s="6" t="s">
        <v>174</v>
      </c>
      <c r="G52" s="61"/>
      <c r="H52" s="61"/>
      <c r="I52" s="61"/>
      <c r="J52" s="61"/>
      <c r="K52" s="61"/>
    </row>
    <row r="53" spans="1:11" x14ac:dyDescent="0.25">
      <c r="A53" s="23" t="s">
        <v>215</v>
      </c>
      <c r="B53" s="24" t="s">
        <v>120</v>
      </c>
      <c r="C53" s="63">
        <v>2.2262486516128952</v>
      </c>
      <c r="D53" s="63">
        <v>-2.7773242439499999</v>
      </c>
      <c r="E53" s="63">
        <v>0.72595942352000009</v>
      </c>
      <c r="F53" s="8" t="s">
        <v>10</v>
      </c>
      <c r="G53" s="61"/>
      <c r="H53" s="61"/>
      <c r="I53" s="61"/>
      <c r="J53" s="61"/>
      <c r="K53" s="61"/>
    </row>
    <row r="54" spans="1:11" x14ac:dyDescent="0.25">
      <c r="A54" s="5" t="s">
        <v>216</v>
      </c>
      <c r="B54" s="7" t="s">
        <v>125</v>
      </c>
      <c r="C54" s="64">
        <v>2.2192183894736841</v>
      </c>
      <c r="D54" s="64">
        <v>-4.6395030000000004</v>
      </c>
      <c r="E54" s="64">
        <v>0.22984099999999999</v>
      </c>
      <c r="F54" s="6" t="s">
        <v>17</v>
      </c>
      <c r="G54" s="61"/>
      <c r="H54" s="61"/>
      <c r="I54" s="61"/>
      <c r="J54" s="61"/>
      <c r="K54" s="61"/>
    </row>
    <row r="55" spans="1:11" x14ac:dyDescent="0.25">
      <c r="A55" s="23" t="s">
        <v>218</v>
      </c>
      <c r="B55" s="24" t="s">
        <v>107</v>
      </c>
      <c r="C55" s="63">
        <v>2.1959911263157887</v>
      </c>
      <c r="D55" s="63">
        <v>-5.3446765000000003</v>
      </c>
      <c r="E55" s="63">
        <v>-0.464196</v>
      </c>
      <c r="F55" s="8" t="s">
        <v>15</v>
      </c>
      <c r="G55" s="61"/>
      <c r="H55" s="61"/>
      <c r="I55" s="61"/>
      <c r="J55" s="61"/>
      <c r="K55" s="61"/>
    </row>
    <row r="56" spans="1:11" x14ac:dyDescent="0.25">
      <c r="A56" s="5" t="s">
        <v>214</v>
      </c>
      <c r="B56" s="7" t="s">
        <v>123</v>
      </c>
      <c r="C56" s="64">
        <v>2.194124797368421</v>
      </c>
      <c r="D56" s="64">
        <v>-10.022694</v>
      </c>
      <c r="E56" s="64">
        <v>-0.59582999999999997</v>
      </c>
      <c r="F56" s="6" t="s">
        <v>17</v>
      </c>
      <c r="G56" s="61"/>
      <c r="H56" s="61"/>
      <c r="I56" s="61"/>
      <c r="J56" s="61"/>
      <c r="K56" s="61"/>
    </row>
    <row r="57" spans="1:11" x14ac:dyDescent="0.25">
      <c r="A57" s="23" t="s">
        <v>217</v>
      </c>
      <c r="B57" s="24" t="s">
        <v>57</v>
      </c>
      <c r="C57" s="63">
        <v>2.0553975305094738</v>
      </c>
      <c r="D57" s="63">
        <v>-5.7547191385000005</v>
      </c>
      <c r="E57" s="63">
        <v>0.6079187920000001</v>
      </c>
      <c r="F57" s="8" t="s">
        <v>11</v>
      </c>
      <c r="G57" s="61"/>
      <c r="H57" s="61"/>
      <c r="I57" s="61"/>
      <c r="J57" s="61"/>
      <c r="K57" s="61"/>
    </row>
    <row r="58" spans="1:11" x14ac:dyDescent="0.25">
      <c r="A58" s="5" t="s">
        <v>221</v>
      </c>
      <c r="B58" s="7" t="s">
        <v>94</v>
      </c>
      <c r="C58" s="64">
        <v>1.8063009447368421</v>
      </c>
      <c r="D58" s="64">
        <v>-6.5400229999999997</v>
      </c>
      <c r="E58" s="64">
        <v>-0.18595700000000001</v>
      </c>
      <c r="F58" s="6" t="s">
        <v>11</v>
      </c>
      <c r="G58" s="61"/>
      <c r="H58" s="61"/>
      <c r="I58" s="61"/>
      <c r="J58" s="61"/>
      <c r="K58" s="61"/>
    </row>
    <row r="59" spans="1:11" x14ac:dyDescent="0.25">
      <c r="A59" s="23" t="s">
        <v>223</v>
      </c>
      <c r="B59" s="24" t="s">
        <v>115</v>
      </c>
      <c r="C59" s="63">
        <v>1.7359100131578951</v>
      </c>
      <c r="D59" s="63">
        <v>2.361748</v>
      </c>
      <c r="E59" s="63">
        <v>0.68602350000000001</v>
      </c>
      <c r="F59" s="8" t="s">
        <v>13</v>
      </c>
      <c r="G59" s="61"/>
      <c r="H59" s="61"/>
      <c r="I59" s="61"/>
      <c r="J59" s="61"/>
      <c r="K59" s="61"/>
    </row>
    <row r="60" spans="1:11" x14ac:dyDescent="0.25">
      <c r="A60" s="5" t="s">
        <v>222</v>
      </c>
      <c r="B60" s="7" t="s">
        <v>149</v>
      </c>
      <c r="C60" s="64">
        <v>1.563187168421053</v>
      </c>
      <c r="D60" s="64">
        <v>0.39078840000000004</v>
      </c>
      <c r="E60" s="64">
        <v>0.1488005</v>
      </c>
      <c r="F60" s="6" t="s">
        <v>175</v>
      </c>
      <c r="G60" s="61"/>
      <c r="H60" s="61"/>
      <c r="I60" s="61"/>
      <c r="J60" s="61"/>
      <c r="K60" s="61"/>
    </row>
    <row r="61" spans="1:11" x14ac:dyDescent="0.25">
      <c r="A61" s="23" t="s">
        <v>234</v>
      </c>
      <c r="B61" s="24" t="s">
        <v>97</v>
      </c>
      <c r="C61" s="63">
        <v>1.4816576343942109</v>
      </c>
      <c r="D61" s="63">
        <v>-9.9181256492100012</v>
      </c>
      <c r="E61" s="63">
        <v>-4.4071370458299999</v>
      </c>
      <c r="F61" s="8" t="s">
        <v>17</v>
      </c>
      <c r="G61" s="61"/>
      <c r="H61" s="61"/>
      <c r="I61" s="61"/>
      <c r="J61" s="61"/>
      <c r="K61" s="61"/>
    </row>
    <row r="62" spans="1:11" x14ac:dyDescent="0.25">
      <c r="A62" s="5" t="s">
        <v>228</v>
      </c>
      <c r="B62" s="7" t="s">
        <v>134</v>
      </c>
      <c r="C62" s="64">
        <v>1.3946547210526319</v>
      </c>
      <c r="D62" s="64">
        <v>3.609661</v>
      </c>
      <c r="E62" s="64">
        <v>1.1339425000000001</v>
      </c>
      <c r="F62" s="6" t="s">
        <v>175</v>
      </c>
      <c r="G62" s="61"/>
      <c r="H62" s="61"/>
      <c r="I62" s="61"/>
      <c r="J62" s="61"/>
      <c r="K62" s="61"/>
    </row>
    <row r="63" spans="1:11" x14ac:dyDescent="0.25">
      <c r="A63" s="23" t="s">
        <v>227</v>
      </c>
      <c r="B63" s="24" t="s">
        <v>133</v>
      </c>
      <c r="C63" s="63">
        <v>1.350313526315789</v>
      </c>
      <c r="D63" s="63">
        <v>1.7265170000000001</v>
      </c>
      <c r="E63" s="63">
        <v>1.0038739999999999</v>
      </c>
      <c r="F63" s="8" t="s">
        <v>172</v>
      </c>
      <c r="G63" s="61"/>
      <c r="H63" s="61"/>
      <c r="I63" s="61"/>
      <c r="J63" s="61"/>
      <c r="K63" s="61"/>
    </row>
    <row r="64" spans="1:11" x14ac:dyDescent="0.25">
      <c r="A64" s="5" t="s">
        <v>225</v>
      </c>
      <c r="B64" s="7" t="s">
        <v>141</v>
      </c>
      <c r="C64" s="64">
        <v>1.3235680000000001</v>
      </c>
      <c r="D64" s="64">
        <v>-1.1769430000000001</v>
      </c>
      <c r="E64" s="64">
        <v>0.32413700000000001</v>
      </c>
      <c r="F64" s="6" t="s">
        <v>11</v>
      </c>
      <c r="G64" s="61"/>
      <c r="H64" s="61"/>
      <c r="I64" s="61"/>
      <c r="J64" s="61"/>
      <c r="K64" s="61"/>
    </row>
    <row r="65" spans="1:11" x14ac:dyDescent="0.25">
      <c r="A65" s="23" t="s">
        <v>226</v>
      </c>
      <c r="B65" s="24" t="s">
        <v>116</v>
      </c>
      <c r="C65" s="63">
        <v>1.319002194736842</v>
      </c>
      <c r="D65" s="63">
        <v>2.616517</v>
      </c>
      <c r="E65" s="63">
        <v>-0.90800899999999996</v>
      </c>
      <c r="F65" s="8" t="s">
        <v>11</v>
      </c>
      <c r="G65" s="61"/>
      <c r="H65" s="61"/>
      <c r="I65" s="61"/>
      <c r="J65" s="61"/>
      <c r="K65" s="61"/>
    </row>
    <row r="66" spans="1:11" x14ac:dyDescent="0.25">
      <c r="A66" s="5" t="s">
        <v>232</v>
      </c>
      <c r="B66" s="7" t="s">
        <v>131</v>
      </c>
      <c r="C66" s="64">
        <v>1.3155612263157901</v>
      </c>
      <c r="D66" s="64">
        <v>0.10716000000000001</v>
      </c>
      <c r="E66" s="64">
        <v>0.665358</v>
      </c>
      <c r="F66" s="6" t="s">
        <v>17</v>
      </c>
      <c r="G66" s="61"/>
      <c r="H66" s="61"/>
      <c r="I66" s="61"/>
      <c r="J66" s="61"/>
      <c r="K66" s="61"/>
    </row>
    <row r="67" spans="1:11" x14ac:dyDescent="0.25">
      <c r="A67" s="23" t="s">
        <v>237</v>
      </c>
      <c r="B67" s="24" t="s">
        <v>100</v>
      </c>
      <c r="C67" s="63">
        <v>1.2125892684210529</v>
      </c>
      <c r="D67" s="63">
        <v>-6.3860460000000003</v>
      </c>
      <c r="E67" s="63">
        <v>-1.1420619999999999</v>
      </c>
      <c r="F67" s="8" t="s">
        <v>11</v>
      </c>
      <c r="G67" s="61"/>
      <c r="H67" s="61"/>
      <c r="I67" s="61"/>
      <c r="J67" s="61"/>
      <c r="K67" s="61"/>
    </row>
    <row r="68" spans="1:11" x14ac:dyDescent="0.25">
      <c r="A68" s="5" t="s">
        <v>231</v>
      </c>
      <c r="B68" s="7" t="s">
        <v>96</v>
      </c>
      <c r="C68" s="64">
        <v>1.1470533157157901</v>
      </c>
      <c r="D68" s="64">
        <v>-3.0882568080000001</v>
      </c>
      <c r="E68" s="64">
        <v>-1.11531444664</v>
      </c>
      <c r="F68" s="6" t="s">
        <v>14</v>
      </c>
      <c r="G68" s="61"/>
      <c r="H68" s="61"/>
      <c r="I68" s="61"/>
      <c r="J68" s="61"/>
      <c r="K68" s="61"/>
    </row>
    <row r="69" spans="1:11" x14ac:dyDescent="0.25">
      <c r="A69" s="23" t="s">
        <v>242</v>
      </c>
      <c r="B69" s="24" t="s">
        <v>135</v>
      </c>
      <c r="C69" s="63">
        <v>1.1171478580305261</v>
      </c>
      <c r="D69" s="63">
        <v>-1.4740846886700001</v>
      </c>
      <c r="E69" s="63">
        <v>-0.76053845660000008</v>
      </c>
      <c r="F69" s="8" t="s">
        <v>17</v>
      </c>
      <c r="G69" s="61"/>
      <c r="H69" s="61"/>
      <c r="I69" s="61"/>
      <c r="J69" s="61"/>
      <c r="K69" s="61"/>
    </row>
    <row r="70" spans="1:11" x14ac:dyDescent="0.25">
      <c r="A70" s="5" t="s">
        <v>229</v>
      </c>
      <c r="B70" s="7" t="s">
        <v>137</v>
      </c>
      <c r="C70" s="64">
        <v>1.077527942105263</v>
      </c>
      <c r="D70" s="64">
        <v>-0.12508449999999999</v>
      </c>
      <c r="E70" s="64">
        <v>1.4005E-2</v>
      </c>
      <c r="F70" s="6" t="s">
        <v>16</v>
      </c>
      <c r="G70" s="61"/>
      <c r="H70" s="61"/>
      <c r="I70" s="61"/>
      <c r="J70" s="61"/>
      <c r="K70" s="61"/>
    </row>
    <row r="71" spans="1:11" x14ac:dyDescent="0.25">
      <c r="A71" s="23" t="s">
        <v>233</v>
      </c>
      <c r="B71" s="24" t="s">
        <v>139</v>
      </c>
      <c r="C71" s="63">
        <v>1.026296394736842</v>
      </c>
      <c r="D71" s="63">
        <v>-3.2080375000000001</v>
      </c>
      <c r="E71" s="63">
        <v>0.30134949999999999</v>
      </c>
      <c r="F71" s="8" t="s">
        <v>17</v>
      </c>
      <c r="G71" s="61"/>
      <c r="H71" s="61"/>
      <c r="I71" s="61"/>
      <c r="J71" s="61"/>
      <c r="K71" s="61"/>
    </row>
    <row r="72" spans="1:11" x14ac:dyDescent="0.25">
      <c r="A72" s="5" t="s">
        <v>230</v>
      </c>
      <c r="B72" s="7" t="s">
        <v>156</v>
      </c>
      <c r="C72" s="64">
        <v>0.95878893421052624</v>
      </c>
      <c r="D72" s="64">
        <v>4.6376800000000044E-2</v>
      </c>
      <c r="E72" s="64">
        <v>-6.4756800000000003E-2</v>
      </c>
      <c r="F72" s="6" t="s">
        <v>14</v>
      </c>
      <c r="G72" s="61"/>
      <c r="H72" s="61"/>
      <c r="I72" s="61"/>
      <c r="J72" s="61"/>
      <c r="K72" s="61"/>
    </row>
    <row r="73" spans="1:11" x14ac:dyDescent="0.25">
      <c r="A73" s="23" t="s">
        <v>235</v>
      </c>
      <c r="B73" s="24" t="s">
        <v>143</v>
      </c>
      <c r="C73" s="63">
        <v>0.87732590517384224</v>
      </c>
      <c r="D73" s="63">
        <v>-6.0198303755999998</v>
      </c>
      <c r="E73" s="63">
        <v>-1.0001014926</v>
      </c>
      <c r="F73" s="8" t="s">
        <v>17</v>
      </c>
      <c r="G73" s="61"/>
      <c r="H73" s="61"/>
      <c r="I73" s="61"/>
      <c r="J73" s="61"/>
      <c r="K73" s="61"/>
    </row>
    <row r="74" spans="1:11" x14ac:dyDescent="0.25">
      <c r="A74" s="5" t="s">
        <v>236</v>
      </c>
      <c r="B74" s="7" t="s">
        <v>117</v>
      </c>
      <c r="C74" s="64">
        <v>0.84545722631578946</v>
      </c>
      <c r="D74" s="64">
        <v>-4.1938329999999997</v>
      </c>
      <c r="E74" s="64">
        <v>0.31873400000000002</v>
      </c>
      <c r="F74" s="6" t="s">
        <v>175</v>
      </c>
      <c r="G74" s="61"/>
      <c r="H74" s="61"/>
      <c r="I74" s="61"/>
      <c r="J74" s="61"/>
      <c r="K74" s="61"/>
    </row>
    <row r="75" spans="1:11" x14ac:dyDescent="0.25">
      <c r="A75" s="23" t="s">
        <v>239</v>
      </c>
      <c r="B75" s="24" t="s">
        <v>138</v>
      </c>
      <c r="C75" s="63">
        <v>0.77458065789473685</v>
      </c>
      <c r="D75" s="63">
        <v>-4.4423130000000004</v>
      </c>
      <c r="E75" s="63">
        <v>-0.25546550000000001</v>
      </c>
      <c r="F75" s="8" t="s">
        <v>14</v>
      </c>
      <c r="G75" s="61"/>
      <c r="H75" s="61"/>
      <c r="I75" s="61"/>
      <c r="J75" s="61"/>
      <c r="K75" s="61"/>
    </row>
    <row r="76" spans="1:11" x14ac:dyDescent="0.25">
      <c r="A76" s="5" t="s">
        <v>243</v>
      </c>
      <c r="B76" s="7" t="s">
        <v>140</v>
      </c>
      <c r="C76" s="64">
        <v>0.77433218684210536</v>
      </c>
      <c r="D76" s="64">
        <v>-3.6371435000000001</v>
      </c>
      <c r="E76" s="64">
        <v>-1.0172805</v>
      </c>
      <c r="F76" s="6" t="s">
        <v>17</v>
      </c>
      <c r="G76" s="61"/>
      <c r="H76" s="61"/>
      <c r="I76" s="61"/>
      <c r="J76" s="61"/>
      <c r="K76" s="61"/>
    </row>
    <row r="77" spans="1:11" x14ac:dyDescent="0.25">
      <c r="A77" s="23" t="s">
        <v>246</v>
      </c>
      <c r="B77" s="24" t="s">
        <v>151</v>
      </c>
      <c r="C77" s="63">
        <v>0.76615802631578944</v>
      </c>
      <c r="D77" s="63">
        <v>-3.202496</v>
      </c>
      <c r="E77" s="63">
        <v>-1.788575</v>
      </c>
      <c r="F77" s="8" t="s">
        <v>173</v>
      </c>
      <c r="G77" s="61"/>
      <c r="H77" s="61"/>
      <c r="I77" s="61"/>
      <c r="J77" s="61"/>
      <c r="K77" s="61"/>
    </row>
    <row r="78" spans="1:11" x14ac:dyDescent="0.25">
      <c r="A78" s="5" t="s">
        <v>238</v>
      </c>
      <c r="B78" s="7" t="s">
        <v>129</v>
      </c>
      <c r="C78" s="64">
        <v>0.73287434210526314</v>
      </c>
      <c r="D78" s="64">
        <v>0.52921249999999997</v>
      </c>
      <c r="E78" s="64">
        <v>-0.67595649999999996</v>
      </c>
      <c r="F78" s="6" t="s">
        <v>175</v>
      </c>
      <c r="G78" s="61"/>
      <c r="H78" s="61"/>
      <c r="I78" s="61"/>
      <c r="J78" s="61"/>
      <c r="K78" s="61"/>
    </row>
    <row r="79" spans="1:11" x14ac:dyDescent="0.25">
      <c r="A79" s="23" t="s">
        <v>240</v>
      </c>
      <c r="B79" s="24" t="s">
        <v>128</v>
      </c>
      <c r="C79" s="63">
        <v>0.72590281116447375</v>
      </c>
      <c r="D79" s="63">
        <v>-0.54953175914999997</v>
      </c>
      <c r="E79" s="63">
        <v>-0.17382627495</v>
      </c>
      <c r="F79" s="8" t="s">
        <v>17</v>
      </c>
      <c r="G79" s="61"/>
      <c r="H79" s="61"/>
      <c r="I79" s="61"/>
      <c r="J79" s="61"/>
      <c r="K79" s="61"/>
    </row>
    <row r="80" spans="1:11" x14ac:dyDescent="0.25">
      <c r="A80" s="5" t="s">
        <v>241</v>
      </c>
      <c r="B80" s="7" t="s">
        <v>150</v>
      </c>
      <c r="C80" s="64">
        <v>0.71072102368421053</v>
      </c>
      <c r="D80" s="64">
        <v>-1.0116225000000001</v>
      </c>
      <c r="E80" s="64">
        <v>9.9293000000000006E-2</v>
      </c>
      <c r="F80" s="6" t="s">
        <v>17</v>
      </c>
      <c r="G80" s="61"/>
      <c r="H80" s="61"/>
      <c r="I80" s="61"/>
      <c r="J80" s="61"/>
      <c r="K80" s="61"/>
    </row>
    <row r="81" spans="1:11" x14ac:dyDescent="0.25">
      <c r="A81" s="23" t="s">
        <v>244</v>
      </c>
      <c r="B81" s="24" t="s">
        <v>130</v>
      </c>
      <c r="C81" s="63">
        <v>0.70795916842105266</v>
      </c>
      <c r="D81" s="63">
        <v>-0.11167050000000001</v>
      </c>
      <c r="E81" s="63">
        <v>0.35421249999999999</v>
      </c>
      <c r="F81" s="8" t="s">
        <v>17</v>
      </c>
      <c r="G81" s="61"/>
      <c r="H81" s="61"/>
      <c r="I81" s="61"/>
      <c r="J81" s="61"/>
      <c r="K81" s="61"/>
    </row>
    <row r="82" spans="1:11" x14ac:dyDescent="0.25">
      <c r="A82" s="5" t="s">
        <v>249</v>
      </c>
      <c r="B82" s="7" t="s">
        <v>162</v>
      </c>
      <c r="C82" s="64">
        <v>0.61865665263157898</v>
      </c>
      <c r="D82" s="64">
        <v>-1.8521369999999999</v>
      </c>
      <c r="E82" s="64">
        <v>-0.16602500000000001</v>
      </c>
      <c r="F82" s="6" t="s">
        <v>14</v>
      </c>
      <c r="G82" s="61"/>
      <c r="H82" s="61"/>
      <c r="I82" s="61"/>
      <c r="J82" s="61"/>
      <c r="K82" s="61"/>
    </row>
    <row r="83" spans="1:11" x14ac:dyDescent="0.25">
      <c r="A83" s="23" t="s">
        <v>256</v>
      </c>
      <c r="B83" s="24" t="s">
        <v>165</v>
      </c>
      <c r="C83" s="63">
        <v>0.61006914473684215</v>
      </c>
      <c r="D83" s="63">
        <v>-4.8273060000000001</v>
      </c>
      <c r="E83" s="63">
        <v>-0.84868100000000002</v>
      </c>
      <c r="F83" s="8" t="s">
        <v>175</v>
      </c>
      <c r="G83" s="61"/>
      <c r="H83" s="61"/>
      <c r="I83" s="61"/>
      <c r="J83" s="61"/>
      <c r="K83" s="61"/>
    </row>
    <row r="84" spans="1:11" x14ac:dyDescent="0.25">
      <c r="A84" s="5" t="s">
        <v>245</v>
      </c>
      <c r="B84" s="7" t="s">
        <v>89</v>
      </c>
      <c r="C84" s="64">
        <v>0.54859910526315792</v>
      </c>
      <c r="D84" s="64">
        <v>-2.6242809999999999</v>
      </c>
      <c r="E84" s="64">
        <v>0.57778200000000002</v>
      </c>
      <c r="F84" s="6" t="s">
        <v>11</v>
      </c>
      <c r="G84" s="61"/>
      <c r="H84" s="61"/>
      <c r="I84" s="61"/>
      <c r="J84" s="61"/>
      <c r="K84" s="61"/>
    </row>
    <row r="85" spans="1:11" x14ac:dyDescent="0.25">
      <c r="A85" s="23" t="s">
        <v>250</v>
      </c>
      <c r="B85" s="24" t="s">
        <v>167</v>
      </c>
      <c r="C85" s="63">
        <v>0.53133928421052634</v>
      </c>
      <c r="D85" s="63">
        <v>3.2468163999999997</v>
      </c>
      <c r="E85" s="63">
        <v>1.0068353999999999</v>
      </c>
      <c r="F85" s="8" t="s">
        <v>14</v>
      </c>
      <c r="G85" s="61"/>
      <c r="H85" s="61"/>
      <c r="I85" s="61"/>
      <c r="J85" s="61"/>
      <c r="K85" s="61"/>
    </row>
    <row r="86" spans="1:11" x14ac:dyDescent="0.25">
      <c r="A86" s="5" t="s">
        <v>257</v>
      </c>
      <c r="B86" s="7" t="s">
        <v>168</v>
      </c>
      <c r="C86" s="64">
        <v>0.47501650000000001</v>
      </c>
      <c r="D86" s="64">
        <v>-2.2633529999999999</v>
      </c>
      <c r="E86" s="64">
        <v>-0.199687</v>
      </c>
      <c r="F86" s="6" t="s">
        <v>10</v>
      </c>
      <c r="G86" s="61"/>
      <c r="H86" s="61"/>
      <c r="I86" s="61"/>
      <c r="J86" s="61"/>
      <c r="K86" s="61"/>
    </row>
    <row r="87" spans="1:11" x14ac:dyDescent="0.25">
      <c r="A87" s="23" t="s">
        <v>248</v>
      </c>
      <c r="B87" s="24" t="s">
        <v>126</v>
      </c>
      <c r="C87" s="63">
        <v>0.45708129736842101</v>
      </c>
      <c r="D87" s="63">
        <v>-0.76603430000000006</v>
      </c>
      <c r="E87" s="63">
        <v>-0.17430610000000002</v>
      </c>
      <c r="F87" s="8" t="s">
        <v>174</v>
      </c>
      <c r="G87" s="61"/>
      <c r="H87" s="61"/>
      <c r="I87" s="61"/>
      <c r="J87" s="61"/>
      <c r="K87" s="61"/>
    </row>
    <row r="88" spans="1:11" x14ac:dyDescent="0.25">
      <c r="A88" s="5" t="s">
        <v>255</v>
      </c>
      <c r="B88" s="7" t="s">
        <v>160</v>
      </c>
      <c r="C88" s="64">
        <v>0.44629724999999998</v>
      </c>
      <c r="D88" s="64">
        <v>0.82301849999999999</v>
      </c>
      <c r="E88" s="64">
        <v>0.1137155</v>
      </c>
      <c r="F88" s="6" t="s">
        <v>173</v>
      </c>
      <c r="G88" s="61"/>
      <c r="H88" s="61"/>
      <c r="I88" s="61"/>
      <c r="J88" s="61"/>
      <c r="K88" s="61"/>
    </row>
    <row r="89" spans="1:11" x14ac:dyDescent="0.25">
      <c r="A89" s="23" t="s">
        <v>247</v>
      </c>
      <c r="B89" s="24" t="s">
        <v>163</v>
      </c>
      <c r="C89" s="63">
        <v>0.43936186233684221</v>
      </c>
      <c r="D89" s="63">
        <v>1.9330532641</v>
      </c>
      <c r="E89" s="63">
        <v>6.7258761300000011E-2</v>
      </c>
      <c r="F89" s="8" t="s">
        <v>175</v>
      </c>
      <c r="G89" s="61"/>
      <c r="H89" s="61"/>
      <c r="I89" s="61"/>
      <c r="J89" s="61"/>
      <c r="K89" s="61"/>
    </row>
    <row r="90" spans="1:11" x14ac:dyDescent="0.25">
      <c r="A90" s="5" t="s">
        <v>251</v>
      </c>
      <c r="B90" s="7" t="s">
        <v>153</v>
      </c>
      <c r="C90" s="64">
        <v>0.4378001157894737</v>
      </c>
      <c r="D90" s="64">
        <v>-3.8914675000000001</v>
      </c>
      <c r="E90" s="64">
        <v>-8.9522500000000005E-2</v>
      </c>
      <c r="F90" s="6" t="s">
        <v>173</v>
      </c>
      <c r="G90" s="61"/>
      <c r="H90" s="61"/>
      <c r="I90" s="61"/>
      <c r="J90" s="61"/>
      <c r="K90" s="61"/>
    </row>
    <row r="91" spans="1:11" x14ac:dyDescent="0.25">
      <c r="A91" s="23" t="s">
        <v>259</v>
      </c>
      <c r="B91" s="24" t="s">
        <v>142</v>
      </c>
      <c r="C91" s="63">
        <v>0.42900565789473694</v>
      </c>
      <c r="D91" s="63">
        <v>-0.44651700000000011</v>
      </c>
      <c r="E91" s="63">
        <v>-0.32591399999999998</v>
      </c>
      <c r="F91" s="8" t="s">
        <v>11</v>
      </c>
      <c r="G91" s="61"/>
      <c r="H91" s="61"/>
      <c r="I91" s="61"/>
      <c r="J91" s="61"/>
      <c r="K91" s="61"/>
    </row>
    <row r="92" spans="1:11" x14ac:dyDescent="0.25">
      <c r="A92" s="5" t="s">
        <v>254</v>
      </c>
      <c r="B92" s="7" t="s">
        <v>118</v>
      </c>
      <c r="C92" s="64">
        <v>0.40611563157894742</v>
      </c>
      <c r="D92" s="64">
        <v>-0.40139799999999998</v>
      </c>
      <c r="E92" s="64">
        <v>-0.51851899999999995</v>
      </c>
      <c r="F92" s="6" t="s">
        <v>10</v>
      </c>
      <c r="G92" s="61"/>
      <c r="H92" s="61"/>
      <c r="I92" s="61"/>
      <c r="J92" s="61"/>
      <c r="K92" s="61"/>
    </row>
    <row r="93" spans="1:11" x14ac:dyDescent="0.25">
      <c r="A93" s="23" t="s">
        <v>262</v>
      </c>
      <c r="B93" s="24" t="s">
        <v>166</v>
      </c>
      <c r="C93" s="63">
        <v>0.3824468157894737</v>
      </c>
      <c r="D93" s="63">
        <v>-0.47768500000000003</v>
      </c>
      <c r="E93" s="63">
        <v>-0.38875999999999999</v>
      </c>
      <c r="F93" s="8" t="s">
        <v>14</v>
      </c>
      <c r="G93" s="61"/>
      <c r="H93" s="61"/>
      <c r="I93" s="61"/>
      <c r="J93" s="61"/>
      <c r="K93" s="61"/>
    </row>
    <row r="94" spans="1:11" x14ac:dyDescent="0.25">
      <c r="A94" s="5" t="s">
        <v>261</v>
      </c>
      <c r="B94" s="7" t="s">
        <v>158</v>
      </c>
      <c r="C94" s="64">
        <v>0.38165700721052631</v>
      </c>
      <c r="D94" s="64">
        <v>-3.8341187000000003</v>
      </c>
      <c r="E94" s="64">
        <v>-0.55616840000000001</v>
      </c>
      <c r="F94" s="6" t="s">
        <v>16</v>
      </c>
      <c r="G94" s="61"/>
      <c r="H94" s="61"/>
      <c r="I94" s="61"/>
      <c r="J94" s="61"/>
      <c r="K94" s="61"/>
    </row>
    <row r="95" spans="1:11" x14ac:dyDescent="0.25">
      <c r="A95" s="23" t="s">
        <v>252</v>
      </c>
      <c r="B95" s="24" t="s">
        <v>161</v>
      </c>
      <c r="C95" s="63">
        <v>0.37802220000000003</v>
      </c>
      <c r="D95" s="63">
        <v>8.6423200000000006E-2</v>
      </c>
      <c r="E95" s="63">
        <v>3.7704000000000001E-3</v>
      </c>
      <c r="F95" s="8" t="s">
        <v>14</v>
      </c>
      <c r="G95" s="61"/>
      <c r="H95" s="61"/>
      <c r="I95" s="61"/>
      <c r="J95" s="61"/>
      <c r="K95" s="61"/>
    </row>
    <row r="96" spans="1:11" x14ac:dyDescent="0.25">
      <c r="A96" s="5" t="s">
        <v>258</v>
      </c>
      <c r="B96" s="7" t="s">
        <v>136</v>
      </c>
      <c r="C96" s="64">
        <v>0.36216072368421048</v>
      </c>
      <c r="D96" s="64">
        <v>-1.1776025000000001</v>
      </c>
      <c r="E96" s="64">
        <v>-0.56328750000000005</v>
      </c>
      <c r="F96" s="6" t="s">
        <v>17</v>
      </c>
      <c r="G96" s="61"/>
      <c r="H96" s="61"/>
      <c r="I96" s="61"/>
      <c r="J96" s="61"/>
      <c r="K96" s="61"/>
    </row>
    <row r="97" spans="1:11" x14ac:dyDescent="0.25">
      <c r="A97" s="23" t="s">
        <v>253</v>
      </c>
      <c r="B97" s="24" t="s">
        <v>157</v>
      </c>
      <c r="C97" s="63">
        <v>0.35863097631578938</v>
      </c>
      <c r="D97" s="63">
        <v>-0.2438564</v>
      </c>
      <c r="E97" s="63">
        <v>-1.8671400000000001E-2</v>
      </c>
      <c r="F97" s="8" t="s">
        <v>175</v>
      </c>
      <c r="G97" s="61"/>
      <c r="H97" s="61"/>
      <c r="I97" s="61"/>
      <c r="J97" s="61"/>
      <c r="K97" s="61"/>
    </row>
    <row r="98" spans="1:11" x14ac:dyDescent="0.25">
      <c r="A98" s="5" t="s">
        <v>260</v>
      </c>
      <c r="B98" s="7" t="s">
        <v>159</v>
      </c>
      <c r="C98" s="64">
        <v>0.34301884473684208</v>
      </c>
      <c r="D98" s="64">
        <v>-6.098700000000009E-3</v>
      </c>
      <c r="E98" s="64">
        <v>2.1787600000000001E-2</v>
      </c>
      <c r="F98" s="6" t="s">
        <v>13</v>
      </c>
      <c r="G98" s="61"/>
      <c r="H98" s="61"/>
      <c r="I98" s="61"/>
      <c r="J98" s="61"/>
      <c r="K98" s="61"/>
    </row>
    <row r="99" spans="1:11" x14ac:dyDescent="0.25">
      <c r="A99" s="23" t="s">
        <v>169</v>
      </c>
      <c r="B99" s="24" t="s">
        <v>170</v>
      </c>
      <c r="C99" s="63">
        <v>0.32303401052631575</v>
      </c>
      <c r="D99" s="63">
        <v>0.1765806</v>
      </c>
      <c r="E99" s="63">
        <v>9.8797599999999999E-2</v>
      </c>
      <c r="F99" s="8" t="s">
        <v>173</v>
      </c>
      <c r="G99" s="61"/>
      <c r="H99" s="61"/>
      <c r="I99" s="61"/>
      <c r="J99" s="61"/>
      <c r="K99" s="61"/>
    </row>
    <row r="100" spans="1:11" x14ac:dyDescent="0.25">
      <c r="A100" s="5" t="s">
        <v>270</v>
      </c>
      <c r="B100" s="7" t="s">
        <v>271</v>
      </c>
      <c r="C100" s="64">
        <v>0.30813542105263159</v>
      </c>
      <c r="D100" s="64">
        <v>-0.27263700000000002</v>
      </c>
      <c r="E100" s="64">
        <v>1.3335E-3</v>
      </c>
      <c r="F100" s="6" t="s">
        <v>173</v>
      </c>
      <c r="G100" s="61"/>
      <c r="H100" s="61"/>
      <c r="I100" s="61"/>
      <c r="J100" s="61"/>
      <c r="K100" s="61"/>
    </row>
    <row r="101" spans="1:11" x14ac:dyDescent="0.25">
      <c r="A101" s="54" t="s">
        <v>274</v>
      </c>
      <c r="B101" s="55" t="s">
        <v>164</v>
      </c>
      <c r="C101" s="65">
        <v>0.29148510810810813</v>
      </c>
      <c r="D101" s="65">
        <v>0.88034699999999988</v>
      </c>
      <c r="E101" s="65">
        <v>0</v>
      </c>
      <c r="F101" s="9" t="s">
        <v>13</v>
      </c>
      <c r="G101" s="61"/>
      <c r="H101" s="61"/>
      <c r="I101" s="61"/>
      <c r="J101" s="61"/>
      <c r="K101" s="61"/>
    </row>
    <row r="102" spans="1:11" x14ac:dyDescent="0.25">
      <c r="A102" s="51"/>
      <c r="B102" s="10"/>
      <c r="C102" s="10"/>
      <c r="D102" s="10"/>
      <c r="E102" s="10"/>
      <c r="F102" s="52"/>
      <c r="H102" s="44"/>
      <c r="J102" s="45"/>
    </row>
    <row r="104" spans="1:11" x14ac:dyDescent="0.25">
      <c r="A104" s="11" t="s">
        <v>67</v>
      </c>
    </row>
    <row r="105" spans="1:11" x14ac:dyDescent="0.25">
      <c r="A105" s="11" t="s">
        <v>82</v>
      </c>
    </row>
    <row r="106" spans="1:11" x14ac:dyDescent="0.25">
      <c r="A106" s="11" t="s">
        <v>146</v>
      </c>
    </row>
    <row r="107" spans="1:11" x14ac:dyDescent="0.25">
      <c r="A107" s="11" t="s">
        <v>145</v>
      </c>
    </row>
    <row r="108" spans="1:11" x14ac:dyDescent="0.25">
      <c r="A108" s="11" t="s">
        <v>152</v>
      </c>
    </row>
    <row r="109" spans="1:11" x14ac:dyDescent="0.25">
      <c r="A109" s="11" t="s">
        <v>75</v>
      </c>
    </row>
    <row r="110" spans="1:11" x14ac:dyDescent="0.25">
      <c r="A110" s="11" t="s">
        <v>275</v>
      </c>
    </row>
    <row r="111" spans="1:11" x14ac:dyDescent="0.25">
      <c r="A111" s="11" t="s">
        <v>272</v>
      </c>
    </row>
  </sheetData>
  <conditionalFormatting sqref="D2:E101">
    <cfRule type="cellIs" dxfId="0" priority="1" operator="lessThan">
      <formula>0</formula>
    </cfRule>
  </conditionalFormatting>
  <hyperlinks>
    <hyperlink ref="A111" r:id="rId1" xr:uid="{4430E336-5BDB-4653-BA78-DFFF490F8AF4}"/>
  </hyperlinks>
  <pageMargins left="0.7" right="0.7" top="0.75" bottom="0.75" header="0.3" footer="0.3"/>
  <pageSetup scale="65" orientation="portrait" r:id="rId2"/>
  <ignoredErrors>
    <ignoredError sqref="B33 B60 B9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2024-02-26T04:43:12Z</dcterms:modified>
</cp:coreProperties>
</file>