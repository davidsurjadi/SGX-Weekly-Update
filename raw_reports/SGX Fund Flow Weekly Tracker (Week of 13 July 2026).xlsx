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mc:AlternateContent xmlns:mc="http://schemas.openxmlformats.org/markup-compatibility/2006">
    <mc:Choice Requires="x15">
      <x15ac:absPath xmlns:x15ac="http://schemas.microsoft.com/office/spreadsheetml/2010/11/ac" url="Y:\Production\Insti fund flow tracker files\Draft reports\Final reports\Weekly excel files\"/>
    </mc:Choice>
  </mc:AlternateContent>
  <xr:revisionPtr revIDLastSave="0" documentId="13_ncr:1_{E1073BCE-D2E7-40D4-B82F-E7FC3C5F6C90}" xr6:coauthVersionLast="47" xr6:coauthVersionMax="47" xr10:uidLastSave="{00000000-0000-0000-0000-000000000000}"/>
  <bookViews>
    <workbookView xWindow="25080" yWindow="-720" windowWidth="29040" windowHeight="15720"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<sst xmlns="http://schemas.openxmlformats.org/spreadsheetml/2006/main" count="139" uniqueCount="85">
  <si>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</si>
  <si>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</si>
  <si>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</si>
  <si>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</si>
  <si>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</si>
  <si>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</si>
  <si>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</si>
  <si>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</si>
  <si>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</si>
  <si>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</si>
  <si>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</si>
  <si>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</si>
  <si>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</si>
  <si>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</si>
  <si>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</si>
  <si>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</si>
  <si>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</si>
  <si>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</si>
  <si>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</si>
  <si>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</si>
  <si>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</si>
  <si>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</si>
  <si>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DBS</t>
  </si>
  <si>
    <t>Contact Us</t>
  </si>
  <si>
    <t>Health
care</t>
  </si>
  <si>
    <t>Telcos</t>
  </si>
  <si>
    <t>https://www2.sgx.com/research-education/data-reports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</si>
  <si>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</si>
  <si>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</si>
  <si>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</si>
  <si>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</si>
  <si>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</si>
  <si>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</si>
  <si>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</si>
  <si>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OCBC</t>
  </si>
  <si>
    <t>O39</t>
  </si>
  <si>
    <t>Singtel</t>
  </si>
  <si>
    <t>Z74</t>
  </si>
  <si>
    <t>UOB</t>
  </si>
  <si>
    <t>U11</t>
  </si>
  <si>
    <t>SATS</t>
  </si>
  <si>
    <t>S58</t>
  </si>
  <si>
    <t xml:space="preserve">AEM </t>
  </si>
  <si>
    <t>AWX</t>
  </si>
  <si>
    <t>ST Engineering</t>
  </si>
  <si>
    <t>S63</t>
  </si>
  <si>
    <t>SIA</t>
  </si>
  <si>
    <t>C6L</t>
  </si>
  <si>
    <t>Sembcorp Industries</t>
  </si>
  <si>
    <t>U96</t>
  </si>
  <si>
    <t>Wilmar International</t>
  </si>
  <si>
    <t>F34</t>
  </si>
  <si>
    <t>CapitaLand Integrated Commercial Trust</t>
  </si>
  <si>
    <t>C38U</t>
  </si>
  <si>
    <t>Keppel</t>
  </si>
  <si>
    <t>BN4</t>
  </si>
  <si>
    <t>SGX</t>
  </si>
  <si>
    <t>S68</t>
  </si>
  <si>
    <t>Hongkong Land</t>
  </si>
  <si>
    <t>H78</t>
  </si>
  <si>
    <t>Keppel DC REIT</t>
  </si>
  <si>
    <t>AJBU</t>
  </si>
  <si>
    <t>iFast Corporation</t>
  </si>
  <si>
    <t>AIY</t>
  </si>
  <si>
    <t>Jardine Matheson</t>
  </si>
  <si>
    <t>J36</t>
  </si>
  <si>
    <t>Yangzijiang Shipbuilding</t>
  </si>
  <si>
    <t>BS6</t>
  </si>
  <si>
    <t>Venture Corporation</t>
  </si>
  <si>
    <t>V03</t>
  </si>
  <si>
    <t>First Resources</t>
  </si>
  <si>
    <t>EB5</t>
  </si>
  <si>
    <t>CapitaLand Ascendas REIT</t>
  </si>
  <si>
    <t>A17U</t>
  </si>
  <si>
    <t>UMS</t>
  </si>
  <si>
    <t>558</t>
  </si>
  <si>
    <t>Genting Singapore</t>
  </si>
  <si>
    <t>G13</t>
  </si>
  <si>
    <t>Suntec REIT</t>
  </si>
  <si>
    <t>T82U</t>
  </si>
  <si>
    <t>ComfortDelGro</t>
  </si>
  <si>
    <t>C52</t>
  </si>
  <si>
    <t>Week of 13 July 2026</t>
  </si>
  <si>
    <r>
      <t xml:space="preserve">Institutional investors net </t>
    </r>
    <r>
      <rPr>
        <b/>
        <sz val="11"/>
        <rFont val="Arial"/>
        <family val="2"/>
      </rPr>
      <t>sell</t>
    </r>
    <r>
      <rPr>
        <sz val="11"/>
        <rFont val="Arial"/>
        <family val="2"/>
      </rPr>
      <t xml:space="preserve"> (-S$318.2m) vs. (+S$126.7m) a week ago</t>
    </r>
  </si>
  <si>
    <r>
      <t xml:space="preserve">Retail investors net </t>
    </r>
    <r>
      <rPr>
        <b/>
        <sz val="11"/>
        <rFont val="Arial"/>
        <family val="2"/>
      </rPr>
      <t>buy</t>
    </r>
    <r>
      <rPr>
        <sz val="11"/>
        <rFont val="Arial"/>
        <family val="2"/>
      </rPr>
      <t xml:space="preserve"> (+S$516.8m) vs. (-S$225.3m)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</si>
</sst>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 #,##0.00_);_(* \(#,##0.00\);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dd\ mmmm\ yyyy"/>
    <numFmt numFmtId="173" formatCode="0.00000"/>
    <numFmt numFmtId="174" formatCode="_(* #,##0.0000_);_(* \(#,##0.0000\);_(* &quot;-&quot;?_);_(@_)"/>
    <numFmt numFmtId="175" formatCode="#,##0.00000_);[Red]\(#,##0.00000\)"/>
    <numFmt numFmtId="176"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4">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s>
  <cellStyleXfs count="2">
    <xf numFmtId="0" fontId="0" fillId="0" borderId="0"/>
    <xf numFmtId="164" fontId="1" fillId="0" borderId="0" applyFont="0" applyFill="0" applyBorder="0" applyAlignment="0" applyProtection="0"/>
  </cellStyleXfs>
  <cellXfs count="79">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6"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0" fontId="3" fillId="4" borderId="8" xfId="0" applyFont="1" applyFill="1" applyBorder="1" applyAlignment="1">
      <alignment horizontal="left"/>
    </xf>
    <xf numFmtId="165"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9" fontId="0" fillId="0" borderId="0" xfId="1" applyNumberFormat="1" applyFont="1"/>
    <xf numFmtId="49" fontId="6"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67" fontId="6" fillId="6" borderId="10" xfId="0" applyNumberFormat="1" applyFont="1" applyFill="1" applyBorder="1" applyAlignment="1">
      <alignment horizontal="center"/>
    </xf>
    <xf numFmtId="169" fontId="0" fillId="0" borderId="0" xfId="0" applyNumberFormat="1"/>
    <xf numFmtId="169" fontId="3" fillId="0" borderId="0" xfId="1" applyNumberFormat="1" applyFont="1" applyFill="1"/>
    <xf numFmtId="15" fontId="3" fillId="0" borderId="0" xfId="0" applyNumberFormat="1" applyFont="1" applyAlignment="1">
      <alignment horizontal="left" vertical="center"/>
    </xf>
    <xf numFmtId="166"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7" fontId="6" fillId="4" borderId="10" xfId="0" applyNumberFormat="1" applyFont="1" applyFill="1" applyBorder="1" applyAlignment="1">
      <alignment horizontal="center"/>
    </xf>
    <xf numFmtId="0" fontId="12" fillId="0" borderId="0" xfId="0" applyFont="1"/>
    <xf numFmtId="171" fontId="0" fillId="0" borderId="0" xfId="0" applyNumberFormat="1"/>
    <xf numFmtId="167" fontId="6" fillId="0" borderId="0" xfId="0" applyNumberFormat="1" applyFont="1" applyAlignment="1">
      <alignment horizontal="center"/>
    </xf>
    <xf numFmtId="0" fontId="13"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65"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2" fontId="3" fillId="0" borderId="0" xfId="0" applyNumberFormat="1" applyFont="1"/>
    <xf numFmtId="165" fontId="3" fillId="4" borderId="0" xfId="0" applyNumberFormat="1" applyFont="1" applyFill="1" applyAlignment="1">
      <alignment horizontal="center"/>
    </xf>
    <xf numFmtId="171" fontId="0" fillId="0" borderId="0" xfId="0" applyNumberFormat="1" applyAlignment="1">
      <alignment horizontal="left"/>
    </xf>
    <xf numFmtId="173" fontId="3" fillId="0" borderId="0" xfId="0" applyNumberFormat="1" applyFont="1"/>
    <xf numFmtId="174" fontId="0" fillId="0" borderId="0" xfId="0" applyNumberFormat="1"/>
    <xf numFmtId="175" fontId="3" fillId="0" borderId="0" xfId="0" applyNumberFormat="1" applyFont="1"/>
    <xf numFmtId="176" fontId="3" fillId="0" borderId="0" xfId="0" applyNumberFormat="1" applyFont="1"/>
    <xf numFmtId="15" fontId="3" fillId="4" borderId="0" xfId="0" applyNumberFormat="1" applyFont="1" applyFill="1" applyAlignment="1">
      <alignment horizontal="left"/>
    </xf>
    <xf numFmtId="0" fontId="3" fillId="0" borderId="13" xfId="0" applyFont="1" applyBorder="1" applyAlignment="1">
      <alignment horizontal="left"/>
    </xf>
    <xf numFmtId="0" fontId="3" fillId="5" borderId="0" xfId="0" applyFont="1" applyFill="1" applyAlignment="1">
      <alignment horizontal="left"/>
    </xf>
    <xf numFmtId="165" fontId="3" fillId="5" borderId="4" xfId="0" applyNumberFormat="1" applyFont="1" applyFill="1" applyBorder="1" applyAlignment="1">
      <alignment horizontal="right"/>
    </xf>
    <xf numFmtId="0" fontId="12" fillId="7" borderId="4" xfId="0" applyFont="1" applyFill="1" applyBorder="1" applyAlignment="1">
      <alignment vertical="center"/>
    </xf>
    <xf numFmtId="0" fontId="3" fillId="7" borderId="0" xfId="0" applyFont="1" applyFill="1" applyAlignment="1">
      <alignment horizontal="left"/>
    </xf>
    <xf numFmtId="165" fontId="3" fillId="7" borderId="4" xfId="0" applyNumberFormat="1" applyFont="1" applyFill="1" applyBorder="1" applyAlignment="1">
      <alignment horizontal="right"/>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80" zoomScaleNormal="8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12.140625" style="34" bestFit="1"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82</v>
      </c>
      <c r="C1" s="59"/>
    </row>
    <row r="2" spans="1:13" ht="15" x14ac:dyDescent="0.25">
      <c r="A2" s="52" t="s">
        <v>83</v>
      </c>
      <c r="I2" s="40"/>
    </row>
    <row r="3" spans="1:13" ht="15" x14ac:dyDescent="0.25">
      <c r="A3" s="52" t="s">
        <v>84</v>
      </c>
      <c r="I3" s="40"/>
    </row>
    <row r="5" spans="1:13" ht="29.25" customHeight="1" x14ac:dyDescent="0.2">
      <c r="A5" s="3" t="s">
        <v>0</v>
      </c>
      <c r="B5" s="3" t="s">
        <v>1</v>
      </c>
      <c r="C5" s="4" t="s">
        <v>82</v>
      </c>
      <c r="D5" s="43" t="s">
        <v>2</v>
      </c>
      <c r="E5" s="43" t="s">
        <v>1</v>
      </c>
      <c r="F5" s="44" t="str">
        <f>+C5</f>
        <v>Week of 13 July 2026</v>
      </c>
      <c r="I5" s="2"/>
    </row>
    <row r="6" spans="1:13" ht="15" x14ac:dyDescent="0.25">
      <c r="A6" s="28" t="s">
        <v>46</v>
      </c>
      <c r="B6" s="46" t="s">
        <v>47</v>
      </c>
      <c r="C6" s="5">
        <v>46.819957000000002</v>
      </c>
      <c r="D6" s="28" t="s">
        <v>38</v>
      </c>
      <c r="E6" s="46" t="s">
        <v>39</v>
      </c>
      <c r="F6" s="5">
        <v>-83.772789000000003</v>
      </c>
      <c r="G6" s="61"/>
      <c r="H6"/>
      <c r="I6" s="2"/>
      <c r="M6"/>
    </row>
    <row r="7" spans="1:13" ht="15" x14ac:dyDescent="0.25">
      <c r="A7" s="29" t="s">
        <v>34</v>
      </c>
      <c r="B7" s="9" t="s">
        <v>35</v>
      </c>
      <c r="C7" s="7">
        <v>44.786133</v>
      </c>
      <c r="D7" s="29" t="s">
        <v>48</v>
      </c>
      <c r="E7" s="9" t="s">
        <v>49</v>
      </c>
      <c r="F7" s="7">
        <v>-78.235881000000006</v>
      </c>
      <c r="G7" s="61"/>
      <c r="H7"/>
      <c r="I7" s="2"/>
      <c r="L7"/>
      <c r="M7"/>
    </row>
    <row r="8" spans="1:13" ht="15" x14ac:dyDescent="0.25">
      <c r="A8" s="30" t="s">
        <v>40</v>
      </c>
      <c r="B8" s="46" t="s">
        <v>41</v>
      </c>
      <c r="C8" s="5">
        <v>30.492989000000001</v>
      </c>
      <c r="D8" s="30" t="s">
        <v>56</v>
      </c>
      <c r="E8" s="46" t="s">
        <v>57</v>
      </c>
      <c r="F8" s="5">
        <v>-55.366658999999999</v>
      </c>
      <c r="G8" s="61"/>
      <c r="H8"/>
      <c r="I8" s="2"/>
      <c r="L8"/>
      <c r="M8"/>
    </row>
    <row r="9" spans="1:13" ht="15" x14ac:dyDescent="0.25">
      <c r="A9" s="29" t="s">
        <v>62</v>
      </c>
      <c r="B9" s="9" t="s">
        <v>63</v>
      </c>
      <c r="C9" s="7">
        <v>23.599502000000001</v>
      </c>
      <c r="D9" s="29" t="s">
        <v>36</v>
      </c>
      <c r="E9" s="9" t="s">
        <v>37</v>
      </c>
      <c r="F9" s="7">
        <v>-49.830894000000001</v>
      </c>
      <c r="G9" s="61"/>
      <c r="H9"/>
      <c r="I9" s="2"/>
      <c r="L9"/>
      <c r="M9"/>
    </row>
    <row r="10" spans="1:13" ht="15" x14ac:dyDescent="0.25">
      <c r="A10" s="30" t="s">
        <v>66</v>
      </c>
      <c r="B10" s="46" t="s">
        <v>67</v>
      </c>
      <c r="C10" s="5">
        <v>16.220127000000002</v>
      </c>
      <c r="D10" s="30" t="s">
        <v>42</v>
      </c>
      <c r="E10" s="46" t="s">
        <v>43</v>
      </c>
      <c r="F10" s="5">
        <v>-48.018946999999997</v>
      </c>
      <c r="G10" s="61"/>
      <c r="H10"/>
      <c r="I10" s="2"/>
      <c r="L10"/>
      <c r="M10"/>
    </row>
    <row r="11" spans="1:13" ht="15" x14ac:dyDescent="0.25">
      <c r="A11" s="29" t="s">
        <v>60</v>
      </c>
      <c r="B11" s="9" t="s">
        <v>61</v>
      </c>
      <c r="C11" s="7">
        <v>15.796106</v>
      </c>
      <c r="D11" s="29" t="s">
        <v>22</v>
      </c>
      <c r="E11" s="9" t="s">
        <v>21</v>
      </c>
      <c r="F11" s="7">
        <v>-42.666767999999998</v>
      </c>
      <c r="G11" s="61"/>
      <c r="H11"/>
      <c r="I11" s="2"/>
      <c r="L11"/>
      <c r="M11"/>
    </row>
    <row r="12" spans="1:13" ht="15" x14ac:dyDescent="0.25">
      <c r="A12" s="30" t="s">
        <v>54</v>
      </c>
      <c r="B12" s="46" t="s">
        <v>55</v>
      </c>
      <c r="C12" s="5">
        <v>12.529275999999999</v>
      </c>
      <c r="D12" s="30" t="s">
        <v>52</v>
      </c>
      <c r="E12" s="46" t="s">
        <v>53</v>
      </c>
      <c r="F12" s="5">
        <v>-32.861331999999997</v>
      </c>
      <c r="G12" s="61"/>
      <c r="H12"/>
      <c r="I12" s="2"/>
      <c r="L12"/>
      <c r="M12"/>
    </row>
    <row r="13" spans="1:13" ht="15" x14ac:dyDescent="0.25">
      <c r="A13" s="29" t="s">
        <v>64</v>
      </c>
      <c r="B13" s="9" t="s">
        <v>65</v>
      </c>
      <c r="C13" s="7">
        <v>10.1300231717</v>
      </c>
      <c r="D13" s="29" t="s">
        <v>68</v>
      </c>
      <c r="E13" s="9" t="s">
        <v>69</v>
      </c>
      <c r="F13" s="7">
        <v>-16.934287999999999</v>
      </c>
      <c r="G13" s="61"/>
      <c r="H13"/>
      <c r="I13" s="2"/>
      <c r="L13"/>
      <c r="M13"/>
    </row>
    <row r="14" spans="1:13" ht="15" x14ac:dyDescent="0.25">
      <c r="A14" s="30" t="s">
        <v>70</v>
      </c>
      <c r="B14" s="46" t="s">
        <v>71</v>
      </c>
      <c r="C14" s="5">
        <v>6.6544720000000002</v>
      </c>
      <c r="D14" s="30" t="s">
        <v>72</v>
      </c>
      <c r="E14" s="46" t="s">
        <v>73</v>
      </c>
      <c r="F14" s="5">
        <v>-16.200375999999999</v>
      </c>
      <c r="G14" s="61"/>
      <c r="H14"/>
      <c r="I14" s="2"/>
      <c r="L14"/>
      <c r="M14"/>
    </row>
    <row r="15" spans="1:13" ht="15" x14ac:dyDescent="0.25">
      <c r="A15" s="31" t="s">
        <v>58</v>
      </c>
      <c r="B15" s="27" t="s">
        <v>59</v>
      </c>
      <c r="C15" s="8">
        <v>6.5556860274000011</v>
      </c>
      <c r="D15" s="31" t="s">
        <v>44</v>
      </c>
      <c r="E15" s="27" t="s">
        <v>45</v>
      </c>
      <c r="F15" s="8">
        <v>-16.156601999999999</v>
      </c>
      <c r="G15" s="61"/>
      <c r="H15"/>
      <c r="I15" s="2"/>
      <c r="L15"/>
      <c r="M15"/>
    </row>
    <row r="16" spans="1:13" ht="15" x14ac:dyDescent="0.2">
      <c r="A16" s="9"/>
      <c r="B16" s="9"/>
      <c r="C16" s="9"/>
      <c r="D16" s="26"/>
      <c r="E16" s="9"/>
      <c r="F16" s="9"/>
    </row>
    <row r="17" spans="1:9" x14ac:dyDescent="0.2">
      <c r="A17" s="9"/>
      <c r="B17" s="9"/>
      <c r="C17" s="9"/>
      <c r="D17" s="9"/>
      <c r="E17" s="9"/>
      <c r="F17" s="9"/>
    </row>
    <row r="18" spans="1:9" ht="28.5" customHeight="1" x14ac:dyDescent="0.2">
      <c r="A18" s="33" t="s">
        <v>3</v>
      </c>
      <c r="B18" s="3" t="s">
        <v>1</v>
      </c>
      <c r="C18" s="4" t="str">
        <f>C5</f>
        <v>Week of 13 July 2026</v>
      </c>
      <c r="D18" s="45" t="s">
        <v>4</v>
      </c>
      <c r="E18" s="43" t="s">
        <v>1</v>
      </c>
      <c r="F18" s="44" t="str">
        <f>+C18</f>
        <v>Week of 13 July 2026</v>
      </c>
    </row>
    <row r="19" spans="1:9" x14ac:dyDescent="0.2">
      <c r="A19" s="30" t="s">
        <v>22</v>
      </c>
      <c r="B19" s="46" t="s">
        <v>21</v>
      </c>
      <c r="C19" s="16">
        <v>112.883583</v>
      </c>
      <c r="D19" s="30" t="s">
        <v>62</v>
      </c>
      <c r="E19" s="15" t="s">
        <v>63</v>
      </c>
      <c r="F19" s="5">
        <v>-27.692492999999999</v>
      </c>
      <c r="I19" s="2"/>
    </row>
    <row r="20" spans="1:9" ht="15" x14ac:dyDescent="0.25">
      <c r="A20" s="29" t="s">
        <v>38</v>
      </c>
      <c r="B20" s="9" t="s">
        <v>39</v>
      </c>
      <c r="C20" s="7">
        <v>89.725083999999995</v>
      </c>
      <c r="D20" s="29" t="s">
        <v>46</v>
      </c>
      <c r="E20" s="17" t="s">
        <v>47</v>
      </c>
      <c r="F20" s="7">
        <v>-22.282820000000001</v>
      </c>
      <c r="G20" s="61"/>
      <c r="I20" s="2"/>
    </row>
    <row r="21" spans="1:9" ht="15" x14ac:dyDescent="0.25">
      <c r="A21" s="30" t="s">
        <v>48</v>
      </c>
      <c r="B21" s="46" t="s">
        <v>49</v>
      </c>
      <c r="C21" s="5">
        <v>84.981281999999993</v>
      </c>
      <c r="D21" s="30" t="s">
        <v>40</v>
      </c>
      <c r="E21" s="6" t="s">
        <v>41</v>
      </c>
      <c r="F21" s="5">
        <v>-19.980574000000001</v>
      </c>
      <c r="G21" s="61"/>
      <c r="I21" s="2"/>
    </row>
    <row r="22" spans="1:9" ht="15" x14ac:dyDescent="0.25">
      <c r="A22" s="29" t="s">
        <v>42</v>
      </c>
      <c r="B22" s="9" t="s">
        <v>43</v>
      </c>
      <c r="C22" s="7">
        <v>55.459460999999997</v>
      </c>
      <c r="D22" s="29" t="s">
        <v>50</v>
      </c>
      <c r="E22" s="17" t="s">
        <v>51</v>
      </c>
      <c r="F22" s="7">
        <v>-18.902628</v>
      </c>
      <c r="G22" s="61"/>
      <c r="I22" s="2"/>
    </row>
    <row r="23" spans="1:9" ht="15" x14ac:dyDescent="0.25">
      <c r="A23" s="30" t="s">
        <v>56</v>
      </c>
      <c r="B23" s="68" t="s">
        <v>57</v>
      </c>
      <c r="C23" s="69">
        <v>50.862085</v>
      </c>
      <c r="D23" s="30" t="s">
        <v>60</v>
      </c>
      <c r="E23" s="6" t="s">
        <v>61</v>
      </c>
      <c r="F23" s="5">
        <v>-8.4928779999999993</v>
      </c>
      <c r="G23" s="61"/>
      <c r="I23" s="2"/>
    </row>
    <row r="24" spans="1:9" ht="15" x14ac:dyDescent="0.25">
      <c r="A24" s="70" t="s">
        <v>34</v>
      </c>
      <c r="B24" s="71" t="s">
        <v>35</v>
      </c>
      <c r="C24" s="72">
        <v>44.302563999999997</v>
      </c>
      <c r="D24" s="29" t="s">
        <v>52</v>
      </c>
      <c r="E24" s="17" t="s">
        <v>53</v>
      </c>
      <c r="F24" s="7">
        <v>-7.4512869999999998</v>
      </c>
      <c r="G24" s="61"/>
      <c r="I24" s="2"/>
    </row>
    <row r="25" spans="1:9" ht="15" x14ac:dyDescent="0.25">
      <c r="A25" s="30" t="s">
        <v>44</v>
      </c>
      <c r="B25" s="68" t="s">
        <v>45</v>
      </c>
      <c r="C25" s="69">
        <v>40.464250999999997</v>
      </c>
      <c r="D25" s="30" t="s">
        <v>76</v>
      </c>
      <c r="E25" s="6" t="s">
        <v>77</v>
      </c>
      <c r="F25" s="5">
        <v>-6.4531725</v>
      </c>
      <c r="G25" s="61"/>
      <c r="I25" s="2"/>
    </row>
    <row r="26" spans="1:9" ht="15" x14ac:dyDescent="0.25">
      <c r="A26" s="70" t="s">
        <v>74</v>
      </c>
      <c r="B26" s="71" t="s">
        <v>75</v>
      </c>
      <c r="C26" s="72">
        <v>28.827218999999999</v>
      </c>
      <c r="D26" s="29" t="s">
        <v>78</v>
      </c>
      <c r="E26" s="17" t="s">
        <v>79</v>
      </c>
      <c r="F26" s="7">
        <v>-6.4292189999999998</v>
      </c>
      <c r="G26" s="61"/>
      <c r="I26" s="2"/>
    </row>
    <row r="27" spans="1:9" ht="15" x14ac:dyDescent="0.25">
      <c r="A27" s="30" t="s">
        <v>36</v>
      </c>
      <c r="B27" s="46" t="s">
        <v>37</v>
      </c>
      <c r="C27" s="5">
        <v>21.751690199999999</v>
      </c>
      <c r="D27" s="30" t="s">
        <v>80</v>
      </c>
      <c r="E27" s="46" t="s">
        <v>81</v>
      </c>
      <c r="F27" s="5">
        <v>-5.6316670000000002</v>
      </c>
      <c r="G27" s="61"/>
      <c r="I27" s="2"/>
    </row>
    <row r="28" spans="1:9" ht="15" x14ac:dyDescent="0.25">
      <c r="A28" s="27" t="s">
        <v>68</v>
      </c>
      <c r="B28" s="56" t="s">
        <v>69</v>
      </c>
      <c r="C28" s="8">
        <v>16.860491</v>
      </c>
      <c r="D28" s="67" t="s">
        <v>58</v>
      </c>
      <c r="E28" s="56" t="s">
        <v>59</v>
      </c>
      <c r="F28" s="8">
        <v>-5.0340707283000006</v>
      </c>
      <c r="G28" s="61"/>
      <c r="I28" s="2"/>
    </row>
    <row r="29" spans="1:9" x14ac:dyDescent="0.2">
      <c r="A29" s="9"/>
      <c r="B29" s="9"/>
      <c r="C29" s="9"/>
      <c r="D29" s="9"/>
      <c r="E29" s="9"/>
      <c r="F29" s="9"/>
    </row>
    <row r="30" spans="1:9" x14ac:dyDescent="0.2">
      <c r="A30" s="10" t="s">
        <v>30</v>
      </c>
      <c r="B30" s="10"/>
      <c r="C30" s="9"/>
      <c r="D30" s="9"/>
      <c r="E30" s="9"/>
      <c r="F30" s="9"/>
    </row>
    <row r="31" spans="1:9" x14ac:dyDescent="0.2">
      <c r="A31" s="10" t="s">
        <v>27</v>
      </c>
      <c r="B31" s="10"/>
      <c r="C31" s="9"/>
      <c r="D31" s="9"/>
      <c r="E31" s="9"/>
      <c r="F31" s="9"/>
    </row>
    <row r="32" spans="1:9" x14ac:dyDescent="0.2">
      <c r="A32" s="10" t="s">
        <v>28</v>
      </c>
      <c r="B32" s="10"/>
      <c r="C32" s="9"/>
      <c r="D32" s="9"/>
      <c r="E32" s="9"/>
      <c r="F32" s="9"/>
    </row>
    <row r="33" spans="1:9" x14ac:dyDescent="0.2">
      <c r="A33" s="10" t="s">
        <v>6</v>
      </c>
      <c r="B33" s="10"/>
      <c r="C33" s="9"/>
      <c r="D33" s="9"/>
      <c r="E33" s="9"/>
      <c r="F33" s="9"/>
    </row>
    <row r="34" spans="1:9" x14ac:dyDescent="0.2">
      <c r="A34" s="57" t="s">
        <v>26</v>
      </c>
      <c r="B34" s="10"/>
      <c r="C34" s="9"/>
      <c r="D34" s="9"/>
      <c r="E34" s="9"/>
      <c r="F34" s="9"/>
      <c r="G34" s="49"/>
    </row>
    <row r="35" spans="1:9" x14ac:dyDescent="0.2">
      <c r="A35" s="10"/>
      <c r="B35" s="10"/>
      <c r="C35" s="9"/>
      <c r="D35" s="9"/>
      <c r="E35" s="9"/>
      <c r="F35" s="9"/>
    </row>
    <row r="36" spans="1:9" x14ac:dyDescent="0.2">
      <c r="A36" s="10"/>
      <c r="B36" s="10"/>
      <c r="C36" s="9"/>
      <c r="D36" s="9"/>
      <c r="E36" s="9"/>
      <c r="F36" s="9"/>
    </row>
    <row r="37" spans="1:9" customFormat="1" ht="15.75" x14ac:dyDescent="0.25">
      <c r="A37" s="18" t="s">
        <v>23</v>
      </c>
      <c r="B37" s="19"/>
      <c r="C37" s="20"/>
      <c r="D37" s="20"/>
      <c r="E37" s="19"/>
      <c r="F37" s="19"/>
      <c r="I37" s="32"/>
    </row>
    <row r="38" spans="1:9" customFormat="1" ht="15" x14ac:dyDescent="0.25">
      <c r="A38" s="21" t="s">
        <v>32</v>
      </c>
      <c r="B38" s="19"/>
      <c r="C38" s="20"/>
      <c r="D38" s="20"/>
      <c r="E38" s="19"/>
      <c r="F38" s="19"/>
      <c r="I38" s="32"/>
    </row>
    <row r="39" spans="1:9" s="25" customFormat="1" ht="19.350000000000001" customHeight="1" x14ac:dyDescent="0.25">
      <c r="A39" s="22" t="s">
        <v>31</v>
      </c>
      <c r="B39" s="23"/>
      <c r="C39" s="24"/>
      <c r="D39" s="24"/>
      <c r="E39" s="23"/>
      <c r="F39" s="23"/>
      <c r="I39" s="35"/>
    </row>
    <row r="40" spans="1:9" ht="169.35" customHeight="1" x14ac:dyDescent="0.2">
      <c r="A40" s="73" t="s">
        <v>33</v>
      </c>
      <c r="B40" s="73"/>
      <c r="C40" s="73"/>
      <c r="D40" s="73"/>
      <c r="E40" s="73"/>
      <c r="F40" s="73"/>
    </row>
    <row r="41" spans="1:9" x14ac:dyDescent="0.2">
      <c r="A41" s="9"/>
      <c r="B41" s="9"/>
      <c r="C41" s="9"/>
      <c r="D41" s="9"/>
      <c r="E41" s="9"/>
      <c r="F41" s="9"/>
    </row>
    <row r="42" spans="1:9" x14ac:dyDescent="0.2">
      <c r="A42" s="9"/>
      <c r="B42" s="9"/>
      <c r="C42" s="9"/>
      <c r="D42" s="9"/>
      <c r="E42" s="9"/>
      <c r="F42" s="9"/>
    </row>
    <row r="43" spans="1:9" x14ac:dyDescent="0.2">
      <c r="A43" s="9"/>
      <c r="B43" s="9"/>
      <c r="C43" s="9"/>
      <c r="D43" s="9"/>
      <c r="E43" s="9"/>
      <c r="F43" s="9"/>
    </row>
    <row r="44" spans="1:9" x14ac:dyDescent="0.2">
      <c r="A44" s="9"/>
      <c r="B44" s="9"/>
      <c r="C44" s="9"/>
      <c r="D44" s="9"/>
      <c r="E44" s="9"/>
      <c r="F44" s="9"/>
    </row>
    <row r="45" spans="1:9" x14ac:dyDescent="0.2">
      <c r="A45" s="9"/>
      <c r="B45" s="9"/>
      <c r="C45" s="9"/>
      <c r="D45" s="9"/>
      <c r="E45" s="9"/>
      <c r="F45" s="9"/>
    </row>
    <row r="46" spans="1:9" x14ac:dyDescent="0.2">
      <c r="A46" s="9"/>
      <c r="B46" s="9"/>
      <c r="C46" s="9"/>
      <c r="D46" s="9"/>
      <c r="E46" s="9"/>
      <c r="F46" s="9"/>
    </row>
    <row r="47" spans="1:9" x14ac:dyDescent="0.2">
      <c r="A47" s="9"/>
      <c r="B47" s="9"/>
      <c r="C47" s="9"/>
      <c r="D47" s="9"/>
      <c r="E47" s="9"/>
      <c r="F47" s="9"/>
    </row>
    <row r="48" spans="1:9" x14ac:dyDescent="0.2">
      <c r="A48" s="9"/>
      <c r="B48" s="9"/>
      <c r="C48" s="9"/>
      <c r="D48" s="9"/>
      <c r="E48" s="9"/>
      <c r="F48" s="9"/>
    </row>
    <row r="49" spans="1:6" x14ac:dyDescent="0.2">
      <c r="A49" s="9"/>
      <c r="B49" s="9"/>
      <c r="C49" s="9"/>
      <c r="D49" s="9"/>
      <c r="E49" s="9"/>
      <c r="F49" s="9"/>
    </row>
    <row r="50" spans="1:6" x14ac:dyDescent="0.2">
      <c r="A50" s="11"/>
      <c r="B50" s="11"/>
      <c r="C50" s="11"/>
      <c r="D50" s="11"/>
      <c r="E50" s="11"/>
      <c r="F50" s="11"/>
    </row>
    <row r="51" spans="1:6" x14ac:dyDescent="0.2">
      <c r="A51" s="11"/>
      <c r="B51" s="11"/>
      <c r="C51" s="11"/>
      <c r="D51" s="11"/>
      <c r="E51" s="11"/>
      <c r="F51" s="11"/>
    </row>
    <row r="52" spans="1:6" x14ac:dyDescent="0.2">
      <c r="A52" s="11"/>
      <c r="B52" s="11"/>
      <c r="C52" s="11"/>
      <c r="D52" s="11"/>
      <c r="E52" s="11"/>
      <c r="F52" s="11"/>
    </row>
    <row r="53" spans="1:6" x14ac:dyDescent="0.2">
      <c r="A53" s="11"/>
      <c r="B53" s="11"/>
      <c r="C53" s="11"/>
      <c r="D53" s="11"/>
      <c r="E53" s="11"/>
      <c r="F53" s="11"/>
    </row>
    <row r="54" spans="1:6" x14ac:dyDescent="0.2">
      <c r="A54" s="11"/>
      <c r="B54" s="11"/>
      <c r="C54" s="11"/>
      <c r="D54" s="11"/>
      <c r="E54" s="11"/>
      <c r="F54" s="11"/>
    </row>
    <row r="55" spans="1:6" x14ac:dyDescent="0.2">
      <c r="A55" s="11"/>
      <c r="B55" s="11"/>
      <c r="C55" s="11"/>
      <c r="D55" s="11"/>
      <c r="E55" s="11"/>
      <c r="F55" s="11"/>
    </row>
    <row r="56" spans="1:6" x14ac:dyDescent="0.2">
      <c r="A56" s="11"/>
      <c r="B56" s="11"/>
      <c r="C56" s="11"/>
      <c r="D56" s="11"/>
      <c r="E56" s="11"/>
      <c r="F56" s="11"/>
    </row>
    <row r="57" spans="1:6" x14ac:dyDescent="0.2">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B2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topLeftCell="A2" zoomScale="82" zoomScaleNormal="100" workbookViewId="0">
      <selection activeCell="F18" sqref="F18"/>
    </sheetView>
  </sheetViews>
  <sheetFormatPr defaultColWidth="9.42578125" defaultRowHeight="14.25" x14ac:dyDescent="0.2"/>
  <cols>
    <col min="1" max="1" width="8.42578125" style="2" bestFit="1" customWidth="1"/>
    <col min="2" max="2" width="15.28515625" style="2" bestFit="1"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0" width="7.42578125" style="2" bestFit="1" customWidth="1"/>
    <col min="11" max="11" width="8" style="2" bestFit="1" customWidth="1"/>
    <col min="12" max="12" width="12.85546875" style="2" bestFit="1" customWidth="1"/>
    <col min="13" max="13" width="8" style="2" bestFit="1" customWidth="1"/>
    <col min="14" max="14" width="8.7109375" style="2" bestFit="1" customWidth="1"/>
    <col min="15" max="16384" width="9.42578125" style="2"/>
  </cols>
  <sheetData>
    <row r="1" spans="1:15" ht="17.25" customHeight="1" x14ac:dyDescent="0.2">
      <c r="A1" s="74" t="s">
        <v>7</v>
      </c>
      <c r="B1" s="12"/>
      <c r="C1" s="76" t="s">
        <v>8</v>
      </c>
      <c r="D1" s="77"/>
      <c r="E1" s="77"/>
      <c r="F1" s="77"/>
      <c r="G1" s="77"/>
      <c r="H1" s="77"/>
      <c r="I1" s="77"/>
      <c r="J1" s="77"/>
      <c r="K1" s="77"/>
      <c r="L1" s="77"/>
      <c r="M1" s="77"/>
      <c r="N1" s="78"/>
    </row>
    <row r="2" spans="1:15" ht="75" x14ac:dyDescent="0.2">
      <c r="A2" s="75"/>
      <c r="B2" s="12" t="s">
        <v>9</v>
      </c>
      <c r="C2" s="12" t="s">
        <v>10</v>
      </c>
      <c r="D2" s="12" t="s">
        <v>11</v>
      </c>
      <c r="E2" s="12" t="s">
        <v>12</v>
      </c>
      <c r="F2" s="12" t="s">
        <v>13</v>
      </c>
      <c r="G2" s="12" t="s">
        <v>24</v>
      </c>
      <c r="H2" s="12" t="s">
        <v>14</v>
      </c>
      <c r="I2" s="12" t="s">
        <v>15</v>
      </c>
      <c r="J2" s="12" t="s">
        <v>16</v>
      </c>
      <c r="K2" s="12" t="s">
        <v>17</v>
      </c>
      <c r="L2" s="12" t="s">
        <v>18</v>
      </c>
      <c r="M2" s="12" t="s">
        <v>25</v>
      </c>
      <c r="N2" s="12" t="s">
        <v>19</v>
      </c>
    </row>
    <row r="3" spans="1:15" ht="15" x14ac:dyDescent="0.25">
      <c r="A3" s="38">
        <f>SUM(C3:N3)</f>
        <v>211.82635451433006</v>
      </c>
      <c r="B3" s="54">
        <v>46195</v>
      </c>
      <c r="C3" s="14">
        <v>-7.340635585590003</v>
      </c>
      <c r="D3" s="14">
        <v>-5.9971673053999996</v>
      </c>
      <c r="E3" s="14">
        <v>-4.1483829000000014</v>
      </c>
      <c r="F3" s="14">
        <v>166.66166799999999</v>
      </c>
      <c r="G3" s="14">
        <v>-11.862249033299999</v>
      </c>
      <c r="H3" s="14">
        <v>89.481755612990028</v>
      </c>
      <c r="I3" s="14">
        <v>-2.5410271999999998</v>
      </c>
      <c r="J3" s="14">
        <v>-31.539990634499993</v>
      </c>
      <c r="K3" s="14">
        <v>-19.137483139869996</v>
      </c>
      <c r="L3" s="14">
        <v>-32.005299600000001</v>
      </c>
      <c r="M3" s="14">
        <v>42.130086999999996</v>
      </c>
      <c r="N3" s="14">
        <v>28.125079299999999</v>
      </c>
    </row>
    <row r="4" spans="1:15" ht="15" x14ac:dyDescent="0.25">
      <c r="A4" s="38">
        <f>SUM(C4:N4)</f>
        <v>-236.64393119819002</v>
      </c>
      <c r="B4" s="42">
        <v>46202</v>
      </c>
      <c r="C4" s="53">
        <v>2.2176346432299994</v>
      </c>
      <c r="D4" s="53">
        <v>0.60791449819999965</v>
      </c>
      <c r="E4" s="53">
        <v>-1.7116288999999998</v>
      </c>
      <c r="F4" s="53">
        <v>-105.0203867</v>
      </c>
      <c r="G4" s="53">
        <v>-7.7308089134000006</v>
      </c>
      <c r="H4" s="53">
        <v>15.446260848710004</v>
      </c>
      <c r="I4" s="53">
        <v>-1.9067786999999996</v>
      </c>
      <c r="J4" s="53">
        <v>3.0140465138999977</v>
      </c>
      <c r="K4" s="53">
        <v>-49.022069071829996</v>
      </c>
      <c r="L4" s="53">
        <v>-1.2504533169999974</v>
      </c>
      <c r="M4" s="53">
        <v>-25.0537414</v>
      </c>
      <c r="N4" s="53">
        <v>-66.233920699999999</v>
      </c>
    </row>
    <row r="5" spans="1:15" ht="15" x14ac:dyDescent="0.25">
      <c r="A5" s="38">
        <f>SUM(C5:N5)</f>
        <v>126.68970479578003</v>
      </c>
      <c r="B5" s="66">
        <v>46209</v>
      </c>
      <c r="C5" s="14">
        <v>3.7207544810199997</v>
      </c>
      <c r="D5" s="14">
        <v>-5.6003928237000027</v>
      </c>
      <c r="E5" s="14">
        <v>1.4620603999999999</v>
      </c>
      <c r="F5" s="14">
        <v>255.01297320000003</v>
      </c>
      <c r="G5" s="14">
        <v>-4.9301227682799995</v>
      </c>
      <c r="H5" s="14">
        <v>125.76352195429001</v>
      </c>
      <c r="I5" s="14">
        <v>-1.900465900000001</v>
      </c>
      <c r="J5" s="14">
        <v>16.615559478800002</v>
      </c>
      <c r="K5" s="14">
        <v>-28.549516326350002</v>
      </c>
      <c r="L5" s="14">
        <v>-54.468523899999994</v>
      </c>
      <c r="M5" s="14">
        <v>-87.585507000000007</v>
      </c>
      <c r="N5" s="14">
        <v>-92.850635999999994</v>
      </c>
    </row>
    <row r="6" spans="1:15" ht="15" x14ac:dyDescent="0.25">
      <c r="A6" s="38">
        <f>SUM(C6:N6)</f>
        <v>-318.15638253531006</v>
      </c>
      <c r="B6" s="58">
        <v>46216</v>
      </c>
      <c r="C6" s="53">
        <v>2.4052219642199999</v>
      </c>
      <c r="D6" s="53">
        <v>-13.140752075800002</v>
      </c>
      <c r="E6" s="53">
        <v>1.9702136999999997</v>
      </c>
      <c r="F6" s="53">
        <v>-136.63735779999999</v>
      </c>
      <c r="G6" s="53">
        <v>-0.27981558649999938</v>
      </c>
      <c r="H6" s="53">
        <v>86.581516085399997</v>
      </c>
      <c r="I6" s="53">
        <v>0.83672469999999977</v>
      </c>
      <c r="J6" s="53">
        <v>-3.2788695725999983</v>
      </c>
      <c r="K6" s="53">
        <v>-58.38875995003</v>
      </c>
      <c r="L6" s="53">
        <v>-72.929378500000013</v>
      </c>
      <c r="M6" s="53">
        <v>-49.576050700000003</v>
      </c>
      <c r="N6" s="53">
        <v>-75.719074800000016</v>
      </c>
      <c r="O6"/>
    </row>
    <row r="7" spans="1:15" ht="15" x14ac:dyDescent="0.25">
      <c r="A7" s="51"/>
      <c r="B7" s="42"/>
      <c r="C7" s="50"/>
      <c r="D7" s="50"/>
      <c r="E7" s="50"/>
      <c r="F7" s="50"/>
      <c r="G7" s="50"/>
      <c r="H7" s="50"/>
      <c r="I7" s="50"/>
      <c r="J7" s="50"/>
      <c r="K7" s="50"/>
      <c r="L7" s="50"/>
      <c r="M7" s="50"/>
      <c r="N7" s="50"/>
    </row>
    <row r="8" spans="1:15" x14ac:dyDescent="0.2">
      <c r="B8" s="10" t="s">
        <v>5</v>
      </c>
      <c r="C8" s="10"/>
      <c r="D8" s="10"/>
    </row>
    <row r="9" spans="1:15" x14ac:dyDescent="0.2">
      <c r="B9" s="10" t="s">
        <v>27</v>
      </c>
      <c r="C9" s="10"/>
      <c r="D9" s="10"/>
    </row>
    <row r="10" spans="1:15" x14ac:dyDescent="0.2">
      <c r="B10" s="10" t="s">
        <v>6</v>
      </c>
      <c r="C10" s="10"/>
      <c r="D10" s="10"/>
    </row>
    <row r="11" spans="1:15" x14ac:dyDescent="0.2">
      <c r="B11" s="10" t="s">
        <v>26</v>
      </c>
      <c r="C11" s="11"/>
      <c r="D11" s="11"/>
    </row>
    <row r="12" spans="1:15" ht="15" x14ac:dyDescent="0.25">
      <c r="B12"/>
    </row>
    <row r="13" spans="1:15" ht="15" x14ac:dyDescent="0.25">
      <c r="C13" s="50"/>
      <c r="D13" s="50"/>
      <c r="E13" s="50"/>
      <c r="F13" s="50"/>
      <c r="G13" s="50"/>
      <c r="H13" s="50"/>
      <c r="I13" s="50"/>
      <c r="J13" s="50"/>
      <c r="K13" s="50"/>
      <c r="L13" s="50"/>
      <c r="M13" s="50"/>
      <c r="N13" s="50"/>
    </row>
    <row r="14" spans="1:15" ht="15" x14ac:dyDescent="0.25">
      <c r="B14" s="39"/>
      <c r="C14" s="39"/>
      <c r="D14" s="39"/>
      <c r="E14" s="39"/>
      <c r="F14" s="39"/>
      <c r="G14" s="39"/>
      <c r="H14" s="39"/>
      <c r="I14" s="39"/>
      <c r="J14" s="39"/>
      <c r="K14" s="39"/>
      <c r="L14" s="39"/>
      <c r="M14" s="39"/>
      <c r="N14"/>
      <c r="O14" s="37"/>
    </row>
    <row r="15" spans="1:15" ht="15" x14ac:dyDescent="0.25">
      <c r="B15" s="39"/>
      <c r="C15" s="39"/>
      <c r="D15" s="39"/>
      <c r="E15" s="39"/>
      <c r="F15" s="39"/>
      <c r="G15" s="39"/>
      <c r="H15" s="39"/>
      <c r="I15" s="39"/>
      <c r="J15" s="39"/>
      <c r="K15" s="39"/>
      <c r="L15" s="39"/>
      <c r="M15" s="39"/>
      <c r="N15" s="39"/>
      <c r="O15" s="39"/>
    </row>
    <row r="16" spans="1:15" ht="15" x14ac:dyDescent="0.25">
      <c r="C16" s="53"/>
      <c r="D16" s="53"/>
      <c r="E16" s="53"/>
      <c r="F16" s="53"/>
      <c r="G16" s="53"/>
      <c r="H16" s="53"/>
      <c r="I16" s="53"/>
      <c r="J16" s="53"/>
      <c r="K16" s="53"/>
      <c r="L16" s="53"/>
      <c r="M16" s="53"/>
      <c r="N16" s="53"/>
      <c r="O16" s="37"/>
    </row>
    <row r="17" spans="3:22" ht="15" x14ac:dyDescent="0.25">
      <c r="C17" s="36"/>
      <c r="D17" s="36"/>
      <c r="E17" s="36"/>
      <c r="F17" s="36"/>
      <c r="G17" s="36"/>
      <c r="H17" s="36"/>
      <c r="I17" s="36"/>
      <c r="J17" s="36"/>
      <c r="K17" s="36"/>
      <c r="L17" s="36"/>
      <c r="M17" s="36"/>
      <c r="N17" s="63"/>
      <c r="O17" s="36"/>
    </row>
    <row r="18" spans="3:22" ht="15" x14ac:dyDescent="0.25">
      <c r="C18"/>
      <c r="D18"/>
      <c r="K18" s="53"/>
      <c r="L18" s="53"/>
      <c r="M18" s="53"/>
      <c r="N18" s="53"/>
      <c r="O18" s="53"/>
      <c r="P18" s="53"/>
      <c r="Q18" s="53"/>
      <c r="R18" s="53"/>
      <c r="S18" s="53"/>
      <c r="T18" s="53"/>
      <c r="U18" s="53"/>
      <c r="V18" s="53"/>
    </row>
    <row r="19" spans="3:22" ht="15" x14ac:dyDescent="0.25">
      <c r="C19"/>
      <c r="D19"/>
    </row>
    <row r="20" spans="3:22" ht="15" x14ac:dyDescent="0.25">
      <c r="C20"/>
      <c r="D20"/>
      <c r="L20" s="64"/>
    </row>
    <row r="21" spans="3:22" ht="15" x14ac:dyDescent="0.25">
      <c r="C21"/>
      <c r="D21"/>
      <c r="O21" s="62"/>
    </row>
    <row r="22" spans="3:22" ht="15" x14ac:dyDescent="0.25">
      <c r="C22"/>
      <c r="D22"/>
    </row>
    <row r="23" spans="3:22" ht="15" x14ac:dyDescent="0.2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3: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80" zoomScaleNormal="80" workbookViewId="0">
      <selection activeCell="D17" sqref="D17"/>
    </sheetView>
  </sheetViews>
  <sheetFormatPr defaultColWidth="9.42578125" defaultRowHeight="14.25" x14ac:dyDescent="0.2"/>
  <cols>
    <col min="1" max="1" width="8.42578125" style="2" bestFit="1" customWidth="1"/>
    <col min="2" max="2" width="15.5703125" style="2" bestFit="1" customWidth="1"/>
    <col min="3" max="4" width="11.42578125" style="2" bestFit="1" customWidth="1"/>
    <col min="5" max="5" width="10.5703125" style="2" bestFit="1" customWidth="1"/>
    <col min="6" max="6" width="10.140625" style="2" bestFit="1" customWidth="1"/>
    <col min="7" max="7" width="7.7109375" style="2" bestFit="1" customWidth="1"/>
    <col min="8" max="8" width="11.5703125" style="2" bestFit="1" customWidth="1"/>
    <col min="9" max="9" width="12.42578125" style="2" bestFit="1" customWidth="1"/>
    <col min="10" max="10" width="7.85546875" style="2" bestFit="1" customWidth="1"/>
    <col min="11" max="11" width="7.42578125" style="2" bestFit="1" customWidth="1"/>
    <col min="12" max="12" width="12.85546875" style="2" bestFit="1" customWidth="1"/>
    <col min="13" max="13" width="8" style="2" bestFit="1" customWidth="1"/>
    <col min="14" max="14" width="8.7109375" style="2" bestFit="1" customWidth="1"/>
    <col min="15" max="16384" width="9.42578125" style="2"/>
  </cols>
  <sheetData>
    <row r="1" spans="1:20" ht="17.25" customHeight="1" x14ac:dyDescent="0.2">
      <c r="A1" s="74" t="s">
        <v>7</v>
      </c>
      <c r="B1" s="12"/>
      <c r="C1" s="76" t="s">
        <v>8</v>
      </c>
      <c r="D1" s="77"/>
      <c r="E1" s="77"/>
      <c r="F1" s="77"/>
      <c r="G1" s="77"/>
      <c r="H1" s="77"/>
      <c r="I1" s="77"/>
      <c r="J1" s="77"/>
      <c r="K1" s="77"/>
      <c r="L1" s="77"/>
      <c r="M1" s="77"/>
      <c r="N1" s="78"/>
    </row>
    <row r="2" spans="1:20" ht="60" x14ac:dyDescent="0.2">
      <c r="A2" s="75"/>
      <c r="B2" s="12" t="s">
        <v>20</v>
      </c>
      <c r="C2" s="12" t="s">
        <v>10</v>
      </c>
      <c r="D2" s="12" t="s">
        <v>11</v>
      </c>
      <c r="E2" s="12" t="s">
        <v>12</v>
      </c>
      <c r="F2" s="12" t="s">
        <v>13</v>
      </c>
      <c r="G2" s="12" t="s">
        <v>24</v>
      </c>
      <c r="H2" s="12" t="s">
        <v>14</v>
      </c>
      <c r="I2" s="12" t="s">
        <v>15</v>
      </c>
      <c r="J2" s="12" t="s">
        <v>16</v>
      </c>
      <c r="K2" s="12" t="s">
        <v>17</v>
      </c>
      <c r="L2" s="12" t="s">
        <v>18</v>
      </c>
      <c r="M2" s="12" t="s">
        <v>25</v>
      </c>
      <c r="N2" s="12" t="s">
        <v>19</v>
      </c>
    </row>
    <row r="3" spans="1:20" ht="15" x14ac:dyDescent="0.25">
      <c r="A3" s="48">
        <f>SUM(C3:N3)</f>
        <v>143.07016484572006</v>
      </c>
      <c r="B3" s="47">
        <v>46195</v>
      </c>
      <c r="C3" s="60">
        <v>17.922313298319992</v>
      </c>
      <c r="D3" s="60">
        <v>-2.4870335096999989</v>
      </c>
      <c r="E3" s="60">
        <v>2.5036412000000006</v>
      </c>
      <c r="F3" s="60">
        <v>97.095764100000025</v>
      </c>
      <c r="G3" s="60">
        <v>9.7877195857000014</v>
      </c>
      <c r="H3" s="60">
        <v>-75.881717661539994</v>
      </c>
      <c r="I3" s="60">
        <v>2.8736810999999993</v>
      </c>
      <c r="J3" s="60">
        <v>40.382934821100001</v>
      </c>
      <c r="K3" s="60">
        <v>-34.23878868816</v>
      </c>
      <c r="L3" s="60">
        <v>102.54291730000004</v>
      </c>
      <c r="M3" s="60">
        <v>10.7535864</v>
      </c>
      <c r="N3" s="60">
        <v>-28.184853099999998</v>
      </c>
      <c r="P3" s="13"/>
    </row>
    <row r="4" spans="1:20" ht="15" x14ac:dyDescent="0.25">
      <c r="A4" s="48">
        <f>SUM(C4:N4)</f>
        <v>63.788342355320005</v>
      </c>
      <c r="B4" s="58">
        <v>46202</v>
      </c>
      <c r="C4" s="55">
        <v>-4.00868639796</v>
      </c>
      <c r="D4" s="55">
        <v>-16.559958995199999</v>
      </c>
      <c r="E4" s="55">
        <v>-1.9839170999999998</v>
      </c>
      <c r="F4" s="55">
        <v>-5.4253933999999999</v>
      </c>
      <c r="G4" s="55">
        <v>5.9539943818999994</v>
      </c>
      <c r="H4" s="55">
        <v>-59.113233189420001</v>
      </c>
      <c r="I4" s="55">
        <v>-0.42129499999999986</v>
      </c>
      <c r="J4" s="55">
        <v>11.212856821300001</v>
      </c>
      <c r="K4" s="55">
        <v>49.343927717699998</v>
      </c>
      <c r="L4" s="55">
        <v>-11.807945183000005</v>
      </c>
      <c r="M4" s="55">
        <v>17.119520999999999</v>
      </c>
      <c r="N4" s="55">
        <v>79.4784717</v>
      </c>
      <c r="P4" s="13"/>
    </row>
    <row r="5" spans="1:20" ht="15" x14ac:dyDescent="0.25">
      <c r="A5" s="48">
        <f>SUM(C5:N5)</f>
        <v>-225.25367097405012</v>
      </c>
      <c r="B5" s="66">
        <v>46209</v>
      </c>
      <c r="C5" s="60">
        <v>-3.1431577511599995</v>
      </c>
      <c r="D5" s="60">
        <v>-18.158084931099999</v>
      </c>
      <c r="E5" s="60">
        <v>-2.7977415999999997</v>
      </c>
      <c r="F5" s="60">
        <v>-298.24366180000004</v>
      </c>
      <c r="G5" s="60">
        <v>3.2556330870000005</v>
      </c>
      <c r="H5" s="60">
        <v>-153.92276290849009</v>
      </c>
      <c r="I5" s="60">
        <v>1.8527100000000003</v>
      </c>
      <c r="J5" s="60">
        <v>-12.156782476399997</v>
      </c>
      <c r="K5" s="60">
        <v>-3.4092254938999993</v>
      </c>
      <c r="L5" s="60">
        <v>87.073168800000005</v>
      </c>
      <c r="M5" s="60">
        <v>52.858893999999999</v>
      </c>
      <c r="N5" s="60">
        <v>121.53734009999999</v>
      </c>
      <c r="P5" s="13"/>
    </row>
    <row r="6" spans="1:20" ht="15" x14ac:dyDescent="0.25">
      <c r="A6" s="48">
        <f>SUM(C6:N6)</f>
        <v>516.7705578750099</v>
      </c>
      <c r="B6" s="58">
        <v>46216</v>
      </c>
      <c r="C6" s="55">
        <v>-1.9313568742400005</v>
      </c>
      <c r="D6" s="55">
        <v>-6.9683101862000001</v>
      </c>
      <c r="E6" s="55">
        <v>0.58409460000000013</v>
      </c>
      <c r="F6" s="55">
        <v>299.35030139999998</v>
      </c>
      <c r="G6" s="55">
        <v>0.47851634180000036</v>
      </c>
      <c r="H6" s="55">
        <v>31.629571907289993</v>
      </c>
      <c r="I6" s="55">
        <v>-1.4636403</v>
      </c>
      <c r="J6" s="55">
        <v>11.355474471699997</v>
      </c>
      <c r="K6" s="55">
        <v>-10.691161535339997</v>
      </c>
      <c r="L6" s="55">
        <v>86.934243649999985</v>
      </c>
      <c r="M6" s="55">
        <v>23.100819299999998</v>
      </c>
      <c r="N6" s="55">
        <v>84.392005099999992</v>
      </c>
      <c r="P6" s="13"/>
    </row>
    <row r="7" spans="1:20" ht="15" x14ac:dyDescent="0.25">
      <c r="A7" s="51"/>
      <c r="B7" s="41"/>
      <c r="C7" s="50"/>
      <c r="D7" s="50"/>
      <c r="E7" s="50"/>
      <c r="F7" s="50"/>
      <c r="G7" s="50"/>
      <c r="H7" s="50"/>
      <c r="I7" s="50"/>
      <c r="J7" s="50"/>
      <c r="K7" s="50"/>
      <c r="L7" s="50"/>
      <c r="M7" s="50"/>
      <c r="N7" s="50"/>
      <c r="P7" s="13"/>
    </row>
    <row r="8" spans="1:20" x14ac:dyDescent="0.2">
      <c r="B8" s="10" t="s">
        <v>5</v>
      </c>
      <c r="C8" s="10"/>
      <c r="D8" s="10"/>
    </row>
    <row r="9" spans="1:20" x14ac:dyDescent="0.2">
      <c r="B9" s="10" t="s">
        <v>29</v>
      </c>
      <c r="C9" s="10"/>
      <c r="D9" s="10"/>
    </row>
    <row r="10" spans="1:20" x14ac:dyDescent="0.2">
      <c r="B10" s="10" t="s">
        <v>6</v>
      </c>
      <c r="C10" s="10"/>
      <c r="D10" s="10"/>
    </row>
    <row r="11" spans="1:20" x14ac:dyDescent="0.2">
      <c r="B11" s="10" t="s">
        <v>26</v>
      </c>
      <c r="C11" s="11"/>
      <c r="D11" s="11"/>
    </row>
    <row r="12" spans="1:20" ht="15" x14ac:dyDescent="0.25">
      <c r="C12" s="39"/>
      <c r="D12" s="39"/>
      <c r="E12" s="39"/>
      <c r="F12" s="39"/>
      <c r="G12" s="39"/>
      <c r="H12" s="39"/>
      <c r="I12" s="39"/>
      <c r="J12" s="39"/>
      <c r="K12" s="39"/>
      <c r="L12" s="39"/>
      <c r="M12" s="39"/>
      <c r="N12" s="39"/>
    </row>
    <row r="13" spans="1:20" ht="15" x14ac:dyDescent="0.25">
      <c r="B13"/>
      <c r="C13" s="39"/>
      <c r="D13" s="39"/>
      <c r="E13" s="39"/>
      <c r="F13" s="39"/>
      <c r="G13" s="39"/>
      <c r="H13" s="39"/>
      <c r="I13" s="39"/>
      <c r="J13" s="39"/>
      <c r="K13" s="39"/>
      <c r="L13" s="39"/>
      <c r="M13" s="39"/>
      <c r="N13" s="39"/>
      <c r="O13" s="37"/>
      <c r="P13"/>
      <c r="Q13"/>
      <c r="R13"/>
    </row>
    <row r="14" spans="1:20" ht="15" x14ac:dyDescent="0.25">
      <c r="C14"/>
      <c r="D14"/>
      <c r="E14"/>
      <c r="F14"/>
      <c r="G14"/>
      <c r="H14"/>
      <c r="I14"/>
      <c r="J14"/>
      <c r="K14"/>
      <c r="L14"/>
      <c r="M14"/>
      <c r="N14"/>
      <c r="O14"/>
      <c r="P14"/>
      <c r="Q14"/>
      <c r="R14"/>
    </row>
    <row r="15" spans="1:20" ht="15" x14ac:dyDescent="0.25">
      <c r="C15"/>
      <c r="D15"/>
      <c r="E15"/>
      <c r="F15"/>
      <c r="G15"/>
      <c r="H15"/>
      <c r="I15" s="55"/>
      <c r="J15" s="55"/>
      <c r="K15" s="55"/>
      <c r="L15" s="55"/>
      <c r="M15" s="55"/>
      <c r="N15" s="55"/>
      <c r="O15" s="55"/>
      <c r="P15" s="55"/>
      <c r="Q15" s="55"/>
      <c r="R15" s="55"/>
      <c r="S15" s="55"/>
      <c r="T15" s="55"/>
    </row>
    <row r="16" spans="1:20" ht="15" x14ac:dyDescent="0.25">
      <c r="C16" s="36"/>
      <c r="D16" s="36"/>
      <c r="E16" s="36"/>
      <c r="F16" s="36"/>
      <c r="G16" s="36"/>
      <c r="H16" s="36"/>
      <c r="I16" s="36"/>
      <c r="J16" s="36"/>
      <c r="K16" s="36"/>
      <c r="L16" s="36"/>
      <c r="M16" s="36"/>
      <c r="N16" s="36"/>
    </row>
    <row r="17" spans="3:14" ht="15" x14ac:dyDescent="0.25">
      <c r="C17"/>
      <c r="D17"/>
      <c r="E17"/>
      <c r="F17"/>
      <c r="G17"/>
      <c r="H17"/>
      <c r="I17"/>
      <c r="J17"/>
      <c r="K17"/>
      <c r="L17"/>
      <c r="M17"/>
      <c r="N17"/>
    </row>
    <row r="18" spans="3:14" ht="15" x14ac:dyDescent="0.25">
      <c r="C18" s="37"/>
      <c r="D18" s="37"/>
      <c r="E18" s="37"/>
      <c r="F18" s="37"/>
      <c r="G18" s="37"/>
      <c r="H18" s="37"/>
      <c r="I18" s="37"/>
      <c r="J18" s="37"/>
      <c r="K18" s="37"/>
      <c r="L18" s="37"/>
      <c r="M18" s="37"/>
      <c r="N18" s="37"/>
    </row>
    <row r="19" spans="3:14" ht="15" x14ac:dyDescent="0.25">
      <c r="C19"/>
      <c r="D19"/>
      <c r="M19" s="65"/>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3:A7"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Ethan Ong</cp:lastModifiedBy>
  <cp:lastPrinted>2024-07-01T01:26:22Z</cp:lastPrinted>
  <dcterms:created xsi:type="dcterms:W3CDTF">2020-01-13T01:31:10Z</dcterms:created>
  <dcterms:modified xsi:type="dcterms:W3CDTF">2026-07-20T01:26:09Z</dcterms:modified>
</cp:coreProperties>
</file>