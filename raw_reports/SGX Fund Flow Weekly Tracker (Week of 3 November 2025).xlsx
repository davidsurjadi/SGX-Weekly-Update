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393B276C-957C-4627-88F5-EF80F9BBE1B8}"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<sst xmlns="http://schemas.openxmlformats.org/spreadsheetml/2006/main" count="139" uniqueCount="85">
  <si>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</si>
  <si>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</si>
  <si>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</si>
  <si>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</si>
  <si>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</si>
  <si>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</si>
  <si>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</si>
  <si>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</si>
  <si>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</si>
  <si>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</si>
  <si>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</si>
  <si>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</si>
  <si>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</si>
  <si>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</si>
  <si>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</si>
  <si>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</si>
  <si>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</si>
  <si>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</si>
  <si>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</si>
  <si>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</si>
  <si>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</si>
  <si>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</si>
  <si>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</si>
  <si>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</si>
  <si>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DBS</t>
  </si>
  <si>
    <t>UOB</t>
  </si>
  <si>
    <t>SGX</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</si>
  <si>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</si>
  <si>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</si>
  <si>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</si>
  <si>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</si>
  <si>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</si>
  <si>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</si>
  <si>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</si>
  <si>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</si>
  <si>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</si>
  <si>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</si>
  <si>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</si>
  <si>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</si>
  <si>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</si>
  <si>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</si>
  <si>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</si>
  <si>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Singtel</t>
  </si>
  <si>
    <t>Z74</t>
  </si>
  <si>
    <t>CapitaLand Integrated Commercial Trust</t>
  </si>
  <si>
    <t>C38U</t>
  </si>
  <si>
    <t>City Developments</t>
  </si>
  <si>
    <t>C09</t>
  </si>
  <si>
    <t>Genting Singapore</t>
  </si>
  <si>
    <t>G13</t>
  </si>
  <si>
    <t>Jardine Matheson</t>
  </si>
  <si>
    <t>J36</t>
  </si>
  <si>
    <t>OCBC</t>
  </si>
  <si>
    <t>O39</t>
  </si>
  <si>
    <t>SIA</t>
  </si>
  <si>
    <t>C6L</t>
  </si>
  <si>
    <t>Wilmar International</t>
  </si>
  <si>
    <t>F34</t>
  </si>
  <si>
    <t xml:space="preserve">Frasers Centrepoint Trust </t>
  </si>
  <si>
    <t>J69U</t>
  </si>
  <si>
    <t>Mapletree Industrial Trust</t>
  </si>
  <si>
    <t>ME8U</t>
  </si>
  <si>
    <t>Venture Corporation</t>
  </si>
  <si>
    <t>V03</t>
  </si>
  <si>
    <t>UMS</t>
  </si>
  <si>
    <t>558</t>
  </si>
  <si>
    <t>UOL</t>
  </si>
  <si>
    <t>U14</t>
  </si>
  <si>
    <t>ChinaSunsine</t>
  </si>
  <si>
    <t>QES</t>
  </si>
  <si>
    <t>Sembcorp Industries</t>
  </si>
  <si>
    <t>U96</t>
  </si>
  <si>
    <t>Parkway Life REIT</t>
  </si>
  <si>
    <t>C2PU</t>
  </si>
  <si>
    <t>ST Engineering</t>
  </si>
  <si>
    <t>S63</t>
  </si>
  <si>
    <t>Yangzijiang Shipbuilding</t>
  </si>
  <si>
    <t>BS6</t>
  </si>
  <si>
    <t>Haw Par</t>
  </si>
  <si>
    <t>H02</t>
  </si>
  <si>
    <t>Sheng Siong</t>
  </si>
  <si>
    <t>OV8</t>
  </si>
  <si>
    <t>Week of 3 November 2025</t>
  </si>
  <si>
    <r>
      <t xml:space="preserve">Institutional investors net </t>
    </r>
    <r>
      <rPr>
        <b/>
        <sz val="11"/>
        <rFont val="Arial"/>
        <family val="2"/>
      </rPr>
      <t>buy</t>
    </r>
    <r>
      <rPr>
        <sz val="11"/>
        <rFont val="Arial"/>
        <family val="2"/>
      </rPr>
      <t xml:space="preserve"> (+S$118.4m) vs. (-S$19.4m) a week ago</t>
    </r>
  </si>
  <si>
    <r>
      <t xml:space="preserve">Retail investors net </t>
    </r>
    <r>
      <rPr>
        <b/>
        <sz val="11"/>
        <rFont val="Arial"/>
        <family val="2"/>
      </rPr>
      <t>sell</t>
    </r>
    <r>
      <rPr>
        <sz val="11"/>
        <rFont val="Arial"/>
        <family val="2"/>
      </rPr>
      <t xml:space="preserve"> (-S$29.5m) vs. (-S$9.0m)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</si>
</sst>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3 November 2025</v>
      </c>
      <c r="I5" s="2"/>
    </row>
    <row r="6" spans="1:13" ht="15" x14ac:dyDescent="0.25">
      <c r="A6" s="28" t="s">
        <v>52</v>
      </c>
      <c r="B6" s="46" t="s">
        <v>53</v>
      </c>
      <c r="C6" s="5">
        <v>181.88101599999999</v>
      </c>
      <c r="D6" s="28" t="s">
        <v>25</v>
      </c>
      <c r="E6" s="46" t="s">
        <v>22</v>
      </c>
      <c r="F6" s="5">
        <v>-106.185317</v>
      </c>
      <c r="G6" s="61"/>
      <c r="H6"/>
      <c r="I6" s="2"/>
      <c r="M6"/>
    </row>
    <row r="7" spans="1:13" ht="15" x14ac:dyDescent="0.25">
      <c r="A7" s="29" t="s">
        <v>42</v>
      </c>
      <c r="B7" s="9" t="s">
        <v>43</v>
      </c>
      <c r="C7" s="7">
        <v>134.31817760000001</v>
      </c>
      <c r="D7" s="29" t="s">
        <v>44</v>
      </c>
      <c r="E7" s="9" t="s">
        <v>45</v>
      </c>
      <c r="F7" s="7">
        <v>-57.091346999999999</v>
      </c>
      <c r="G7" s="61"/>
      <c r="H7"/>
      <c r="I7" s="2"/>
      <c r="L7"/>
      <c r="M7"/>
    </row>
    <row r="8" spans="1:13" ht="15" x14ac:dyDescent="0.25">
      <c r="A8" s="30" t="s">
        <v>56</v>
      </c>
      <c r="B8" s="46" t="s">
        <v>57</v>
      </c>
      <c r="C8" s="5">
        <v>33.918143000000001</v>
      </c>
      <c r="D8" s="30" t="s">
        <v>68</v>
      </c>
      <c r="E8" s="46" t="s">
        <v>69</v>
      </c>
      <c r="F8" s="5">
        <v>-27.637637000000002</v>
      </c>
      <c r="G8" s="61"/>
      <c r="H8"/>
      <c r="I8" s="2"/>
      <c r="L8"/>
      <c r="M8"/>
    </row>
    <row r="9" spans="1:13" ht="15" x14ac:dyDescent="0.25">
      <c r="A9" s="29" t="s">
        <v>50</v>
      </c>
      <c r="B9" s="9" t="s">
        <v>51</v>
      </c>
      <c r="C9" s="7">
        <v>23.422549405600009</v>
      </c>
      <c r="D9" s="29" t="s">
        <v>60</v>
      </c>
      <c r="E9" s="9" t="s">
        <v>61</v>
      </c>
      <c r="F9" s="7">
        <v>-25.882299</v>
      </c>
      <c r="G9" s="61"/>
      <c r="H9"/>
      <c r="I9" s="2"/>
      <c r="L9"/>
      <c r="M9"/>
    </row>
    <row r="10" spans="1:13" ht="15" x14ac:dyDescent="0.25">
      <c r="A10" s="30" t="s">
        <v>24</v>
      </c>
      <c r="B10" s="46" t="s">
        <v>21</v>
      </c>
      <c r="C10" s="5">
        <v>19.164158</v>
      </c>
      <c r="D10" s="30" t="s">
        <v>58</v>
      </c>
      <c r="E10" s="46" t="s">
        <v>59</v>
      </c>
      <c r="F10" s="5">
        <v>-23.845967999999999</v>
      </c>
      <c r="G10" s="61"/>
      <c r="H10"/>
      <c r="I10" s="2"/>
      <c r="L10"/>
      <c r="M10"/>
    </row>
    <row r="11" spans="1:13" ht="15" x14ac:dyDescent="0.25">
      <c r="A11" s="29" t="s">
        <v>62</v>
      </c>
      <c r="B11" s="9" t="s">
        <v>63</v>
      </c>
      <c r="C11" s="7">
        <v>14.308517</v>
      </c>
      <c r="D11" s="29" t="s">
        <v>70</v>
      </c>
      <c r="E11" s="9" t="s">
        <v>71</v>
      </c>
      <c r="F11" s="7">
        <v>-22.189864</v>
      </c>
      <c r="G11" s="61"/>
      <c r="H11"/>
      <c r="I11" s="2"/>
      <c r="L11"/>
      <c r="M11"/>
    </row>
    <row r="12" spans="1:13" ht="15" x14ac:dyDescent="0.25">
      <c r="A12" s="30" t="s">
        <v>48</v>
      </c>
      <c r="B12" s="46" t="s">
        <v>49</v>
      </c>
      <c r="C12" s="5">
        <v>13.1446995</v>
      </c>
      <c r="D12" s="30" t="s">
        <v>46</v>
      </c>
      <c r="E12" s="46" t="s">
        <v>47</v>
      </c>
      <c r="F12" s="5">
        <v>-15.379759</v>
      </c>
      <c r="G12" s="61"/>
      <c r="H12"/>
      <c r="I12" s="2"/>
      <c r="L12"/>
      <c r="M12"/>
    </row>
    <row r="13" spans="1:13" ht="15" x14ac:dyDescent="0.25">
      <c r="A13" s="29" t="s">
        <v>64</v>
      </c>
      <c r="B13" s="9" t="s">
        <v>65</v>
      </c>
      <c r="C13" s="7">
        <v>12.737646</v>
      </c>
      <c r="D13" s="29" t="s">
        <v>72</v>
      </c>
      <c r="E13" s="9" t="s">
        <v>73</v>
      </c>
      <c r="F13" s="7">
        <v>-13.544753</v>
      </c>
      <c r="G13" s="61"/>
      <c r="H13"/>
      <c r="I13" s="2"/>
      <c r="L13"/>
      <c r="M13"/>
    </row>
    <row r="14" spans="1:13" ht="15" x14ac:dyDescent="0.25">
      <c r="A14" s="30" t="s">
        <v>38</v>
      </c>
      <c r="B14" s="46" t="s">
        <v>39</v>
      </c>
      <c r="C14" s="5">
        <v>11.610901</v>
      </c>
      <c r="D14" s="30" t="s">
        <v>26</v>
      </c>
      <c r="E14" s="46" t="s">
        <v>23</v>
      </c>
      <c r="F14" s="5">
        <v>-11.841761</v>
      </c>
      <c r="G14" s="61"/>
      <c r="H14"/>
      <c r="I14" s="2"/>
      <c r="L14"/>
      <c r="M14"/>
    </row>
    <row r="15" spans="1:13" ht="15" x14ac:dyDescent="0.25">
      <c r="A15" s="31" t="s">
        <v>66</v>
      </c>
      <c r="B15" s="27" t="s">
        <v>67</v>
      </c>
      <c r="C15" s="8">
        <v>10.264293</v>
      </c>
      <c r="D15" s="31" t="s">
        <v>74</v>
      </c>
      <c r="E15" s="27" t="s">
        <v>75</v>
      </c>
      <c r="F15" s="8">
        <v>-11.480002000000001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3 November 2025</v>
      </c>
      <c r="D18" s="45" t="s">
        <v>4</v>
      </c>
      <c r="E18" s="43" t="s">
        <v>1</v>
      </c>
      <c r="F18" s="44" t="str">
        <f>+C18</f>
        <v>Week of 3 November 2025</v>
      </c>
    </row>
    <row r="19" spans="1:9" ht="15" x14ac:dyDescent="0.25">
      <c r="A19" s="30" t="s">
        <v>25</v>
      </c>
      <c r="B19" s="46" t="s">
        <v>22</v>
      </c>
      <c r="C19" s="16">
        <v>164.63073700000001</v>
      </c>
      <c r="D19" s="30" t="s">
        <v>52</v>
      </c>
      <c r="E19" s="15" t="s">
        <v>53</v>
      </c>
      <c r="F19" s="5">
        <v>-217.663186</v>
      </c>
      <c r="G19" s="61"/>
      <c r="I19" s="2"/>
    </row>
    <row r="20" spans="1:9" ht="15" x14ac:dyDescent="0.25">
      <c r="A20" s="29" t="s">
        <v>60</v>
      </c>
      <c r="B20" s="9" t="s">
        <v>61</v>
      </c>
      <c r="C20" s="7">
        <v>31.706416000000001</v>
      </c>
      <c r="D20" s="29" t="s">
        <v>42</v>
      </c>
      <c r="E20" s="17" t="s">
        <v>43</v>
      </c>
      <c r="F20" s="7">
        <v>-100.8774456</v>
      </c>
      <c r="G20" s="61"/>
      <c r="I20" s="2"/>
    </row>
    <row r="21" spans="1:9" ht="15" x14ac:dyDescent="0.25">
      <c r="A21" s="30" t="s">
        <v>70</v>
      </c>
      <c r="B21" s="46" t="s">
        <v>71</v>
      </c>
      <c r="C21" s="5">
        <v>29.996465000000001</v>
      </c>
      <c r="D21" s="30" t="s">
        <v>24</v>
      </c>
      <c r="E21" s="6" t="s">
        <v>21</v>
      </c>
      <c r="F21" s="5">
        <v>-55.328733</v>
      </c>
      <c r="G21" s="61"/>
      <c r="I21" s="2"/>
    </row>
    <row r="22" spans="1:9" ht="15" x14ac:dyDescent="0.25">
      <c r="A22" s="29" t="s">
        <v>68</v>
      </c>
      <c r="B22" s="9" t="s">
        <v>69</v>
      </c>
      <c r="C22" s="7">
        <v>28.1372955</v>
      </c>
      <c r="D22" s="29" t="s">
        <v>56</v>
      </c>
      <c r="E22" s="17" t="s">
        <v>57</v>
      </c>
      <c r="F22" s="7">
        <v>-38.742963000000003</v>
      </c>
      <c r="G22" s="61"/>
      <c r="I22" s="2"/>
    </row>
    <row r="23" spans="1:9" ht="15" x14ac:dyDescent="0.25">
      <c r="A23" s="30" t="s">
        <v>76</v>
      </c>
      <c r="B23" s="46" t="s">
        <v>77</v>
      </c>
      <c r="C23" s="5">
        <v>28.069120000000002</v>
      </c>
      <c r="D23" s="30" t="s">
        <v>48</v>
      </c>
      <c r="E23" s="6" t="s">
        <v>49</v>
      </c>
      <c r="F23" s="5">
        <v>-13.059435499999999</v>
      </c>
      <c r="G23" s="61"/>
      <c r="I23" s="2"/>
    </row>
    <row r="24" spans="1:9" ht="15" x14ac:dyDescent="0.25">
      <c r="A24" s="29" t="s">
        <v>74</v>
      </c>
      <c r="B24" s="9" t="s">
        <v>75</v>
      </c>
      <c r="C24" s="7">
        <v>16.545176000000001</v>
      </c>
      <c r="D24" s="29" t="s">
        <v>64</v>
      </c>
      <c r="E24" s="17" t="s">
        <v>65</v>
      </c>
      <c r="F24" s="7">
        <v>-11.336302999999999</v>
      </c>
      <c r="G24" s="61"/>
      <c r="I24" s="2"/>
    </row>
    <row r="25" spans="1:9" ht="15" x14ac:dyDescent="0.25">
      <c r="A25" s="30" t="s">
        <v>40</v>
      </c>
      <c r="B25" s="46" t="s">
        <v>41</v>
      </c>
      <c r="C25" s="5">
        <v>15.833168000000001</v>
      </c>
      <c r="D25" s="30" t="s">
        <v>62</v>
      </c>
      <c r="E25" s="6" t="s">
        <v>63</v>
      </c>
      <c r="F25" s="5">
        <v>-9.8215229999999991</v>
      </c>
      <c r="G25" s="61"/>
      <c r="I25" s="2"/>
    </row>
    <row r="26" spans="1:9" ht="15" x14ac:dyDescent="0.25">
      <c r="A26" s="29" t="s">
        <v>26</v>
      </c>
      <c r="B26" s="9" t="s">
        <v>23</v>
      </c>
      <c r="C26" s="7">
        <v>14.879818</v>
      </c>
      <c r="D26" s="29" t="s">
        <v>78</v>
      </c>
      <c r="E26" s="17" t="s">
        <v>79</v>
      </c>
      <c r="F26" s="7">
        <v>-7.6324069999999997</v>
      </c>
      <c r="G26" s="61"/>
      <c r="I26" s="2"/>
    </row>
    <row r="27" spans="1:9" ht="15" x14ac:dyDescent="0.25">
      <c r="A27" s="30" t="s">
        <v>44</v>
      </c>
      <c r="B27" s="46" t="s">
        <v>45</v>
      </c>
      <c r="C27" s="5">
        <v>14.677500999999999</v>
      </c>
      <c r="D27" s="30" t="s">
        <v>80</v>
      </c>
      <c r="E27" s="6" t="s">
        <v>81</v>
      </c>
      <c r="F27" s="5">
        <v>-7.5073189999999999</v>
      </c>
      <c r="G27" s="61"/>
      <c r="I27" s="2"/>
    </row>
    <row r="28" spans="1:9" ht="15" x14ac:dyDescent="0.25">
      <c r="A28" s="27" t="s">
        <v>54</v>
      </c>
      <c r="B28" s="56" t="s">
        <v>55</v>
      </c>
      <c r="C28" s="8">
        <v>13.657292</v>
      </c>
      <c r="D28" s="27" t="s">
        <v>50</v>
      </c>
      <c r="E28" s="56" t="s">
        <v>51</v>
      </c>
      <c r="F28" s="8">
        <v>-7.4232159697000011</v>
      </c>
      <c r="G28" s="61"/>
      <c r="I28" s="2"/>
    </row>
    <row r="29" spans="1:9" x14ac:dyDescent="0.2">
      <c r="A29" s="9"/>
      <c r="B29" s="9"/>
      <c r="C29" s="9"/>
      <c r="D29" s="9"/>
      <c r="E29" s="9"/>
      <c r="F29" s="9"/>
    </row>
    <row r="30" spans="1:9" x14ac:dyDescent="0.2">
      <c r="A30" s="10" t="s">
        <v>34</v>
      </c>
      <c r="B30" s="10"/>
      <c r="C30" s="9"/>
      <c r="D30" s="9"/>
      <c r="E30" s="9"/>
      <c r="F30" s="9"/>
    </row>
    <row r="31" spans="1:9" x14ac:dyDescent="0.2">
      <c r="A31" s="10" t="s">
        <v>31</v>
      </c>
      <c r="B31" s="10"/>
      <c r="C31" s="9"/>
      <c r="D31" s="9"/>
      <c r="E31" s="9"/>
      <c r="F31" s="9"/>
    </row>
    <row r="32" spans="1:9" x14ac:dyDescent="0.2">
      <c r="A32" s="10" t="s">
        <v>32</v>
      </c>
      <c r="B32" s="10"/>
      <c r="C32" s="9"/>
      <c r="D32" s="9"/>
      <c r="E32" s="9"/>
      <c r="F32" s="9"/>
    </row>
    <row r="33" spans="1:9" x14ac:dyDescent="0.2">
      <c r="A33" s="10" t="s">
        <v>6</v>
      </c>
      <c r="B33" s="10"/>
      <c r="C33" s="9"/>
      <c r="D33" s="9"/>
      <c r="E33" s="9"/>
      <c r="F33" s="9"/>
    </row>
    <row r="34" spans="1:9" x14ac:dyDescent="0.2">
      <c r="A34" s="57" t="s">
        <v>30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27</v>
      </c>
      <c r="B37" s="19"/>
      <c r="C37" s="20"/>
      <c r="D37" s="20"/>
      <c r="E37" s="19"/>
      <c r="F37" s="19"/>
      <c r="I37" s="32"/>
    </row>
    <row r="38" spans="1:9" customFormat="1" ht="15" x14ac:dyDescent="0.25">
      <c r="A38" s="21" t="s">
        <v>36</v>
      </c>
      <c r="B38" s="19"/>
      <c r="C38" s="20"/>
      <c r="D38" s="20"/>
      <c r="E38" s="19"/>
      <c r="F38" s="19"/>
      <c r="I38" s="32"/>
    </row>
    <row r="39" spans="1:9" s="25" customFormat="1" ht="19.350000000000001" customHeight="1" x14ac:dyDescent="0.25">
      <c r="A39" s="22" t="s">
        <v>35</v>
      </c>
      <c r="B39" s="23"/>
      <c r="C39" s="24"/>
      <c r="D39" s="24"/>
      <c r="E39" s="23"/>
      <c r="F39" s="23"/>
      <c r="I39" s="35"/>
    </row>
    <row r="40" spans="1:9" ht="169.35" customHeight="1" x14ac:dyDescent="0.2">
      <c r="A40" s="68" t="s">
        <v>37</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3 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28</v>
      </c>
      <c r="H2" s="12" t="s">
        <v>14</v>
      </c>
      <c r="I2" s="12" t="s">
        <v>15</v>
      </c>
      <c r="J2" s="12" t="s">
        <v>16</v>
      </c>
      <c r="K2" s="12" t="s">
        <v>17</v>
      </c>
      <c r="L2" s="12" t="s">
        <v>18</v>
      </c>
      <c r="M2" s="12" t="s">
        <v>29</v>
      </c>
      <c r="N2" s="12" t="s">
        <v>19</v>
      </c>
    </row>
    <row r="3" spans="1:15" ht="15" x14ac:dyDescent="0.25">
      <c r="A3" s="38">
        <f>SUM(C3:N3)</f>
        <v>-123.5466675366</v>
      </c>
      <c r="B3" s="54">
        <v>45943</v>
      </c>
      <c r="C3" s="14">
        <v>9.9774598213999965</v>
      </c>
      <c r="D3" s="14">
        <v>15.415690833399999</v>
      </c>
      <c r="E3" s="14">
        <v>-1.2774154999999998</v>
      </c>
      <c r="F3" s="14">
        <v>-168.8768699</v>
      </c>
      <c r="G3" s="14">
        <v>10.272012863599999</v>
      </c>
      <c r="H3" s="14">
        <v>-19.308226418499995</v>
      </c>
      <c r="I3" s="14">
        <v>-2.0166366999999994</v>
      </c>
      <c r="J3" s="14">
        <v>-3.9714306536999997</v>
      </c>
      <c r="K3" s="14">
        <v>0.45106026719999992</v>
      </c>
      <c r="L3" s="14">
        <v>-5.8962343500000003</v>
      </c>
      <c r="M3" s="14">
        <v>44.598087400000004</v>
      </c>
      <c r="N3" s="14">
        <v>-2.9141652000000002</v>
      </c>
    </row>
    <row r="4" spans="1:15" ht="15" x14ac:dyDescent="0.25">
      <c r="A4" s="38">
        <f>SUM(C4:N4)</f>
        <v>134.39361842692</v>
      </c>
      <c r="B4" s="42">
        <v>45950</v>
      </c>
      <c r="C4" s="53">
        <v>34.305512102010006</v>
      </c>
      <c r="D4" s="53">
        <v>17.479316376199996</v>
      </c>
      <c r="E4" s="53">
        <v>-2.2257205000000009</v>
      </c>
      <c r="F4" s="53">
        <v>-87.396050100000011</v>
      </c>
      <c r="G4" s="53">
        <v>2.9000607322</v>
      </c>
      <c r="H4" s="53">
        <v>48.70678908715</v>
      </c>
      <c r="I4" s="53">
        <v>3.9399317000000003</v>
      </c>
      <c r="J4" s="53">
        <v>32.230161142900009</v>
      </c>
      <c r="K4" s="53">
        <v>-5.1129063635400014</v>
      </c>
      <c r="L4" s="53">
        <v>34.728839450000002</v>
      </c>
      <c r="M4" s="53">
        <v>37.997015700000006</v>
      </c>
      <c r="N4" s="53">
        <v>16.8406691</v>
      </c>
    </row>
    <row r="5" spans="1:15" ht="15" x14ac:dyDescent="0.25">
      <c r="A5" s="67">
        <f>SUM(C5:N5)</f>
        <v>-19.354216936900027</v>
      </c>
      <c r="B5" s="66">
        <v>45957</v>
      </c>
      <c r="C5" s="14">
        <v>2.2952155350100001</v>
      </c>
      <c r="D5" s="14">
        <v>28.095505251600009</v>
      </c>
      <c r="E5" s="14">
        <v>-1.8830075000000002</v>
      </c>
      <c r="F5" s="14">
        <v>-55.078587999999996</v>
      </c>
      <c r="G5" s="14">
        <v>7.2059723488999996</v>
      </c>
      <c r="H5" s="14">
        <v>31.662522144049959</v>
      </c>
      <c r="I5" s="14">
        <v>-2.3098356000000004</v>
      </c>
      <c r="J5" s="14">
        <v>-1.8625260043000009</v>
      </c>
      <c r="K5" s="14">
        <v>-38.601867262159992</v>
      </c>
      <c r="L5" s="14">
        <v>26.634103849999992</v>
      </c>
      <c r="M5" s="14">
        <v>-14.4179145</v>
      </c>
      <c r="N5" s="14">
        <v>-1.0937972</v>
      </c>
    </row>
    <row r="6" spans="1:15" ht="15" x14ac:dyDescent="0.25">
      <c r="A6" s="67">
        <f>SUM(C6:N6)</f>
        <v>118.41489016752</v>
      </c>
      <c r="B6" s="66">
        <v>45964</v>
      </c>
      <c r="C6" s="14">
        <v>17.096682984459996</v>
      </c>
      <c r="D6" s="14">
        <v>37.866665036399993</v>
      </c>
      <c r="E6" s="14">
        <v>-0.62935830000000015</v>
      </c>
      <c r="F6" s="14">
        <v>77.622788</v>
      </c>
      <c r="G6" s="14">
        <v>3.1551516542999996</v>
      </c>
      <c r="H6" s="14">
        <v>10.452242922100002</v>
      </c>
      <c r="I6" s="14">
        <v>-28.450091799999999</v>
      </c>
      <c r="J6" s="14">
        <v>-17.151322378300005</v>
      </c>
      <c r="K6" s="14">
        <v>-121.77508420143997</v>
      </c>
      <c r="L6" s="14">
        <v>33.410060549999997</v>
      </c>
      <c r="M6" s="14">
        <v>133.39672570000002</v>
      </c>
      <c r="N6" s="14">
        <v>-26.57957</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31</v>
      </c>
      <c r="C9" s="10"/>
      <c r="D9" s="10"/>
    </row>
    <row r="10" spans="1:15" x14ac:dyDescent="0.2">
      <c r="B10" s="10" t="s">
        <v>6</v>
      </c>
      <c r="C10" s="10"/>
      <c r="D10" s="10"/>
    </row>
    <row r="11" spans="1:15" x14ac:dyDescent="0.2">
      <c r="B11" s="10" t="s">
        <v>30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28</v>
      </c>
      <c r="H2" s="12" t="s">
        <v>14</v>
      </c>
      <c r="I2" s="12" t="s">
        <v>15</v>
      </c>
      <c r="J2" s="12" t="s">
        <v>16</v>
      </c>
      <c r="K2" s="12" t="s">
        <v>17</v>
      </c>
      <c r="L2" s="12" t="s">
        <v>18</v>
      </c>
      <c r="M2" s="12" t="s">
        <v>29</v>
      </c>
      <c r="N2" s="12" t="s">
        <v>19</v>
      </c>
    </row>
    <row r="3" spans="1:20" ht="15" x14ac:dyDescent="0.25">
      <c r="A3" s="48">
        <f>SUM(C3:N3)</f>
        <v>411.99441855474993</v>
      </c>
      <c r="B3" s="47">
        <v>45943</v>
      </c>
      <c r="C3" s="60">
        <v>-0.28146037732000029</v>
      </c>
      <c r="D3" s="60">
        <v>-10.451265347900002</v>
      </c>
      <c r="E3" s="60">
        <v>-0.22945819999999992</v>
      </c>
      <c r="F3" s="60">
        <v>372.08770609999993</v>
      </c>
      <c r="G3" s="60">
        <v>-10.096085586900001</v>
      </c>
      <c r="H3" s="60">
        <v>86.158745394750014</v>
      </c>
      <c r="I3" s="60">
        <v>3.9864682000000009</v>
      </c>
      <c r="J3" s="60">
        <v>6.6946983545999972</v>
      </c>
      <c r="K3" s="60">
        <v>-26.799091782479998</v>
      </c>
      <c r="L3" s="60">
        <v>13.244614299999997</v>
      </c>
      <c r="M3" s="60">
        <v>-13.514998500000001</v>
      </c>
      <c r="N3" s="60">
        <v>-8.805454000000001</v>
      </c>
      <c r="P3" s="13"/>
    </row>
    <row r="4" spans="1:20" ht="15" x14ac:dyDescent="0.25">
      <c r="A4" s="48">
        <f>SUM(C4:N4)</f>
        <v>-249.77760275888994</v>
      </c>
      <c r="B4" s="58">
        <v>45950</v>
      </c>
      <c r="C4" s="55">
        <v>-46.07840635402998</v>
      </c>
      <c r="D4" s="55">
        <v>-26.859761028599998</v>
      </c>
      <c r="E4" s="55">
        <v>0.93962460000000003</v>
      </c>
      <c r="F4" s="55">
        <v>76.065337200000002</v>
      </c>
      <c r="G4" s="55">
        <v>-5.9826598722000002</v>
      </c>
      <c r="H4" s="55">
        <v>-80.056387298299981</v>
      </c>
      <c r="I4" s="55">
        <v>-7.2438456000000011</v>
      </c>
      <c r="J4" s="55">
        <v>-38.624541928799999</v>
      </c>
      <c r="K4" s="55">
        <v>-35.829608576959991</v>
      </c>
      <c r="L4" s="55">
        <v>-43.979815099999996</v>
      </c>
      <c r="M4" s="55">
        <v>-28.324457500000001</v>
      </c>
      <c r="N4" s="55">
        <v>-13.803081299999999</v>
      </c>
      <c r="P4" s="13"/>
    </row>
    <row r="5" spans="1:20" ht="15" x14ac:dyDescent="0.25">
      <c r="A5" s="48">
        <f>SUM(C5:N5)</f>
        <v>-8.9627654144299775</v>
      </c>
      <c r="B5" s="58">
        <v>45957</v>
      </c>
      <c r="C5" s="55">
        <v>3.4932825527499998</v>
      </c>
      <c r="D5" s="55">
        <v>-21.646476479000004</v>
      </c>
      <c r="E5" s="55">
        <v>1.5754862999999999</v>
      </c>
      <c r="F5" s="55">
        <v>-19.615969299999989</v>
      </c>
      <c r="G5" s="55">
        <v>-1.7556930536000004</v>
      </c>
      <c r="H5" s="55">
        <v>-16.043016242049987</v>
      </c>
      <c r="I5" s="55">
        <v>2.3495814000000004</v>
      </c>
      <c r="J5" s="55">
        <v>18.252294962200001</v>
      </c>
      <c r="K5" s="55">
        <v>47.784406895269996</v>
      </c>
      <c r="L5" s="55">
        <v>-41.091232949999998</v>
      </c>
      <c r="M5" s="55">
        <v>16.264522400000001</v>
      </c>
      <c r="N5" s="55">
        <v>1.4700481000000001</v>
      </c>
      <c r="P5" s="13"/>
    </row>
    <row r="6" spans="1:20" ht="15" x14ac:dyDescent="0.25">
      <c r="A6" s="48">
        <f>SUM(C6:N6)</f>
        <v>-29.485818042360108</v>
      </c>
      <c r="B6" s="58">
        <v>45964</v>
      </c>
      <c r="C6" s="55">
        <v>-19.587091292659995</v>
      </c>
      <c r="D6" s="55">
        <v>-35.047379442400015</v>
      </c>
      <c r="E6" s="55">
        <v>1.9738951000000002</v>
      </c>
      <c r="F6" s="55">
        <v>-76.236504300000064</v>
      </c>
      <c r="G6" s="55">
        <v>-8.0690594636999986</v>
      </c>
      <c r="H6" s="55">
        <v>58.735292425050012</v>
      </c>
      <c r="I6" s="55">
        <v>27.382653799999996</v>
      </c>
      <c r="J6" s="55">
        <v>17.891465246999996</v>
      </c>
      <c r="K6" s="55">
        <v>89.042223234349962</v>
      </c>
      <c r="L6" s="55">
        <v>-16.05122175</v>
      </c>
      <c r="M6" s="55">
        <v>-100.2298552</v>
      </c>
      <c r="N6" s="55">
        <v>30.709763600000002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33</v>
      </c>
      <c r="C9" s="10"/>
      <c r="D9" s="10"/>
    </row>
    <row r="10" spans="1:20" x14ac:dyDescent="0.2">
      <c r="B10" s="10" t="s">
        <v>6</v>
      </c>
      <c r="C10" s="10"/>
      <c r="D10" s="10"/>
    </row>
    <row r="11" spans="1:20" x14ac:dyDescent="0.2">
      <c r="B11" s="10" t="s">
        <v>30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2025-11-10T01:55:41Z</dcterms:modified>
</cp:coreProperties>
</file>