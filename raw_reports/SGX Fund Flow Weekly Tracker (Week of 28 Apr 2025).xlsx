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1D596FF6-9985-43B8-B927-735237A9855D}"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6" i="3"/>
  <c r="A5" i="3"/>
  <c r="A4" i="3"/>
  <c r="A3" i="3"/>
  <c r="A6" i="2"/>
  <c r="A5" i="2"/>
  <c r="A4" i="2"/>
  <c r="A3" i="2"/>
  <c r="C32" i="4" l="1"/>
  <c r="F5" i="1" l="1"/>
  <c r="C18" i="1"/>
  <c r="F18" i="1" s="1"/>
  <c r="D32" i="4" l="1"/>
  <c r="A1" i="4" l="1"/>
</calcChain>
</file>

<file path=xl/sharedStrings.xml><?xml version="1.0" encoding="utf-8"?>
<sst xmlns="http://schemas.openxmlformats.org/spreadsheetml/2006/main" count="517" uniqueCount="275">
  <si>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</si>
  <si>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</si>
  <si>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</si>
  <si>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</si>
  <si>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</si>
  <si>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</si>
  <si>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</si>
  <si>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</si>
  <si>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</si>
  <si>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</si>
  <si>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</si>
  <si>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</si>
  <si>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</si>
  <si>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</si>
  <si>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</si>
  <si>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</si>
  <si>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</si>
  <si>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</si>
  <si>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</si>
  <si>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</si>
  <si>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</si>
  <si>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</si>
  <si>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</si>
  <si>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</si>
  <si>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</si>
  <si>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</si>
  <si>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</si>
  <si>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</si>
  <si>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</si>
  <si>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</si>
  <si>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</si>
  <si>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</si>
  <si>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</si>
  <si>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</si>
  <si>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</si>
  <si>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</si>
  <si>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</si>
  <si>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</si>
  <si>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</si>
  <si>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</si>
  <si>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</si>
  <si>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</si>
  <si>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</si>
  <si>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</si>
  <si>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</si>
  <si>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</si>
  <si>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</si>
  <si>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</si>
  <si>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</si>
  <si>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</si>
  <si>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</si>
  <si>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</si>
  <si>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</si>
  <si>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</si>
  <si>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</si>
  <si>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</si>
  <si>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</si>
  <si>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</si>
  <si>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</si>
  <si>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</si>
  <si>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</si>
  <si>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</si>
  <si>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</si>
  <si>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</si>
  <si>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</si>
  <si>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</si>
  <si>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</si>
  <si>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</si>
  <si>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</si>
  <si>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</si>
  <si>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</si>
  <si>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</si>
  <si>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</si>
  <si>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</si>
  <si>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</si>
  <si>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</si>
  <si>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</si>
  <si>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</si>
  <si>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</si>
  <si>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</si>
  <si>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</si>
  <si>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</si>
  <si>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</si>
  <si>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</si>
  <si>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</si>
  <si>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</si>
  <si>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</si>
  <si>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</si>
  <si>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</si>
  <si>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</si>
  <si>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</si>
  <si>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</si>
  <si>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</si>
  <si>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</si>
  <si>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</si>
  <si>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</si>
  <si>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</si>
  <si>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</si>
  <si>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</si>
  <si>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</si>
  <si>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</si>
  <si>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</si>
  <si>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</si>
  <si>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</si>
  <si>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</si>
  <si>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</si>
  <si>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</si>
  <si>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</si>
  <si>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</si>
  <si>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</si>
  <si>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</si>
  <si>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</si>
  <si>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</si>
  <si>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</si>
  <si>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</si>
  <si>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</si>
  <si>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</si>
  <si>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</si>
  <si>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</si>
  <si>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</si>
  <si>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</si>
  <si>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</si>
  <si>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</si>
  <si>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</si>
  <si>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</si>
  <si>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</si>
  <si>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</si>
  <si>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</si>
  <si>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</si>
  <si>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</si>
  <si>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</si>
  <si>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</si>
  <si>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</si>
  <si>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</si>
  <si>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</si>
  <si>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</si>
  <si>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</si>
  <si>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</si>
  <si>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</si>
  <si>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</si>
  <si>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</si>
  <si>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</si>
  <si>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</si>
  <si>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</si>
  <si>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</si>
  <si>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</si>
  <si>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</si>
  <si>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</si>
  <si>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</si>
  <si>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</si>
  <si>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</si>
  <si>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</si>
  <si>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</si>
  <si>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</si>
  <si>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</si>
  <si>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</si>
  <si>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</si>
  <si>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</si>
  <si>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</si>
  <si>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</si>
  <si>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</si>
  <si>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</si>
  <si>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</si>
  <si>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</si>
  <si>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</si>
  <si>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</si>
  <si>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</si>
  <si>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</si>
  <si>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</si>
  <si>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</si>
  <si>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</si>
  <si>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</si>
  <si>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</si>
  <si>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</si>
  <si>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</si>
  <si>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</si>
  <si>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</si>
  <si>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</si>
  <si>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</si>
  <si>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</si>
  <si>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</si>
  <si>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</si>
  <si>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</si>
  <si>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</si>
  <si>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</si>
  <si>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</si>
  <si>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</si>
  <si>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</si>
  <si>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</si>
  <si>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</si>
  <si>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</si>
  <si>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</si>
  <si>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</si>
  <si>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</si>
  <si>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</si>
  <si>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</si>
  <si>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</si>
  <si>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</si>
  <si>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</si>
  <si>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</si>
  <si>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</si>
  <si>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</si>
  <si>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</si>
  <si>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</si>
  <si>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</si>
  <si>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</si>
  <si>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</si>
  <si>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</si>
  <si>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</si>
  <si>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</si>
  <si>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</si>
  <si>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</si>
  <si>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</si>
  <si>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</si>
  <si>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</si>
  <si>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</si>
  <si>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</si>
  <si>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</si>
  <si>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</si>
  <si>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</si>
  <si>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</si>
  <si>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</si>
  <si>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</si>
  <si>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</si>
  <si>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</si>
  <si>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</si>
  <si>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</si>
  <si>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</si>
  <si>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</si>
  <si>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</si>
  <si>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</si>
  <si>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</si>
  <si>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</si>
  <si>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</si>
  <si>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</si>
  <si>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</si>
  <si>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</si>
  <si>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</si>
  <si>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</si>
  <si>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</si>
  <si>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</si>
  <si>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</si>
  <si>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</si>
  <si>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</si>
  <si>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</si>
  <si>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</si>
  <si>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</si>
  <si>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</si>
  <si>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</si>
  <si>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</si>
  <si>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</si>
  <si>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</si>
  <si>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</si>
  <si>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</si>
  <si>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</si>
  <si>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</si>
  <si>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</si>
  <si>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</si>
  <si>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</si>
  <si>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</si>
  <si>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</si>
  <si>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</si>
  <si>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</si>
  <si>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OKH Global</t>
  </si>
  <si>
    <t>S3N</t>
  </si>
  <si>
    <t xml:space="preserve">Frasers Centrepoint Trust </t>
  </si>
  <si>
    <t>Sinarmas Land</t>
  </si>
  <si>
    <t>A26</t>
  </si>
  <si>
    <t>iFast Corporation</t>
  </si>
  <si>
    <t>Past 4 Sessions Institution Net Buy (+) / Net Sell (-)(S$M)</t>
  </si>
  <si>
    <t>Keppel DC REIT</t>
  </si>
  <si>
    <t>Week of 28 April 2025</t>
  </si>
  <si>
    <r>
      <t xml:space="preserve">Institutional investors net </t>
    </r>
    <r>
      <rPr>
        <b/>
        <sz val="11"/>
        <rFont val="Arial"/>
        <family val="2"/>
      </rPr>
      <t>buy</t>
    </r>
    <r>
      <rPr>
        <sz val="11"/>
        <rFont val="Arial"/>
        <family val="2"/>
      </rPr>
      <t xml:space="preserve"> (+S$195.2m) vs. (-S$192.7m) a week ago</t>
    </r>
  </si>
  <si>
    <r>
      <t xml:space="preserve">Retail investors net </t>
    </r>
    <r>
      <rPr>
        <b/>
        <sz val="11"/>
        <rFont val="Arial"/>
        <family val="2"/>
      </rPr>
      <t>sell</t>
    </r>
    <r>
      <rPr>
        <sz val="11"/>
        <rFont val="Arial"/>
        <family val="2"/>
      </rPr>
      <t xml:space="preserve"> (-S$114.2m) vs. (-S$2.2m) a week ago</t>
    </r>
  </si>
  <si>
    <t>9A4U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</si>
</sst>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271</v>
      </c>
      <c r="C1" s="81"/>
    </row>
    <row r="2" spans="1:13" ht="15" x14ac:dyDescent="0.25">
      <c r="A2" s="69" t="s">
        <v>272</v>
      </c>
      <c r="I2" s="50"/>
    </row>
    <row r="3" spans="1:13" ht="15" x14ac:dyDescent="0.25">
      <c r="A3" s="69" t="s">
        <v>273</v>
      </c>
      <c r="I3" s="50"/>
    </row>
    <row r="5" spans="1:13" ht="29.25" customHeight="1" x14ac:dyDescent="0.2">
      <c r="A5" s="3" t="s">
        <v>0</v>
      </c>
      <c r="B5" s="3" t="s">
        <v>1</v>
      </c>
      <c r="C5" s="4" t="s">
        <v>271</v>
      </c>
      <c r="D5" s="60" t="s">
        <v>2</v>
      </c>
      <c r="E5" s="60" t="s">
        <v>1</v>
      </c>
      <c r="F5" s="61" t="str">
        <f>+C5</f>
        <v>Week of 28 April 2025</v>
      </c>
      <c r="I5" s="2"/>
    </row>
    <row r="6" spans="1:13" ht="15" x14ac:dyDescent="0.25">
      <c r="A6" s="34" t="s">
        <v>27</v>
      </c>
      <c r="B6" s="63" t="s">
        <v>22</v>
      </c>
      <c r="C6" s="6">
        <v>65.056073499999997</v>
      </c>
      <c r="D6" s="34" t="s">
        <v>26</v>
      </c>
      <c r="E6" s="63" t="s">
        <v>21</v>
      </c>
      <c r="F6" s="6">
        <v>-41.793971999999997</v>
      </c>
      <c r="G6"/>
      <c r="H6"/>
      <c r="I6" s="2"/>
      <c r="M6"/>
    </row>
    <row r="7" spans="1:13" ht="15" x14ac:dyDescent="0.25">
      <c r="A7" s="35" t="s">
        <v>33</v>
      </c>
      <c r="B7" s="10" t="s">
        <v>31</v>
      </c>
      <c r="C7" s="8">
        <v>30.640806999999999</v>
      </c>
      <c r="D7" s="35" t="s">
        <v>268</v>
      </c>
      <c r="E7" s="10" t="s">
        <v>118</v>
      </c>
      <c r="F7" s="8">
        <v>-37.907443000000001</v>
      </c>
      <c r="G7"/>
      <c r="H7"/>
      <c r="I7" s="2"/>
      <c r="L7"/>
      <c r="M7"/>
    </row>
    <row r="8" spans="1:13" ht="15" x14ac:dyDescent="0.25">
      <c r="A8" s="36" t="s">
        <v>45</v>
      </c>
      <c r="B8" s="63" t="s">
        <v>42</v>
      </c>
      <c r="C8" s="6">
        <v>25.788589999999999</v>
      </c>
      <c r="D8" s="36" t="s">
        <v>40</v>
      </c>
      <c r="E8" s="63" t="s">
        <v>38</v>
      </c>
      <c r="F8" s="6">
        <v>-11.162756</v>
      </c>
      <c r="G8"/>
      <c r="H8"/>
      <c r="I8" s="2"/>
      <c r="L8"/>
      <c r="M8"/>
    </row>
    <row r="9" spans="1:13" ht="15" x14ac:dyDescent="0.25">
      <c r="A9" s="35" t="s">
        <v>49</v>
      </c>
      <c r="B9" s="10" t="s">
        <v>47</v>
      </c>
      <c r="C9" s="8">
        <v>24.462264900000001</v>
      </c>
      <c r="D9" s="35" t="s">
        <v>132</v>
      </c>
      <c r="E9" s="10" t="s">
        <v>214</v>
      </c>
      <c r="F9" s="8">
        <v>-9.868347</v>
      </c>
      <c r="G9"/>
      <c r="H9"/>
      <c r="I9" s="2"/>
      <c r="L9"/>
      <c r="M9"/>
    </row>
    <row r="10" spans="1:13" ht="15" x14ac:dyDescent="0.25">
      <c r="A10" s="36" t="s">
        <v>28</v>
      </c>
      <c r="B10" s="63" t="s">
        <v>23</v>
      </c>
      <c r="C10" s="6">
        <v>22.925153999999999</v>
      </c>
      <c r="D10" s="36" t="s">
        <v>265</v>
      </c>
      <c r="E10" s="63" t="s">
        <v>104</v>
      </c>
      <c r="F10" s="6">
        <v>-3.9619240000000011</v>
      </c>
      <c r="G10"/>
      <c r="H10"/>
      <c r="I10" s="2"/>
      <c r="L10"/>
      <c r="M10"/>
    </row>
    <row r="11" spans="1:13" ht="15" x14ac:dyDescent="0.25">
      <c r="A11" s="35" t="s">
        <v>39</v>
      </c>
      <c r="B11" s="10" t="s">
        <v>37</v>
      </c>
      <c r="C11" s="8">
        <v>18.257117000000001</v>
      </c>
      <c r="D11" s="35" t="s">
        <v>44</v>
      </c>
      <c r="E11" s="10" t="s">
        <v>41</v>
      </c>
      <c r="F11" s="8">
        <v>-3.5771329999999999</v>
      </c>
      <c r="G11"/>
      <c r="H11"/>
      <c r="I11" s="2"/>
      <c r="L11"/>
      <c r="M11"/>
    </row>
    <row r="12" spans="1:13" ht="15" x14ac:dyDescent="0.25">
      <c r="A12" s="36" t="s">
        <v>29</v>
      </c>
      <c r="B12" s="63" t="s">
        <v>24</v>
      </c>
      <c r="C12" s="6">
        <v>17.542311999999999</v>
      </c>
      <c r="D12" s="36" t="s">
        <v>75</v>
      </c>
      <c r="E12" s="63" t="s">
        <v>74</v>
      </c>
      <c r="F12" s="6">
        <v>-3.344427</v>
      </c>
      <c r="G12"/>
      <c r="H12"/>
      <c r="I12" s="2"/>
      <c r="L12"/>
      <c r="M12"/>
    </row>
    <row r="13" spans="1:13" ht="15" x14ac:dyDescent="0.25">
      <c r="A13" s="35" t="s">
        <v>61</v>
      </c>
      <c r="B13" s="10" t="s">
        <v>53</v>
      </c>
      <c r="C13" s="8">
        <v>14.67731</v>
      </c>
      <c r="D13" s="35" t="s">
        <v>63</v>
      </c>
      <c r="E13" s="10" t="s">
        <v>54</v>
      </c>
      <c r="F13" s="8">
        <v>-2.7784970000000002</v>
      </c>
      <c r="G13"/>
      <c r="H13"/>
      <c r="I13" s="2"/>
      <c r="L13"/>
      <c r="M13"/>
    </row>
    <row r="14" spans="1:13" ht="15" x14ac:dyDescent="0.25">
      <c r="A14" s="36" t="s">
        <v>270</v>
      </c>
      <c r="B14" s="63" t="s">
        <v>76</v>
      </c>
      <c r="C14" s="6">
        <v>13.8752</v>
      </c>
      <c r="D14" s="36" t="s">
        <v>34</v>
      </c>
      <c r="E14" s="63" t="s">
        <v>30</v>
      </c>
      <c r="F14" s="6">
        <v>-2.2359800000000001</v>
      </c>
      <c r="G14"/>
      <c r="H14"/>
      <c r="I14" s="2"/>
      <c r="L14"/>
      <c r="M14"/>
    </row>
    <row r="15" spans="1:13" ht="15" x14ac:dyDescent="0.25">
      <c r="A15" s="37" t="s">
        <v>62</v>
      </c>
      <c r="B15" s="33" t="s">
        <v>52</v>
      </c>
      <c r="C15" s="9">
        <v>13.2360178813</v>
      </c>
      <c r="D15" s="37" t="s">
        <v>46</v>
      </c>
      <c r="E15" s="33" t="s">
        <v>43</v>
      </c>
      <c r="F15" s="9">
        <v>-1.8415410000000001</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28 April 2025</v>
      </c>
      <c r="D18" s="62" t="s">
        <v>4</v>
      </c>
      <c r="E18" s="60" t="s">
        <v>1</v>
      </c>
      <c r="F18" s="61" t="str">
        <f>+C18</f>
        <v>Week of 28 April 2025</v>
      </c>
    </row>
    <row r="19" spans="1:9" ht="15" x14ac:dyDescent="0.25">
      <c r="A19" s="36" t="s">
        <v>268</v>
      </c>
      <c r="B19" s="63" t="s">
        <v>118</v>
      </c>
      <c r="C19" s="20">
        <v>46.128909999999998</v>
      </c>
      <c r="D19" s="36" t="s">
        <v>33</v>
      </c>
      <c r="E19" s="19" t="s">
        <v>31</v>
      </c>
      <c r="F19" s="6">
        <v>-34.084215</v>
      </c>
      <c r="G19"/>
      <c r="I19" s="2"/>
    </row>
    <row r="20" spans="1:9" ht="15" x14ac:dyDescent="0.25">
      <c r="A20" s="35" t="s">
        <v>44</v>
      </c>
      <c r="B20" s="10" t="s">
        <v>41</v>
      </c>
      <c r="C20" s="8">
        <v>12.632735</v>
      </c>
      <c r="D20" s="35" t="s">
        <v>27</v>
      </c>
      <c r="E20" s="22" t="s">
        <v>22</v>
      </c>
      <c r="F20" s="8">
        <v>-30.644392</v>
      </c>
      <c r="G20"/>
      <c r="I20" s="2"/>
    </row>
    <row r="21" spans="1:9" ht="15" x14ac:dyDescent="0.25">
      <c r="A21" s="36" t="s">
        <v>40</v>
      </c>
      <c r="B21" s="63" t="s">
        <v>38</v>
      </c>
      <c r="C21" s="6">
        <v>8.7635470000000009</v>
      </c>
      <c r="D21" s="36" t="s">
        <v>49</v>
      </c>
      <c r="E21" s="7" t="s">
        <v>47</v>
      </c>
      <c r="F21" s="6">
        <v>-26.308856299999999</v>
      </c>
      <c r="G21"/>
      <c r="I21" s="2"/>
    </row>
    <row r="22" spans="1:9" ht="15" x14ac:dyDescent="0.25">
      <c r="A22" s="35" t="s">
        <v>26</v>
      </c>
      <c r="B22" s="10" t="s">
        <v>21</v>
      </c>
      <c r="C22" s="8">
        <v>6.3297569999999999</v>
      </c>
      <c r="D22" s="35" t="s">
        <v>45</v>
      </c>
      <c r="E22" s="22" t="s">
        <v>42</v>
      </c>
      <c r="F22" s="8">
        <v>-14.958428</v>
      </c>
      <c r="G22"/>
      <c r="I22" s="2"/>
    </row>
    <row r="23" spans="1:9" ht="15" x14ac:dyDescent="0.25">
      <c r="A23" s="36" t="s">
        <v>75</v>
      </c>
      <c r="B23" s="63" t="s">
        <v>74</v>
      </c>
      <c r="C23" s="6">
        <v>5.8580420000000002</v>
      </c>
      <c r="D23" s="36" t="s">
        <v>136</v>
      </c>
      <c r="E23" s="7" t="s">
        <v>32</v>
      </c>
      <c r="F23" s="6">
        <v>-14.315244</v>
      </c>
      <c r="G23"/>
      <c r="I23" s="2"/>
    </row>
    <row r="24" spans="1:9" ht="15" x14ac:dyDescent="0.25">
      <c r="A24" s="35" t="s">
        <v>84</v>
      </c>
      <c r="B24" s="10" t="s">
        <v>83</v>
      </c>
      <c r="C24" s="8">
        <v>4.1474549999999999</v>
      </c>
      <c r="D24" s="35" t="s">
        <v>28</v>
      </c>
      <c r="E24" s="22" t="s">
        <v>23</v>
      </c>
      <c r="F24" s="8">
        <v>-9.4916940000000007</v>
      </c>
      <c r="G24"/>
      <c r="I24" s="2"/>
    </row>
    <row r="25" spans="1:9" ht="15" x14ac:dyDescent="0.25">
      <c r="A25" s="36" t="s">
        <v>46</v>
      </c>
      <c r="B25" s="63" t="s">
        <v>43</v>
      </c>
      <c r="C25" s="6">
        <v>4.0034549999999998</v>
      </c>
      <c r="D25" s="36" t="s">
        <v>266</v>
      </c>
      <c r="E25" s="7" t="s">
        <v>267</v>
      </c>
      <c r="F25" s="6">
        <v>-9.1369214999999997</v>
      </c>
      <c r="G25"/>
      <c r="I25" s="2"/>
    </row>
    <row r="26" spans="1:9" ht="15" x14ac:dyDescent="0.25">
      <c r="A26" s="35" t="s">
        <v>63</v>
      </c>
      <c r="B26" s="10" t="s">
        <v>54</v>
      </c>
      <c r="C26" s="8">
        <v>3.4085760000000001</v>
      </c>
      <c r="D26" s="35" t="s">
        <v>129</v>
      </c>
      <c r="E26" s="22" t="s">
        <v>101</v>
      </c>
      <c r="F26" s="8">
        <v>-7.3811590000000002</v>
      </c>
      <c r="G26"/>
      <c r="I26" s="2"/>
    </row>
    <row r="27" spans="1:9" ht="15" x14ac:dyDescent="0.25">
      <c r="A27" s="36" t="s">
        <v>61</v>
      </c>
      <c r="B27" s="63" t="s">
        <v>53</v>
      </c>
      <c r="C27" s="6">
        <v>2.468569</v>
      </c>
      <c r="D27" s="36" t="s">
        <v>64</v>
      </c>
      <c r="E27" s="7" t="s">
        <v>55</v>
      </c>
      <c r="F27" s="6">
        <v>-6.9922168224999997</v>
      </c>
      <c r="G27"/>
      <c r="I27" s="2"/>
    </row>
    <row r="28" spans="1:9" ht="15" x14ac:dyDescent="0.25">
      <c r="A28" s="33" t="s">
        <v>50</v>
      </c>
      <c r="B28" s="76" t="s">
        <v>48</v>
      </c>
      <c r="C28" s="9">
        <v>2.4385590000000001</v>
      </c>
      <c r="D28" s="33" t="s">
        <v>77</v>
      </c>
      <c r="E28" s="76" t="s">
        <v>56</v>
      </c>
      <c r="F28" s="9">
        <v>-6.1823819999999996</v>
      </c>
      <c r="G28"/>
      <c r="I28" s="2"/>
    </row>
    <row r="29" spans="1:9" x14ac:dyDescent="0.2">
      <c r="A29" s="10"/>
      <c r="B29" s="10"/>
      <c r="C29" s="10"/>
      <c r="D29" s="10"/>
      <c r="E29" s="10"/>
      <c r="F29" s="10"/>
    </row>
    <row r="30" spans="1:9" x14ac:dyDescent="0.2">
      <c r="A30" s="11" t="s">
        <v>210</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220</v>
      </c>
      <c r="B38" s="24"/>
      <c r="C38" s="25"/>
      <c r="D38" s="25"/>
      <c r="E38" s="24"/>
      <c r="F38" s="24"/>
      <c r="I38" s="38"/>
    </row>
    <row r="39" spans="1:9" s="30" customFormat="1" ht="19.350000000000001" customHeight="1" x14ac:dyDescent="0.25">
      <c r="A39" s="27" t="s">
        <v>219</v>
      </c>
      <c r="B39" s="28"/>
      <c r="C39" s="29"/>
      <c r="D39" s="29"/>
      <c r="E39" s="28"/>
      <c r="F39" s="28"/>
      <c r="I39" s="41"/>
    </row>
    <row r="40" spans="1:9" ht="169.35" customHeight="1" x14ac:dyDescent="0.2">
      <c r="A40" s="83" t="s">
        <v>225</v>
      </c>
      <c r="B40" s="83"/>
      <c r="C40" s="83"/>
      <c r="D40" s="83"/>
      <c r="E40" s="83"/>
      <c r="F40" s="83"/>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4" t="s">
        <v>7</v>
      </c>
      <c r="B1" s="13"/>
      <c r="C1" s="86" t="s">
        <v>8</v>
      </c>
      <c r="D1" s="87"/>
      <c r="E1" s="87"/>
      <c r="F1" s="87"/>
      <c r="G1" s="87"/>
      <c r="H1" s="87"/>
      <c r="I1" s="87"/>
      <c r="J1" s="87"/>
      <c r="K1" s="87"/>
      <c r="L1" s="87"/>
      <c r="M1" s="87"/>
      <c r="N1" s="88"/>
    </row>
    <row r="2" spans="1:15" ht="75" x14ac:dyDescent="0.2">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-178.90629144913999</v>
      </c>
      <c r="B3" s="71">
        <v>45754</v>
      </c>
      <c r="C3" s="15">
        <v>6.4421509156400028</v>
      </c>
      <c r="D3" s="15">
        <v>29.820735646000003</v>
      </c>
      <c r="E3" s="15">
        <v>0.12989909999999996</v>
      </c>
      <c r="F3" s="15">
        <v>-305.52460200000007</v>
      </c>
      <c r="G3" s="15">
        <v>1.9298179616</v>
      </c>
      <c r="H3" s="15">
        <v>-48.353384520999974</v>
      </c>
      <c r="I3" s="15">
        <v>1.3570847999999998</v>
      </c>
      <c r="J3" s="15">
        <v>18.046933871899999</v>
      </c>
      <c r="K3" s="15">
        <v>-54.658215723279994</v>
      </c>
      <c r="L3" s="15">
        <v>-25.375332600000004</v>
      </c>
      <c r="M3" s="15">
        <v>188.78383450000001</v>
      </c>
      <c r="N3" s="15">
        <v>8.4947866000000012</v>
      </c>
    </row>
    <row r="4" spans="1:15" ht="15" x14ac:dyDescent="0.25">
      <c r="A4" s="44">
        <f>SUM(C4:N4)</f>
        <v>272.98526707957001</v>
      </c>
      <c r="B4" s="12">
        <v>45761</v>
      </c>
      <c r="C4" s="70">
        <v>-1.0082210424800002</v>
      </c>
      <c r="D4" s="70">
        <v>-23.671856809199998</v>
      </c>
      <c r="E4" s="70">
        <v>0.10268280000000013</v>
      </c>
      <c r="F4" s="70">
        <v>95.877531299999987</v>
      </c>
      <c r="G4" s="70">
        <v>0.62613707219999981</v>
      </c>
      <c r="H4" s="70">
        <v>64.907819630139983</v>
      </c>
      <c r="I4" s="70">
        <v>1.5036608000000005</v>
      </c>
      <c r="J4" s="70">
        <v>-7.2154085057999984</v>
      </c>
      <c r="K4" s="70">
        <v>-3.5094648652900018</v>
      </c>
      <c r="L4" s="70">
        <v>-9.9375265000000006</v>
      </c>
      <c r="M4" s="70">
        <v>161.47567369999999</v>
      </c>
      <c r="N4" s="70">
        <v>-6.1657605000000002</v>
      </c>
    </row>
    <row r="5" spans="1:15" ht="15" x14ac:dyDescent="0.25">
      <c r="A5" s="44">
        <f>SUM(C5:N5)</f>
        <v>-192.65752448642999</v>
      </c>
      <c r="B5" s="71">
        <v>45768</v>
      </c>
      <c r="C5" s="15">
        <v>1.405882526559999</v>
      </c>
      <c r="D5" s="15">
        <v>6.3164033169999989</v>
      </c>
      <c r="E5" s="15">
        <v>1.6658828000000001</v>
      </c>
      <c r="F5" s="15">
        <v>-180.3509181</v>
      </c>
      <c r="G5" s="15">
        <v>-2.5621744118999996</v>
      </c>
      <c r="H5" s="15">
        <v>13.031465527200005</v>
      </c>
      <c r="I5" s="15">
        <v>1.4200352000000001</v>
      </c>
      <c r="J5" s="15">
        <v>1.9372712916000008</v>
      </c>
      <c r="K5" s="15">
        <v>-47.571489686890004</v>
      </c>
      <c r="L5" s="15">
        <v>-4.00394015</v>
      </c>
      <c r="M5" s="15">
        <v>25.049640100000001</v>
      </c>
      <c r="N5" s="15">
        <v>-8.9955828999999987</v>
      </c>
    </row>
    <row r="6" spans="1:15" ht="15" x14ac:dyDescent="0.25">
      <c r="A6" s="44">
        <f>SUM(C6:N6)</f>
        <v>195.19981377508998</v>
      </c>
      <c r="B6" s="80">
        <v>45775</v>
      </c>
      <c r="C6" s="70">
        <v>5.5588635659700012</v>
      </c>
      <c r="D6" s="70">
        <v>-2.7391003081000003</v>
      </c>
      <c r="E6" s="70">
        <v>-0.34351549999999986</v>
      </c>
      <c r="F6" s="70">
        <v>76.9359027</v>
      </c>
      <c r="G6" s="70">
        <v>0.88052871730000004</v>
      </c>
      <c r="H6" s="70">
        <v>86.745014874820001</v>
      </c>
      <c r="I6" s="70">
        <v>0.80891489999999999</v>
      </c>
      <c r="J6" s="70">
        <v>11.4488274138</v>
      </c>
      <c r="K6" s="70">
        <v>3.4144077113000071</v>
      </c>
      <c r="L6" s="70">
        <v>-38.501004800000004</v>
      </c>
      <c r="M6" s="70">
        <v>25.793125700000001</v>
      </c>
      <c r="N6" s="70">
        <v>25.197848799999999</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4" t="s">
        <v>7</v>
      </c>
      <c r="B1" s="13"/>
      <c r="C1" s="86" t="s">
        <v>8</v>
      </c>
      <c r="D1" s="87"/>
      <c r="E1" s="87"/>
      <c r="F1" s="87"/>
      <c r="G1" s="87"/>
      <c r="H1" s="87"/>
      <c r="I1" s="87"/>
      <c r="J1" s="87"/>
      <c r="K1" s="87"/>
      <c r="L1" s="87"/>
      <c r="M1" s="87"/>
      <c r="N1" s="88"/>
    </row>
    <row r="2" spans="1:18" ht="75" x14ac:dyDescent="0.2">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775.98288136396013</v>
      </c>
      <c r="B3" s="64">
        <v>45754</v>
      </c>
      <c r="C3" s="56">
        <v>7.1258772410099995</v>
      </c>
      <c r="D3" s="56">
        <v>-11.191370704000001</v>
      </c>
      <c r="E3" s="56">
        <v>0.26316580000000006</v>
      </c>
      <c r="F3" s="56">
        <v>729.28074460000005</v>
      </c>
      <c r="G3" s="56">
        <v>-5.6763230902000013</v>
      </c>
      <c r="H3" s="56">
        <v>58.348353175960007</v>
      </c>
      <c r="I3" s="56">
        <v>-1.3629724999999997</v>
      </c>
      <c r="J3" s="56">
        <v>-11.0294227863</v>
      </c>
      <c r="K3" s="56">
        <v>99.259548827490008</v>
      </c>
      <c r="L3" s="56">
        <v>30.110760900000002</v>
      </c>
      <c r="M3" s="56">
        <v>-107.74719339999999</v>
      </c>
      <c r="N3" s="56">
        <v>-11.3982867</v>
      </c>
      <c r="P3" s="14"/>
    </row>
    <row r="4" spans="1:18" ht="15" x14ac:dyDescent="0.25">
      <c r="A4" s="65">
        <f>SUM(C4:N4)</f>
        <v>-161.83008851161</v>
      </c>
      <c r="B4" s="12">
        <v>45761</v>
      </c>
      <c r="C4" s="74">
        <v>0.22191369190999993</v>
      </c>
      <c r="D4" s="74">
        <v>6.1453553702999999</v>
      </c>
      <c r="E4" s="74">
        <v>-1.0847797000000001</v>
      </c>
      <c r="F4" s="74">
        <v>-4.0904100000003218E-2</v>
      </c>
      <c r="G4" s="74">
        <v>-0.94949511509999995</v>
      </c>
      <c r="H4" s="74">
        <v>-25.834657142080005</v>
      </c>
      <c r="I4" s="74">
        <v>-2.0657695000000005</v>
      </c>
      <c r="J4" s="74">
        <v>-4.9619846966999992</v>
      </c>
      <c r="K4" s="74">
        <v>-38.157312719939995</v>
      </c>
      <c r="L4" s="74">
        <v>9.7300098000000013</v>
      </c>
      <c r="M4" s="74">
        <v>-106.69035719999999</v>
      </c>
      <c r="N4" s="74">
        <v>1.8578927999999997</v>
      </c>
      <c r="P4" s="14"/>
    </row>
    <row r="5" spans="1:18" ht="15" x14ac:dyDescent="0.25">
      <c r="A5" s="65">
        <f>SUM(C5:N5)</f>
        <v>-2.17371129906001</v>
      </c>
      <c r="B5" s="64">
        <v>45768</v>
      </c>
      <c r="C5" s="82">
        <v>-6.924693093730002</v>
      </c>
      <c r="D5" s="82">
        <v>-17.9788660872</v>
      </c>
      <c r="E5" s="82">
        <v>-3.9724458000000005</v>
      </c>
      <c r="F5" s="82">
        <v>127.7539428</v>
      </c>
      <c r="G5" s="82">
        <v>3.2999695199999999</v>
      </c>
      <c r="H5" s="82">
        <v>-13.179350607760004</v>
      </c>
      <c r="I5" s="82">
        <v>-1.2725578</v>
      </c>
      <c r="J5" s="82">
        <v>-13.800449375299998</v>
      </c>
      <c r="K5" s="82">
        <v>-23.087543005070007</v>
      </c>
      <c r="L5" s="82">
        <v>-1.54432295</v>
      </c>
      <c r="M5" s="82">
        <v>-51.492246100000003</v>
      </c>
      <c r="N5" s="82">
        <v>2.4851200000000066E-2</v>
      </c>
      <c r="P5" s="14"/>
    </row>
    <row r="6" spans="1:18" ht="15" x14ac:dyDescent="0.25">
      <c r="A6" s="65">
        <f>SUM(C6:N6)</f>
        <v>-114.24033097939001</v>
      </c>
      <c r="B6" s="80">
        <v>45775</v>
      </c>
      <c r="C6" s="74">
        <v>4.9736921402300007</v>
      </c>
      <c r="D6" s="74">
        <v>5.7541830416000028</v>
      </c>
      <c r="E6" s="74">
        <v>2.7434870999999998</v>
      </c>
      <c r="F6" s="74">
        <v>-29.375140000000005</v>
      </c>
      <c r="G6" s="74">
        <v>2.5075395500000042E-2</v>
      </c>
      <c r="H6" s="74">
        <v>-83.292360234269992</v>
      </c>
      <c r="I6" s="74">
        <v>-1.6348449999999999</v>
      </c>
      <c r="J6" s="74">
        <v>-7.1255332224999997</v>
      </c>
      <c r="K6" s="74">
        <v>-11.800556949950003</v>
      </c>
      <c r="L6" s="74">
        <v>48.391276849999997</v>
      </c>
      <c r="M6" s="74">
        <v>-27.6662316</v>
      </c>
      <c r="N6" s="74">
        <v>-15.233378500000001</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28 April 2025</v>
      </c>
      <c r="B1" s="16" t="s">
        <v>1</v>
      </c>
      <c r="C1" s="17" t="s">
        <v>71</v>
      </c>
      <c r="D1" s="17" t="s">
        <v>72</v>
      </c>
    </row>
    <row r="2" spans="1:5" x14ac:dyDescent="0.25">
      <c r="A2" s="18" t="s">
        <v>86</v>
      </c>
      <c r="B2" s="19" t="s">
        <v>25</v>
      </c>
      <c r="C2" s="20">
        <v>1.713746</v>
      </c>
      <c r="D2" s="20">
        <v>-2.0971489999999999</v>
      </c>
      <c r="E2" s="38"/>
    </row>
    <row r="3" spans="1:5" x14ac:dyDescent="0.25">
      <c r="A3" s="21" t="s">
        <v>77</v>
      </c>
      <c r="B3" s="22" t="s">
        <v>56</v>
      </c>
      <c r="C3" s="8">
        <v>4.9042820000000003</v>
      </c>
      <c r="D3" s="8">
        <v>-6.1823819999999996</v>
      </c>
      <c r="E3" s="38"/>
    </row>
    <row r="4" spans="1:5" x14ac:dyDescent="0.25">
      <c r="A4" s="5" t="s">
        <v>84</v>
      </c>
      <c r="B4" s="7" t="s">
        <v>83</v>
      </c>
      <c r="C4" s="6">
        <v>13.220649999999999</v>
      </c>
      <c r="D4" s="6">
        <v>4.1474549999999999</v>
      </c>
      <c r="E4" s="38"/>
    </row>
    <row r="5" spans="1:5" x14ac:dyDescent="0.25">
      <c r="A5" s="21" t="s">
        <v>63</v>
      </c>
      <c r="B5" s="22" t="s">
        <v>54</v>
      </c>
      <c r="C5" s="8">
        <v>-2.7784970000000002</v>
      </c>
      <c r="D5" s="8">
        <v>3.4085760000000001</v>
      </c>
      <c r="E5" s="38"/>
    </row>
    <row r="6" spans="1:5" x14ac:dyDescent="0.25">
      <c r="A6" s="5" t="s">
        <v>26</v>
      </c>
      <c r="B6" s="7" t="s">
        <v>21</v>
      </c>
      <c r="C6" s="6">
        <v>-41.793971999999997</v>
      </c>
      <c r="D6" s="6">
        <v>6.3297569999999999</v>
      </c>
      <c r="E6" s="38"/>
    </row>
    <row r="7" spans="1:5" x14ac:dyDescent="0.25">
      <c r="A7" s="21" t="s">
        <v>85</v>
      </c>
      <c r="B7" s="22" t="s">
        <v>57</v>
      </c>
      <c r="C7" s="8">
        <v>3.1008769918999999</v>
      </c>
      <c r="D7" s="8">
        <v>-2.8925610584000001</v>
      </c>
      <c r="E7" s="38"/>
    </row>
    <row r="8" spans="1:5" x14ac:dyDescent="0.25">
      <c r="A8" s="5" t="s">
        <v>211</v>
      </c>
      <c r="B8" s="7" t="s">
        <v>104</v>
      </c>
      <c r="C8" s="6">
        <v>-3.9619240000000011</v>
      </c>
      <c r="D8" s="6">
        <v>-4.6064980000000002</v>
      </c>
      <c r="E8" s="38"/>
    </row>
    <row r="9" spans="1:5" x14ac:dyDescent="0.25">
      <c r="A9" s="21" t="s">
        <v>79</v>
      </c>
      <c r="B9" s="22" t="s">
        <v>78</v>
      </c>
      <c r="C9" s="8">
        <v>-1.3436140000000001</v>
      </c>
      <c r="D9" s="8">
        <v>-0.12378500000000001</v>
      </c>
      <c r="E9" s="38"/>
    </row>
    <row r="10" spans="1:5" x14ac:dyDescent="0.25">
      <c r="A10" s="5" t="s">
        <v>36</v>
      </c>
      <c r="B10" s="7" t="s">
        <v>35</v>
      </c>
      <c r="C10" s="6">
        <v>7.6286940000000003</v>
      </c>
      <c r="D10" s="6">
        <v>1.4085695</v>
      </c>
      <c r="E10" s="38"/>
    </row>
    <row r="11" spans="1:5" x14ac:dyDescent="0.25">
      <c r="A11" s="21" t="s">
        <v>64</v>
      </c>
      <c r="B11" s="22" t="s">
        <v>55</v>
      </c>
      <c r="C11" s="8">
        <v>11.266493113799999</v>
      </c>
      <c r="D11" s="8">
        <v>-6.9922168224999997</v>
      </c>
      <c r="E11" s="38"/>
    </row>
    <row r="12" spans="1:5" x14ac:dyDescent="0.25">
      <c r="A12" s="5" t="s">
        <v>50</v>
      </c>
      <c r="B12" s="7" t="s">
        <v>48</v>
      </c>
      <c r="C12" s="6">
        <v>-1.4156530000000001</v>
      </c>
      <c r="D12" s="6">
        <v>2.4385590000000001</v>
      </c>
      <c r="E12" s="38"/>
    </row>
    <row r="13" spans="1:5" x14ac:dyDescent="0.25">
      <c r="A13" s="21" t="s">
        <v>62</v>
      </c>
      <c r="B13" s="22" t="s">
        <v>52</v>
      </c>
      <c r="C13" s="8">
        <v>13.2360178813</v>
      </c>
      <c r="D13" s="8">
        <v>-5.3720435724</v>
      </c>
      <c r="E13" s="38"/>
    </row>
    <row r="14" spans="1:5" x14ac:dyDescent="0.25">
      <c r="A14" s="5" t="s">
        <v>136</v>
      </c>
      <c r="B14" s="7" t="s">
        <v>32</v>
      </c>
      <c r="C14" s="6">
        <v>12.779752</v>
      </c>
      <c r="D14" s="6">
        <v>-14.315244</v>
      </c>
      <c r="E14" s="38"/>
    </row>
    <row r="15" spans="1:5" x14ac:dyDescent="0.25">
      <c r="A15" s="21" t="s">
        <v>75</v>
      </c>
      <c r="B15" s="22" t="s">
        <v>74</v>
      </c>
      <c r="C15" s="8">
        <v>-3.344427</v>
      </c>
      <c r="D15" s="8">
        <v>5.8580420000000002</v>
      </c>
      <c r="E15" s="38"/>
    </row>
    <row r="16" spans="1:5" x14ac:dyDescent="0.25">
      <c r="A16" s="5" t="s">
        <v>40</v>
      </c>
      <c r="B16" s="7" t="s">
        <v>38</v>
      </c>
      <c r="C16" s="6">
        <v>-11.162756</v>
      </c>
      <c r="D16" s="6">
        <v>8.7635470000000009</v>
      </c>
      <c r="E16" s="38"/>
    </row>
    <row r="17" spans="1:5" x14ac:dyDescent="0.25">
      <c r="A17" s="21" t="s">
        <v>216</v>
      </c>
      <c r="B17" s="22" t="s">
        <v>58</v>
      </c>
      <c r="C17" s="8">
        <v>0.174592</v>
      </c>
      <c r="D17" s="8">
        <v>-1.5755650000000001</v>
      </c>
      <c r="E17" s="38"/>
    </row>
    <row r="18" spans="1:5" x14ac:dyDescent="0.25">
      <c r="A18" s="5" t="s">
        <v>27</v>
      </c>
      <c r="B18" s="7" t="s">
        <v>22</v>
      </c>
      <c r="C18" s="6">
        <v>65.056073499999997</v>
      </c>
      <c r="D18" s="6">
        <v>-30.644392</v>
      </c>
      <c r="E18" s="38"/>
    </row>
    <row r="19" spans="1:5" x14ac:dyDescent="0.25">
      <c r="A19" s="21" t="s">
        <v>34</v>
      </c>
      <c r="B19" s="22" t="s">
        <v>30</v>
      </c>
      <c r="C19" s="8">
        <v>-2.2359800000000001</v>
      </c>
      <c r="D19" s="8">
        <v>-3.6922000000000003E-2</v>
      </c>
      <c r="E19" s="38"/>
    </row>
    <row r="20" spans="1:5" x14ac:dyDescent="0.25">
      <c r="A20" s="5" t="s">
        <v>132</v>
      </c>
      <c r="B20" s="7" t="s">
        <v>214</v>
      </c>
      <c r="C20" s="6">
        <v>-9.868347</v>
      </c>
      <c r="D20" s="6">
        <v>-0.97816899999999996</v>
      </c>
      <c r="E20" s="38"/>
    </row>
    <row r="21" spans="1:5" x14ac:dyDescent="0.25">
      <c r="A21" s="21" t="s">
        <v>45</v>
      </c>
      <c r="B21" s="22" t="s">
        <v>42</v>
      </c>
      <c r="C21" s="8">
        <v>25.788589999999999</v>
      </c>
      <c r="D21" s="8">
        <v>-14.958428</v>
      </c>
      <c r="E21" s="38"/>
    </row>
    <row r="22" spans="1:5" x14ac:dyDescent="0.25">
      <c r="A22" s="5" t="s">
        <v>33</v>
      </c>
      <c r="B22" s="7" t="s">
        <v>31</v>
      </c>
      <c r="C22" s="6">
        <v>30.640806999999999</v>
      </c>
      <c r="D22" s="6">
        <v>-34.084215</v>
      </c>
      <c r="E22" s="38"/>
    </row>
    <row r="23" spans="1:5" x14ac:dyDescent="0.25">
      <c r="A23" s="21" t="s">
        <v>29</v>
      </c>
      <c r="B23" s="22" t="s">
        <v>24</v>
      </c>
      <c r="C23" s="8">
        <v>17.542311999999999</v>
      </c>
      <c r="D23" s="8">
        <v>1.298119</v>
      </c>
      <c r="E23" s="38"/>
    </row>
    <row r="24" spans="1:5" x14ac:dyDescent="0.25">
      <c r="A24" s="5" t="s">
        <v>39</v>
      </c>
      <c r="B24" s="7" t="s">
        <v>37</v>
      </c>
      <c r="C24" s="6">
        <v>18.257117000000001</v>
      </c>
      <c r="D24" s="6">
        <v>-5.9564750000000002</v>
      </c>
      <c r="E24" s="38"/>
    </row>
    <row r="25" spans="1:5" x14ac:dyDescent="0.25">
      <c r="A25" s="21" t="s">
        <v>49</v>
      </c>
      <c r="B25" s="22" t="s">
        <v>47</v>
      </c>
      <c r="C25" s="8">
        <v>24.462264900000001</v>
      </c>
      <c r="D25" s="8">
        <v>-26.308856299999999</v>
      </c>
      <c r="E25" s="38"/>
    </row>
    <row r="26" spans="1:5" x14ac:dyDescent="0.25">
      <c r="A26" s="5" t="s">
        <v>60</v>
      </c>
      <c r="B26" s="7" t="s">
        <v>51</v>
      </c>
      <c r="C26" s="6">
        <v>-0.5606025</v>
      </c>
      <c r="D26" s="6">
        <v>0.54846349999999999</v>
      </c>
      <c r="E26" s="38"/>
    </row>
    <row r="27" spans="1:5" x14ac:dyDescent="0.25">
      <c r="A27" s="21" t="s">
        <v>28</v>
      </c>
      <c r="B27" s="22" t="s">
        <v>23</v>
      </c>
      <c r="C27" s="8">
        <v>22.925153999999999</v>
      </c>
      <c r="D27" s="8">
        <v>-9.4916940000000007</v>
      </c>
      <c r="E27" s="38"/>
    </row>
    <row r="28" spans="1:5" x14ac:dyDescent="0.25">
      <c r="A28" s="5" t="s">
        <v>65</v>
      </c>
      <c r="B28" s="7" t="s">
        <v>59</v>
      </c>
      <c r="C28" s="6">
        <v>0.65665499999999999</v>
      </c>
      <c r="D28" s="6">
        <v>-1.2780800000000001</v>
      </c>
      <c r="E28" s="38"/>
    </row>
    <row r="29" spans="1:5" x14ac:dyDescent="0.25">
      <c r="A29" s="21" t="s">
        <v>46</v>
      </c>
      <c r="B29" s="22" t="s">
        <v>43</v>
      </c>
      <c r="C29" s="8">
        <v>-1.8415410000000001</v>
      </c>
      <c r="D29" s="8">
        <v>4.0034549999999998</v>
      </c>
      <c r="E29" s="38"/>
    </row>
    <row r="30" spans="1:5" x14ac:dyDescent="0.25">
      <c r="A30" s="5" t="s">
        <v>44</v>
      </c>
      <c r="B30" s="7" t="s">
        <v>41</v>
      </c>
      <c r="C30" s="6">
        <v>-3.5771329999999999</v>
      </c>
      <c r="D30" s="6">
        <v>12.632735</v>
      </c>
      <c r="E30" s="38"/>
    </row>
    <row r="31" spans="1:5" ht="15.75" thickBot="1" x14ac:dyDescent="0.3">
      <c r="A31" s="21" t="s">
        <v>61</v>
      </c>
      <c r="B31" s="22" t="s">
        <v>53</v>
      </c>
      <c r="C31" s="8">
        <v>14.67731</v>
      </c>
      <c r="D31" s="8">
        <v>2.468569</v>
      </c>
      <c r="E31" s="38"/>
    </row>
    <row r="32" spans="1:5" ht="21" customHeight="1" thickBot="1" x14ac:dyDescent="0.3">
      <c r="A32" s="89" t="s">
        <v>66</v>
      </c>
      <c r="B32" s="90"/>
      <c r="C32" s="58">
        <f>SUM(C2:C31)</f>
        <v>204.146940887</v>
      </c>
      <c r="D32" s="59">
        <f>SUM(D2:D31)</f>
        <v>-114.58882875329999</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28 April 2025</v>
      </c>
      <c r="B1" s="16" t="s">
        <v>1</v>
      </c>
      <c r="C1" s="47" t="s">
        <v>96</v>
      </c>
      <c r="D1" s="17" t="s">
        <v>95</v>
      </c>
      <c r="E1" s="17" t="s">
        <v>269</v>
      </c>
      <c r="F1" s="17" t="s">
        <v>97</v>
      </c>
      <c r="G1" s="52"/>
      <c r="I1" s="78"/>
      <c r="J1" s="78"/>
      <c r="L1" s="78"/>
      <c r="M1" s="78"/>
      <c r="N1" s="78"/>
    </row>
    <row r="2" spans="1:17" x14ac:dyDescent="0.25">
      <c r="A2" s="18" t="s">
        <v>26</v>
      </c>
      <c r="B2" s="19" t="s">
        <v>21</v>
      </c>
      <c r="C2" s="53">
        <v>245.42577778790252</v>
      </c>
      <c r="D2" s="53">
        <v>-1121.9965979999999</v>
      </c>
      <c r="E2" s="53">
        <v>-41.793971999999997</v>
      </c>
      <c r="F2" s="20" t="s">
        <v>13</v>
      </c>
      <c r="G2" s="52"/>
      <c r="H2" s="52"/>
      <c r="I2" s="52"/>
      <c r="K2" s="52"/>
      <c r="L2" s="78"/>
      <c r="M2" s="78"/>
      <c r="N2" s="78"/>
      <c r="O2" s="73"/>
      <c r="P2" s="73"/>
      <c r="Q2" s="73"/>
    </row>
    <row r="3" spans="1:17" x14ac:dyDescent="0.25">
      <c r="A3" s="21" t="s">
        <v>28</v>
      </c>
      <c r="B3" s="22" t="s">
        <v>23</v>
      </c>
      <c r="C3" s="54">
        <v>119.7323317194878</v>
      </c>
      <c r="D3" s="54">
        <v>-423.60726899999997</v>
      </c>
      <c r="E3" s="54">
        <v>22.925153999999999</v>
      </c>
      <c r="F3" s="8" t="s">
        <v>13</v>
      </c>
      <c r="G3" s="52"/>
      <c r="H3" s="52"/>
      <c r="I3" s="52"/>
      <c r="K3" s="52"/>
      <c r="L3" s="78"/>
      <c r="M3" s="78"/>
      <c r="N3" s="78"/>
      <c r="O3" s="73"/>
      <c r="P3" s="73"/>
      <c r="Q3" s="73"/>
    </row>
    <row r="4" spans="1:17" x14ac:dyDescent="0.25">
      <c r="A4" s="5" t="s">
        <v>145</v>
      </c>
      <c r="B4" s="7" t="s">
        <v>22</v>
      </c>
      <c r="C4" s="55">
        <v>117.46360804037809</v>
      </c>
      <c r="D4" s="55">
        <v>-627.57713410000008</v>
      </c>
      <c r="E4" s="55">
        <v>65.056073499999997</v>
      </c>
      <c r="F4" s="6" t="s">
        <v>13</v>
      </c>
      <c r="G4" s="52"/>
      <c r="H4" s="52"/>
      <c r="I4" s="52"/>
      <c r="K4" s="52"/>
      <c r="L4" s="78"/>
      <c r="M4" s="78"/>
      <c r="N4" s="78"/>
      <c r="O4" s="73"/>
      <c r="P4" s="73"/>
      <c r="Q4" s="73"/>
    </row>
    <row r="5" spans="1:17" x14ac:dyDescent="0.25">
      <c r="A5" s="21" t="s">
        <v>49</v>
      </c>
      <c r="B5" s="22" t="s">
        <v>47</v>
      </c>
      <c r="C5" s="54">
        <v>101.91204125621951</v>
      </c>
      <c r="D5" s="54">
        <v>689.73667339999997</v>
      </c>
      <c r="E5" s="54">
        <v>24.462264899999997</v>
      </c>
      <c r="F5" s="8" t="s">
        <v>141</v>
      </c>
      <c r="G5" s="52"/>
      <c r="H5" s="52"/>
      <c r="I5" s="52"/>
      <c r="K5" s="52"/>
      <c r="L5" s="78"/>
      <c r="M5" s="78"/>
      <c r="N5" s="78"/>
      <c r="O5" s="73"/>
      <c r="P5" s="73"/>
      <c r="Q5" s="73"/>
    </row>
    <row r="6" spans="1:17" x14ac:dyDescent="0.25">
      <c r="A6" s="5" t="s">
        <v>148</v>
      </c>
      <c r="B6" s="7" t="s">
        <v>53</v>
      </c>
      <c r="C6" s="55">
        <v>72.374480790204871</v>
      </c>
      <c r="D6" s="55">
        <v>-208.63477900000001</v>
      </c>
      <c r="E6" s="55">
        <v>14.67731</v>
      </c>
      <c r="F6" s="6" t="s">
        <v>14</v>
      </c>
      <c r="G6" s="52"/>
      <c r="H6" s="52"/>
      <c r="I6" s="52"/>
      <c r="K6" s="52"/>
      <c r="L6" s="78"/>
      <c r="M6" s="78"/>
      <c r="N6" s="78"/>
      <c r="O6" s="73"/>
      <c r="P6" s="73"/>
      <c r="Q6" s="73"/>
    </row>
    <row r="7" spans="1:17" x14ac:dyDescent="0.25">
      <c r="A7" s="21" t="s">
        <v>146</v>
      </c>
      <c r="B7" s="22" t="s">
        <v>56</v>
      </c>
      <c r="C7" s="54">
        <v>55.280356706914631</v>
      </c>
      <c r="D7" s="54">
        <v>24.931206</v>
      </c>
      <c r="E7" s="54">
        <v>4.9042820000000003</v>
      </c>
      <c r="F7" s="8" t="s">
        <v>17</v>
      </c>
      <c r="G7" s="52"/>
      <c r="H7" s="52"/>
      <c r="I7" s="52"/>
      <c r="K7" s="52"/>
      <c r="L7" s="78"/>
      <c r="M7" s="78"/>
      <c r="N7" s="78"/>
      <c r="O7" s="73"/>
      <c r="P7" s="73"/>
      <c r="Q7" s="73"/>
    </row>
    <row r="8" spans="1:17" x14ac:dyDescent="0.25">
      <c r="A8" s="5" t="s">
        <v>228</v>
      </c>
      <c r="B8" s="7" t="s">
        <v>214</v>
      </c>
      <c r="C8" s="55">
        <v>48.1544487402439</v>
      </c>
      <c r="D8" s="55">
        <v>-14.366364000000001</v>
      </c>
      <c r="E8" s="55">
        <v>-9.868347</v>
      </c>
      <c r="F8" s="6" t="s">
        <v>14</v>
      </c>
      <c r="G8" s="52"/>
      <c r="H8" s="52"/>
      <c r="I8" s="52"/>
      <c r="K8" s="52"/>
      <c r="L8" s="78"/>
      <c r="M8" s="78"/>
      <c r="N8" s="78"/>
      <c r="O8" s="73"/>
      <c r="P8" s="73"/>
      <c r="Q8" s="73"/>
    </row>
    <row r="9" spans="1:17" x14ac:dyDescent="0.25">
      <c r="A9" s="21" t="s">
        <v>39</v>
      </c>
      <c r="B9" s="22" t="s">
        <v>37</v>
      </c>
      <c r="C9" s="54">
        <v>48.049705682439019</v>
      </c>
      <c r="D9" s="54">
        <v>235.78866400000001</v>
      </c>
      <c r="E9" s="54">
        <v>18.257117000000001</v>
      </c>
      <c r="F9" s="8" t="s">
        <v>14</v>
      </c>
      <c r="G9" s="52"/>
      <c r="H9" s="52"/>
      <c r="I9" s="52"/>
      <c r="K9" s="52"/>
      <c r="L9" s="78"/>
      <c r="M9" s="78"/>
      <c r="N9" s="78"/>
      <c r="O9" s="73"/>
      <c r="P9" s="73"/>
      <c r="Q9" s="73"/>
    </row>
    <row r="10" spans="1:17" x14ac:dyDescent="0.25">
      <c r="A10" s="5" t="s">
        <v>29</v>
      </c>
      <c r="B10" s="7" t="s">
        <v>24</v>
      </c>
      <c r="C10" s="55">
        <v>40.079093479573167</v>
      </c>
      <c r="D10" s="55">
        <v>119.814443</v>
      </c>
      <c r="E10" s="55">
        <v>17.542311999999999</v>
      </c>
      <c r="F10" s="6" t="s">
        <v>13</v>
      </c>
      <c r="G10" s="52"/>
      <c r="H10" s="52"/>
      <c r="I10" s="52"/>
      <c r="K10" s="52"/>
      <c r="L10" s="78"/>
      <c r="M10" s="78"/>
      <c r="N10" s="78"/>
      <c r="O10" s="73"/>
      <c r="P10" s="73"/>
      <c r="Q10" s="73"/>
    </row>
    <row r="11" spans="1:17" x14ac:dyDescent="0.25">
      <c r="A11" s="21" t="s">
        <v>33</v>
      </c>
      <c r="B11" s="22" t="s">
        <v>31</v>
      </c>
      <c r="C11" s="54">
        <v>35.927865463048775</v>
      </c>
      <c r="D11" s="54">
        <v>301.70619199999999</v>
      </c>
      <c r="E11" s="54">
        <v>30.640806999999999</v>
      </c>
      <c r="F11" s="8" t="s">
        <v>14</v>
      </c>
      <c r="G11" s="52"/>
      <c r="H11" s="52"/>
      <c r="I11" s="52"/>
      <c r="K11" s="52"/>
      <c r="L11" s="78"/>
      <c r="M11" s="78"/>
      <c r="N11" s="78"/>
      <c r="O11" s="73"/>
      <c r="P11" s="73"/>
      <c r="Q11" s="73"/>
    </row>
    <row r="12" spans="1:17" x14ac:dyDescent="0.25">
      <c r="A12" s="5" t="s">
        <v>147</v>
      </c>
      <c r="B12" s="7" t="s">
        <v>25</v>
      </c>
      <c r="C12" s="55">
        <v>34.541938954146339</v>
      </c>
      <c r="D12" s="55">
        <v>-29.851130000000001</v>
      </c>
      <c r="E12" s="55">
        <v>1.713746</v>
      </c>
      <c r="F12" s="6" t="s">
        <v>17</v>
      </c>
      <c r="G12" s="52"/>
      <c r="H12" s="52"/>
      <c r="I12" s="52"/>
      <c r="K12" s="52"/>
      <c r="L12" s="78"/>
      <c r="M12" s="78"/>
      <c r="N12" s="78"/>
      <c r="O12" s="73"/>
      <c r="P12" s="73"/>
      <c r="Q12" s="73"/>
    </row>
    <row r="13" spans="1:17" x14ac:dyDescent="0.25">
      <c r="A13" s="21" t="s">
        <v>149</v>
      </c>
      <c r="B13" s="22" t="s">
        <v>83</v>
      </c>
      <c r="C13" s="54">
        <v>29.858936937073171</v>
      </c>
      <c r="D13" s="54">
        <v>-134.886572</v>
      </c>
      <c r="E13" s="54">
        <v>13.220649999999999</v>
      </c>
      <c r="F13" s="8" t="s">
        <v>13</v>
      </c>
      <c r="G13" s="52"/>
      <c r="H13" s="52"/>
      <c r="I13" s="52"/>
      <c r="K13" s="52"/>
      <c r="L13" s="78"/>
      <c r="M13" s="78"/>
      <c r="N13" s="78"/>
      <c r="O13" s="73"/>
      <c r="P13" s="73"/>
      <c r="Q13" s="73"/>
    </row>
    <row r="14" spans="1:17" x14ac:dyDescent="0.25">
      <c r="A14" s="5" t="s">
        <v>150</v>
      </c>
      <c r="B14" s="7" t="s">
        <v>38</v>
      </c>
      <c r="C14" s="55">
        <v>27.48734141829269</v>
      </c>
      <c r="D14" s="55">
        <v>-53.133713499999999</v>
      </c>
      <c r="E14" s="55">
        <v>-11.162756</v>
      </c>
      <c r="F14" s="6" t="s">
        <v>17</v>
      </c>
      <c r="G14" s="52"/>
      <c r="H14" s="52"/>
      <c r="I14" s="52"/>
      <c r="K14" s="52"/>
      <c r="L14" s="78"/>
      <c r="M14" s="78"/>
      <c r="N14" s="78"/>
      <c r="O14" s="73"/>
      <c r="P14" s="73"/>
      <c r="Q14" s="73"/>
    </row>
    <row r="15" spans="1:17" x14ac:dyDescent="0.25">
      <c r="A15" s="21" t="s">
        <v>136</v>
      </c>
      <c r="B15" s="22" t="s">
        <v>32</v>
      </c>
      <c r="C15" s="54">
        <v>26.279808768292682</v>
      </c>
      <c r="D15" s="54">
        <v>-56.248579999999997</v>
      </c>
      <c r="E15" s="54">
        <v>12.779752</v>
      </c>
      <c r="F15" s="8" t="s">
        <v>14</v>
      </c>
      <c r="G15" s="52"/>
      <c r="H15" s="52"/>
      <c r="I15" s="52"/>
      <c r="K15" s="52"/>
      <c r="L15" s="78"/>
      <c r="M15" s="78"/>
      <c r="N15" s="78"/>
      <c r="O15" s="73"/>
      <c r="P15" s="73"/>
      <c r="Q15" s="73"/>
    </row>
    <row r="16" spans="1:17" x14ac:dyDescent="0.25">
      <c r="A16" s="5" t="s">
        <v>155</v>
      </c>
      <c r="B16" s="7" t="s">
        <v>42</v>
      </c>
      <c r="C16" s="55">
        <v>23.829369120853659</v>
      </c>
      <c r="D16" s="55">
        <v>125.23052199999999</v>
      </c>
      <c r="E16" s="55">
        <v>25.788589999999999</v>
      </c>
      <c r="F16" s="6" t="s">
        <v>19</v>
      </c>
      <c r="G16" s="52"/>
      <c r="H16" s="52"/>
      <c r="I16" s="52"/>
      <c r="K16" s="52"/>
      <c r="L16" s="78"/>
      <c r="M16" s="78"/>
      <c r="N16" s="78"/>
      <c r="O16" s="73"/>
      <c r="P16" s="73"/>
      <c r="Q16" s="73"/>
    </row>
    <row r="17" spans="1:17" x14ac:dyDescent="0.25">
      <c r="A17" s="21" t="s">
        <v>151</v>
      </c>
      <c r="B17" s="22" t="s">
        <v>35</v>
      </c>
      <c r="C17" s="54">
        <v>23.606704645365848</v>
      </c>
      <c r="D17" s="54">
        <v>-27.822689499999999</v>
      </c>
      <c r="E17" s="54">
        <v>7.6286940000000003</v>
      </c>
      <c r="F17" s="8" t="s">
        <v>10</v>
      </c>
      <c r="G17" s="52"/>
      <c r="H17" s="52"/>
      <c r="I17" s="52"/>
      <c r="K17" s="52"/>
      <c r="L17" s="78"/>
      <c r="M17" s="78"/>
      <c r="N17" s="78"/>
      <c r="O17" s="73"/>
      <c r="P17" s="73"/>
      <c r="Q17" s="73"/>
    </row>
    <row r="18" spans="1:17" x14ac:dyDescent="0.25">
      <c r="A18" s="5" t="s">
        <v>156</v>
      </c>
      <c r="B18" s="7" t="s">
        <v>74</v>
      </c>
      <c r="C18" s="55">
        <v>20.904539481097562</v>
      </c>
      <c r="D18" s="55">
        <v>-182.53888499999999</v>
      </c>
      <c r="E18" s="55">
        <v>-3.344427</v>
      </c>
      <c r="F18" s="6" t="s">
        <v>17</v>
      </c>
      <c r="G18" s="52"/>
      <c r="H18" s="52"/>
      <c r="I18" s="52"/>
      <c r="K18" s="52"/>
      <c r="L18" s="78"/>
      <c r="M18" s="78"/>
      <c r="N18" s="78"/>
      <c r="O18" s="73"/>
      <c r="P18" s="73"/>
      <c r="Q18" s="73"/>
    </row>
    <row r="19" spans="1:17" x14ac:dyDescent="0.25">
      <c r="A19" s="21" t="s">
        <v>152</v>
      </c>
      <c r="B19" s="22" t="s">
        <v>76</v>
      </c>
      <c r="C19" s="54">
        <v>19.475377861585372</v>
      </c>
      <c r="D19" s="54">
        <v>-30.785941000000001</v>
      </c>
      <c r="E19" s="54">
        <v>13.8752</v>
      </c>
      <c r="F19" s="8" t="s">
        <v>17</v>
      </c>
      <c r="G19" s="52"/>
      <c r="H19" s="52"/>
      <c r="I19" s="52"/>
      <c r="K19" s="52"/>
      <c r="L19" s="78"/>
      <c r="M19" s="78"/>
      <c r="N19" s="78"/>
      <c r="O19" s="73"/>
      <c r="P19" s="73"/>
      <c r="Q19" s="73"/>
    </row>
    <row r="20" spans="1:17" x14ac:dyDescent="0.25">
      <c r="A20" s="5" t="s">
        <v>189</v>
      </c>
      <c r="B20" s="7" t="s">
        <v>107</v>
      </c>
      <c r="C20" s="55">
        <v>18.887325358536589</v>
      </c>
      <c r="D20" s="55">
        <v>154.84209799999999</v>
      </c>
      <c r="E20" s="55">
        <v>0.33118350000000002</v>
      </c>
      <c r="F20" s="6" t="s">
        <v>13</v>
      </c>
      <c r="G20" s="52"/>
      <c r="H20" s="52"/>
      <c r="I20" s="52"/>
      <c r="K20" s="52"/>
      <c r="L20" s="78"/>
      <c r="M20" s="78"/>
      <c r="N20" s="78"/>
      <c r="O20" s="73"/>
      <c r="P20" s="73"/>
      <c r="Q20" s="73"/>
    </row>
    <row r="21" spans="1:17" x14ac:dyDescent="0.25">
      <c r="A21" s="21" t="s">
        <v>154</v>
      </c>
      <c r="B21" s="22" t="s">
        <v>41</v>
      </c>
      <c r="C21" s="54">
        <v>18.10080044390244</v>
      </c>
      <c r="D21" s="54">
        <v>42.389409000000001</v>
      </c>
      <c r="E21" s="54">
        <v>-3.5771329999999999</v>
      </c>
      <c r="F21" s="8" t="s">
        <v>11</v>
      </c>
      <c r="G21" s="52"/>
      <c r="H21" s="52"/>
      <c r="I21" s="52"/>
      <c r="K21" s="52"/>
      <c r="L21" s="78"/>
      <c r="M21" s="78"/>
      <c r="N21" s="78"/>
      <c r="O21" s="73"/>
      <c r="P21" s="73"/>
      <c r="Q21" s="73"/>
    </row>
    <row r="22" spans="1:17" x14ac:dyDescent="0.25">
      <c r="A22" s="5" t="s">
        <v>34</v>
      </c>
      <c r="B22" s="7" t="s">
        <v>30</v>
      </c>
      <c r="C22" s="55">
        <v>17.286495808536589</v>
      </c>
      <c r="D22" s="55">
        <v>-189.11417700000001</v>
      </c>
      <c r="E22" s="55">
        <v>-2.2359800000000001</v>
      </c>
      <c r="F22" s="6" t="s">
        <v>14</v>
      </c>
      <c r="G22" s="52"/>
      <c r="H22" s="52"/>
      <c r="I22" s="52"/>
      <c r="K22" s="52"/>
      <c r="L22" s="78"/>
      <c r="M22" s="78"/>
      <c r="N22" s="78"/>
      <c r="O22" s="73"/>
      <c r="P22" s="73"/>
      <c r="Q22" s="73"/>
    </row>
    <row r="23" spans="1:17" x14ac:dyDescent="0.25">
      <c r="A23" s="21" t="s">
        <v>166</v>
      </c>
      <c r="B23" s="22" t="s">
        <v>55</v>
      </c>
      <c r="C23" s="54">
        <v>16.526937822304031</v>
      </c>
      <c r="D23" s="54">
        <v>16.359062676000001</v>
      </c>
      <c r="E23" s="54">
        <v>11.266493113800001</v>
      </c>
      <c r="F23" s="8" t="s">
        <v>16</v>
      </c>
      <c r="G23" s="52"/>
      <c r="H23" s="52"/>
      <c r="I23" s="52"/>
      <c r="K23" s="52"/>
      <c r="L23" s="78"/>
      <c r="M23" s="78"/>
      <c r="N23" s="78"/>
      <c r="O23" s="73"/>
      <c r="P23" s="73"/>
      <c r="Q23" s="73"/>
    </row>
    <row r="24" spans="1:17" x14ac:dyDescent="0.25">
      <c r="A24" s="5" t="s">
        <v>165</v>
      </c>
      <c r="B24" s="7" t="s">
        <v>78</v>
      </c>
      <c r="C24" s="55">
        <v>13.896130084146339</v>
      </c>
      <c r="D24" s="55">
        <v>-26.779439</v>
      </c>
      <c r="E24" s="55">
        <v>-1.3436140000000001</v>
      </c>
      <c r="F24" s="6" t="s">
        <v>17</v>
      </c>
      <c r="G24" s="52"/>
      <c r="H24" s="52"/>
      <c r="I24" s="52"/>
      <c r="K24" s="52"/>
      <c r="L24" s="78"/>
      <c r="M24" s="78"/>
      <c r="N24" s="78"/>
      <c r="O24" s="73"/>
      <c r="P24" s="73"/>
      <c r="Q24" s="73"/>
    </row>
    <row r="25" spans="1:17" x14ac:dyDescent="0.25">
      <c r="A25" s="21" t="s">
        <v>157</v>
      </c>
      <c r="B25" s="22" t="s">
        <v>58</v>
      </c>
      <c r="C25" s="54">
        <v>13.71974757439024</v>
      </c>
      <c r="D25" s="54">
        <v>-27.700977999999999</v>
      </c>
      <c r="E25" s="54">
        <v>0.174592</v>
      </c>
      <c r="F25" s="8" t="s">
        <v>17</v>
      </c>
      <c r="G25" s="52"/>
      <c r="H25" s="52"/>
      <c r="I25" s="52"/>
      <c r="K25" s="52"/>
      <c r="L25" s="78"/>
      <c r="M25" s="78"/>
      <c r="N25" s="78"/>
      <c r="O25" s="73"/>
      <c r="P25" s="73"/>
      <c r="Q25" s="73"/>
    </row>
    <row r="26" spans="1:17" x14ac:dyDescent="0.25">
      <c r="A26" s="5" t="s">
        <v>153</v>
      </c>
      <c r="B26" s="7" t="s">
        <v>52</v>
      </c>
      <c r="C26" s="55">
        <v>12.740296936365061</v>
      </c>
      <c r="D26" s="55">
        <v>50.945738235363201</v>
      </c>
      <c r="E26" s="55">
        <v>13.2360178813</v>
      </c>
      <c r="F26" s="6" t="s">
        <v>14</v>
      </c>
      <c r="G26" s="52"/>
      <c r="H26" s="52"/>
      <c r="I26" s="52"/>
      <c r="K26" s="52"/>
      <c r="L26" s="78"/>
      <c r="M26" s="78"/>
      <c r="N26" s="78"/>
      <c r="O26" s="73"/>
      <c r="P26" s="73"/>
      <c r="Q26" s="73"/>
    </row>
    <row r="27" spans="1:17" x14ac:dyDescent="0.25">
      <c r="A27" s="21" t="s">
        <v>129</v>
      </c>
      <c r="B27" s="22" t="s">
        <v>101</v>
      </c>
      <c r="C27" s="54">
        <v>12.362458485365851</v>
      </c>
      <c r="D27" s="54">
        <v>15.357429</v>
      </c>
      <c r="E27" s="54">
        <v>-0.57499800000000001</v>
      </c>
      <c r="F27" s="8" t="s">
        <v>14</v>
      </c>
      <c r="G27" s="52"/>
      <c r="H27" s="52"/>
      <c r="I27" s="52"/>
      <c r="K27" s="52"/>
      <c r="L27" s="78"/>
      <c r="M27" s="78"/>
      <c r="N27" s="78"/>
      <c r="O27" s="73"/>
      <c r="P27" s="73"/>
      <c r="Q27" s="73"/>
    </row>
    <row r="28" spans="1:17" x14ac:dyDescent="0.25">
      <c r="A28" s="5" t="s">
        <v>164</v>
      </c>
      <c r="B28" s="7" t="s">
        <v>104</v>
      </c>
      <c r="C28" s="55">
        <v>11.701800737804881</v>
      </c>
      <c r="D28" s="55">
        <v>-16.899954999999999</v>
      </c>
      <c r="E28" s="55">
        <v>-3.9619239999999998</v>
      </c>
      <c r="F28" s="6" t="s">
        <v>17</v>
      </c>
      <c r="G28" s="52"/>
      <c r="H28" s="52"/>
      <c r="I28" s="52"/>
      <c r="K28" s="52"/>
      <c r="L28" s="78"/>
      <c r="M28" s="78"/>
      <c r="N28" s="78"/>
      <c r="O28" s="73"/>
      <c r="P28" s="73"/>
      <c r="Q28" s="73"/>
    </row>
    <row r="29" spans="1:17" x14ac:dyDescent="0.25">
      <c r="A29" s="21" t="s">
        <v>158</v>
      </c>
      <c r="B29" s="22" t="s">
        <v>51</v>
      </c>
      <c r="C29" s="54">
        <v>10.60123520914634</v>
      </c>
      <c r="D29" s="54">
        <v>14.30927415</v>
      </c>
      <c r="E29" s="54">
        <v>-0.5606025</v>
      </c>
      <c r="F29" s="8" t="s">
        <v>11</v>
      </c>
      <c r="G29" s="52"/>
      <c r="H29" s="52"/>
      <c r="I29" s="52"/>
      <c r="K29" s="52"/>
      <c r="L29" s="78"/>
      <c r="M29" s="78"/>
      <c r="N29" s="78"/>
      <c r="O29" s="73"/>
      <c r="P29" s="73"/>
      <c r="Q29" s="73"/>
    </row>
    <row r="30" spans="1:17" x14ac:dyDescent="0.25">
      <c r="A30" s="5" t="s">
        <v>162</v>
      </c>
      <c r="B30" s="7" t="s">
        <v>43</v>
      </c>
      <c r="C30" s="55">
        <v>9.2481644865853649</v>
      </c>
      <c r="D30" s="55">
        <v>-109.364079</v>
      </c>
      <c r="E30" s="55">
        <v>-1.8415410000000001</v>
      </c>
      <c r="F30" s="6" t="s">
        <v>142</v>
      </c>
      <c r="G30" s="52"/>
      <c r="H30" s="52"/>
      <c r="I30" s="52"/>
      <c r="K30" s="52"/>
      <c r="L30" s="78"/>
      <c r="M30" s="78"/>
      <c r="N30" s="78"/>
      <c r="O30" s="73"/>
      <c r="P30" s="73"/>
      <c r="Q30" s="73"/>
    </row>
    <row r="31" spans="1:17" x14ac:dyDescent="0.25">
      <c r="A31" s="21" t="s">
        <v>161</v>
      </c>
      <c r="B31" s="22" t="s">
        <v>54</v>
      </c>
      <c r="C31" s="54">
        <v>9.1146416131707326</v>
      </c>
      <c r="D31" s="54">
        <v>-48.460726000000001</v>
      </c>
      <c r="E31" s="54">
        <v>-2.7784970000000002</v>
      </c>
      <c r="F31" s="8" t="s">
        <v>16</v>
      </c>
      <c r="G31" s="52"/>
      <c r="H31" s="52"/>
      <c r="I31" s="52"/>
      <c r="K31" s="52"/>
      <c r="L31" s="78"/>
      <c r="M31" s="78"/>
      <c r="N31" s="78"/>
      <c r="O31" s="73"/>
      <c r="P31" s="73"/>
      <c r="Q31" s="73"/>
    </row>
    <row r="32" spans="1:17" x14ac:dyDescent="0.25">
      <c r="A32" s="5" t="s">
        <v>163</v>
      </c>
      <c r="B32" s="7" t="s">
        <v>98</v>
      </c>
      <c r="C32" s="55">
        <v>8.4575379621951203</v>
      </c>
      <c r="D32" s="55">
        <v>-42.708607000000001</v>
      </c>
      <c r="E32" s="55">
        <v>1.6083419999999999</v>
      </c>
      <c r="F32" s="6" t="s">
        <v>17</v>
      </c>
      <c r="G32" s="52"/>
      <c r="H32" s="52"/>
      <c r="I32" s="52"/>
      <c r="K32" s="52"/>
      <c r="L32" s="78"/>
      <c r="M32" s="78"/>
      <c r="N32" s="78"/>
      <c r="O32" s="73"/>
      <c r="P32" s="73"/>
      <c r="Q32" s="73"/>
    </row>
    <row r="33" spans="1:17" x14ac:dyDescent="0.25">
      <c r="A33" s="21" t="s">
        <v>174</v>
      </c>
      <c r="B33" s="22" t="s">
        <v>118</v>
      </c>
      <c r="C33" s="54">
        <v>8.3606124756097557</v>
      </c>
      <c r="D33" s="54">
        <v>-19.834620999999999</v>
      </c>
      <c r="E33" s="54">
        <v>-37.907443000000001</v>
      </c>
      <c r="F33" s="8" t="s">
        <v>142</v>
      </c>
      <c r="G33" s="52"/>
      <c r="H33" s="52"/>
      <c r="I33" s="52"/>
      <c r="K33" s="52"/>
      <c r="L33" s="78"/>
      <c r="M33" s="78"/>
      <c r="N33" s="78"/>
      <c r="O33" s="73"/>
      <c r="P33" s="73"/>
      <c r="Q33" s="73"/>
    </row>
    <row r="34" spans="1:17" x14ac:dyDescent="0.25">
      <c r="A34" s="5" t="s">
        <v>167</v>
      </c>
      <c r="B34" s="7" t="s">
        <v>87</v>
      </c>
      <c r="C34" s="55">
        <v>8.3454726732317077</v>
      </c>
      <c r="D34" s="55">
        <v>40.584653000000003</v>
      </c>
      <c r="E34" s="55">
        <v>3.6349999999998181E-3</v>
      </c>
      <c r="F34" s="6" t="s">
        <v>17</v>
      </c>
      <c r="G34" s="52"/>
      <c r="H34" s="52"/>
      <c r="I34" s="52"/>
      <c r="K34" s="52"/>
      <c r="L34" s="78"/>
      <c r="M34" s="78"/>
      <c r="N34" s="78"/>
      <c r="O34" s="73"/>
      <c r="P34" s="73"/>
      <c r="Q34" s="73"/>
    </row>
    <row r="35" spans="1:17" x14ac:dyDescent="0.25">
      <c r="A35" s="21" t="s">
        <v>160</v>
      </c>
      <c r="B35" s="22" t="s">
        <v>59</v>
      </c>
      <c r="C35" s="54">
        <v>7.9288657502439026</v>
      </c>
      <c r="D35" s="54">
        <v>11.299016999999999</v>
      </c>
      <c r="E35" s="54">
        <v>0.65665499999999999</v>
      </c>
      <c r="F35" s="8" t="s">
        <v>16</v>
      </c>
      <c r="G35" s="52"/>
      <c r="H35" s="52"/>
      <c r="I35" s="52"/>
      <c r="K35" s="52"/>
      <c r="L35" s="78"/>
      <c r="M35" s="78"/>
      <c r="N35" s="78"/>
      <c r="O35" s="73"/>
      <c r="P35" s="73"/>
      <c r="Q35" s="73"/>
    </row>
    <row r="36" spans="1:17" x14ac:dyDescent="0.25">
      <c r="A36" s="5" t="s">
        <v>159</v>
      </c>
      <c r="B36" s="7" t="s">
        <v>48</v>
      </c>
      <c r="C36" s="55">
        <v>6.032997219512195</v>
      </c>
      <c r="D36" s="55">
        <v>-49.737116</v>
      </c>
      <c r="E36" s="55">
        <v>-1.4156530000000001</v>
      </c>
      <c r="F36" s="6" t="s">
        <v>10</v>
      </c>
      <c r="G36" s="52"/>
      <c r="H36" s="52"/>
      <c r="I36" s="52"/>
      <c r="K36" s="52"/>
      <c r="L36" s="78"/>
      <c r="M36" s="78"/>
      <c r="N36" s="78"/>
      <c r="O36" s="73"/>
      <c r="P36" s="73"/>
      <c r="Q36" s="73"/>
    </row>
    <row r="37" spans="1:17" x14ac:dyDescent="0.25">
      <c r="A37" s="21" t="s">
        <v>169</v>
      </c>
      <c r="B37" s="22" t="s">
        <v>90</v>
      </c>
      <c r="C37" s="54">
        <v>5.0999444353658534</v>
      </c>
      <c r="D37" s="54">
        <v>-33.157417000000002</v>
      </c>
      <c r="E37" s="54">
        <v>-0.45848800000000001</v>
      </c>
      <c r="F37" s="8" t="s">
        <v>17</v>
      </c>
      <c r="G37" s="52"/>
      <c r="H37" s="52"/>
      <c r="I37" s="52"/>
      <c r="K37" s="52"/>
      <c r="L37" s="78"/>
      <c r="M37" s="78"/>
      <c r="N37" s="78"/>
      <c r="O37" s="73"/>
      <c r="P37" s="73"/>
      <c r="Q37" s="73"/>
    </row>
    <row r="38" spans="1:17" x14ac:dyDescent="0.25">
      <c r="A38" s="5" t="s">
        <v>183</v>
      </c>
      <c r="B38" s="7" t="s">
        <v>116</v>
      </c>
      <c r="C38" s="55">
        <v>5.0176318824634141</v>
      </c>
      <c r="D38" s="55">
        <v>23.419995</v>
      </c>
      <c r="E38" s="55">
        <v>-0.63301799999999997</v>
      </c>
      <c r="F38" s="6" t="s">
        <v>17</v>
      </c>
      <c r="G38" s="52"/>
      <c r="H38" s="52"/>
      <c r="I38" s="52"/>
      <c r="K38" s="52"/>
      <c r="L38" s="78"/>
      <c r="M38" s="78"/>
      <c r="N38" s="78"/>
      <c r="O38" s="73"/>
      <c r="P38" s="73"/>
      <c r="Q38" s="73"/>
    </row>
    <row r="39" spans="1:17" x14ac:dyDescent="0.25">
      <c r="A39" s="21" t="s">
        <v>168</v>
      </c>
      <c r="B39" s="22" t="s">
        <v>88</v>
      </c>
      <c r="C39" s="54">
        <v>4.5894447751390235</v>
      </c>
      <c r="D39" s="54">
        <v>-16.312121000000001</v>
      </c>
      <c r="E39" s="54">
        <v>9.8969000000000001E-2</v>
      </c>
      <c r="F39" s="8" t="s">
        <v>142</v>
      </c>
      <c r="G39" s="52"/>
      <c r="H39" s="52"/>
      <c r="I39" s="52"/>
      <c r="K39" s="52"/>
      <c r="L39" s="78"/>
      <c r="M39" s="78"/>
      <c r="N39" s="78"/>
      <c r="O39" s="73"/>
      <c r="P39" s="73"/>
      <c r="Q39" s="73"/>
    </row>
    <row r="40" spans="1:17" x14ac:dyDescent="0.25">
      <c r="A40" s="5" t="s">
        <v>176</v>
      </c>
      <c r="B40" s="7" t="s">
        <v>110</v>
      </c>
      <c r="C40" s="55">
        <v>4.0628013695121945</v>
      </c>
      <c r="D40" s="55">
        <v>2.6287636000000001</v>
      </c>
      <c r="E40" s="55">
        <v>1.9402585000000001</v>
      </c>
      <c r="F40" s="6" t="s">
        <v>141</v>
      </c>
      <c r="G40" s="52"/>
      <c r="H40" s="52"/>
      <c r="I40" s="52"/>
      <c r="K40" s="52"/>
      <c r="L40" s="78"/>
      <c r="M40" s="78"/>
      <c r="N40" s="78"/>
      <c r="O40" s="73"/>
      <c r="P40" s="73"/>
      <c r="Q40" s="73"/>
    </row>
    <row r="41" spans="1:17" x14ac:dyDescent="0.25">
      <c r="A41" s="21" t="s">
        <v>178</v>
      </c>
      <c r="B41" s="22" t="s">
        <v>100</v>
      </c>
      <c r="C41" s="54">
        <v>4.003793265853659</v>
      </c>
      <c r="D41" s="54">
        <v>6.9729760000000001</v>
      </c>
      <c r="E41" s="54">
        <v>-0.39691620000000011</v>
      </c>
      <c r="F41" s="8" t="s">
        <v>143</v>
      </c>
      <c r="G41" s="52"/>
      <c r="H41" s="52"/>
      <c r="I41" s="52"/>
      <c r="K41" s="52"/>
      <c r="L41" s="78"/>
      <c r="M41" s="78"/>
      <c r="N41" s="78"/>
      <c r="O41" s="73"/>
      <c r="P41" s="73"/>
      <c r="Q41" s="73"/>
    </row>
    <row r="42" spans="1:17" x14ac:dyDescent="0.25">
      <c r="A42" s="5" t="s">
        <v>199</v>
      </c>
      <c r="B42" s="7" t="s">
        <v>127</v>
      </c>
      <c r="C42" s="55">
        <v>3.906785835365854</v>
      </c>
      <c r="D42" s="55">
        <v>18.87133</v>
      </c>
      <c r="E42" s="55">
        <v>1.0090699999999999</v>
      </c>
      <c r="F42" s="6" t="s">
        <v>14</v>
      </c>
      <c r="G42" s="52"/>
      <c r="H42" s="52"/>
      <c r="I42" s="52"/>
      <c r="K42" s="52"/>
      <c r="L42" s="78"/>
      <c r="M42" s="78"/>
      <c r="N42" s="78"/>
      <c r="O42" s="73"/>
      <c r="P42" s="73"/>
      <c r="Q42" s="73"/>
    </row>
    <row r="43" spans="1:17" x14ac:dyDescent="0.25">
      <c r="A43" s="21" t="s">
        <v>224</v>
      </c>
      <c r="B43" s="22" t="s">
        <v>223</v>
      </c>
      <c r="C43" s="54">
        <v>3.5751431060975607</v>
      </c>
      <c r="D43" s="54">
        <v>14.224456500000001</v>
      </c>
      <c r="E43" s="54">
        <v>-0.58566149999999995</v>
      </c>
      <c r="F43" s="8" t="s">
        <v>14</v>
      </c>
      <c r="G43" s="52"/>
      <c r="H43" s="52"/>
      <c r="I43" s="52"/>
      <c r="K43" s="52"/>
      <c r="L43" s="78"/>
      <c r="M43" s="78"/>
      <c r="N43" s="78"/>
      <c r="O43" s="73"/>
      <c r="P43" s="73"/>
      <c r="Q43" s="73"/>
    </row>
    <row r="44" spans="1:17" x14ac:dyDescent="0.25">
      <c r="A44" s="5" t="s">
        <v>190</v>
      </c>
      <c r="B44" s="7" t="s">
        <v>108</v>
      </c>
      <c r="C44" s="55">
        <v>3.3303580743902441</v>
      </c>
      <c r="D44" s="55">
        <v>-7.789777</v>
      </c>
      <c r="E44" s="55">
        <v>-0.45729900000000001</v>
      </c>
      <c r="F44" s="6" t="s">
        <v>11</v>
      </c>
      <c r="G44" s="52"/>
      <c r="H44" s="52"/>
      <c r="I44" s="52"/>
      <c r="K44" s="52"/>
      <c r="L44" s="78"/>
      <c r="M44" s="78"/>
      <c r="N44" s="78"/>
      <c r="O44" s="73"/>
      <c r="P44" s="73"/>
      <c r="Q44" s="73"/>
    </row>
    <row r="45" spans="1:17" x14ac:dyDescent="0.25">
      <c r="A45" s="21" t="s">
        <v>188</v>
      </c>
      <c r="B45" s="22" t="s">
        <v>89</v>
      </c>
      <c r="C45" s="54">
        <v>3.1905757890243898</v>
      </c>
      <c r="D45" s="54">
        <v>-4.8719140000000003</v>
      </c>
      <c r="E45" s="54">
        <v>-1.1593720000000001</v>
      </c>
      <c r="F45" s="8" t="s">
        <v>11</v>
      </c>
      <c r="G45" s="52"/>
      <c r="H45" s="52"/>
      <c r="I45" s="52"/>
      <c r="K45" s="52"/>
      <c r="L45" s="78"/>
      <c r="M45" s="78"/>
      <c r="N45" s="78"/>
      <c r="O45" s="73"/>
      <c r="P45" s="73"/>
      <c r="Q45" s="73"/>
    </row>
    <row r="46" spans="1:17" x14ac:dyDescent="0.25">
      <c r="A46" s="5" t="s">
        <v>179</v>
      </c>
      <c r="B46" s="7" t="s">
        <v>112</v>
      </c>
      <c r="C46" s="55">
        <v>3.1402702451219513</v>
      </c>
      <c r="D46" s="55">
        <v>-33.655118000000002</v>
      </c>
      <c r="E46" s="55">
        <v>1.1935865000000001</v>
      </c>
      <c r="F46" s="6" t="s">
        <v>17</v>
      </c>
      <c r="G46" s="52"/>
      <c r="H46" s="52"/>
      <c r="I46" s="52"/>
      <c r="K46" s="52"/>
      <c r="L46" s="78"/>
      <c r="M46" s="78"/>
      <c r="N46" s="78"/>
      <c r="O46" s="73"/>
      <c r="P46" s="73"/>
      <c r="Q46" s="73"/>
    </row>
    <row r="47" spans="1:17" x14ac:dyDescent="0.25">
      <c r="A47" s="21" t="s">
        <v>226</v>
      </c>
      <c r="B47" s="22" t="s">
        <v>274</v>
      </c>
      <c r="C47" s="54">
        <v>2.9939984364634098</v>
      </c>
      <c r="D47" s="54">
        <v>-13.828103</v>
      </c>
      <c r="E47" s="54">
        <v>-0.56510400000000005</v>
      </c>
      <c r="F47" s="8" t="s">
        <v>17</v>
      </c>
      <c r="G47" s="52"/>
      <c r="H47" s="52"/>
      <c r="I47" s="52"/>
      <c r="K47" s="52"/>
      <c r="L47" s="78"/>
      <c r="M47" s="78"/>
      <c r="N47" s="78"/>
      <c r="O47" s="73"/>
      <c r="P47" s="73"/>
      <c r="Q47" s="73"/>
    </row>
    <row r="48" spans="1:17" x14ac:dyDescent="0.25">
      <c r="A48" s="5" t="s">
        <v>185</v>
      </c>
      <c r="B48" s="7" t="s">
        <v>99</v>
      </c>
      <c r="C48" s="55">
        <v>2.7784055225609761</v>
      </c>
      <c r="D48" s="55">
        <v>-15.9916825</v>
      </c>
      <c r="E48" s="55">
        <v>-0.58804049999999997</v>
      </c>
      <c r="F48" s="6" t="s">
        <v>19</v>
      </c>
      <c r="G48" s="52"/>
      <c r="H48" s="52"/>
      <c r="I48" s="52"/>
      <c r="K48" s="52"/>
      <c r="L48" s="78"/>
      <c r="M48" s="78"/>
      <c r="N48" s="78"/>
      <c r="O48" s="73"/>
      <c r="P48" s="73"/>
      <c r="Q48" s="73"/>
    </row>
    <row r="49" spans="1:17" x14ac:dyDescent="0.25">
      <c r="A49" s="21" t="s">
        <v>170</v>
      </c>
      <c r="B49" s="22" t="s">
        <v>105</v>
      </c>
      <c r="C49" s="54">
        <v>2.6177383353658543</v>
      </c>
      <c r="D49" s="54">
        <v>-11.680097999999999</v>
      </c>
      <c r="E49" s="54">
        <v>-0.56861700000000004</v>
      </c>
      <c r="F49" s="8" t="s">
        <v>142</v>
      </c>
      <c r="G49" s="52"/>
      <c r="H49" s="52"/>
      <c r="I49" s="52"/>
      <c r="K49" s="52"/>
      <c r="L49" s="78"/>
      <c r="M49" s="78"/>
      <c r="N49" s="78"/>
      <c r="O49" s="73"/>
      <c r="P49" s="73"/>
      <c r="Q49" s="73"/>
    </row>
    <row r="50" spans="1:17" x14ac:dyDescent="0.25">
      <c r="A50" s="5" t="s">
        <v>171</v>
      </c>
      <c r="B50" s="7" t="s">
        <v>215</v>
      </c>
      <c r="C50" s="55">
        <v>2.580136432926829</v>
      </c>
      <c r="D50" s="55">
        <v>16.3964365</v>
      </c>
      <c r="E50" s="55">
        <v>0.20411399999999999</v>
      </c>
      <c r="F50" s="6" t="s">
        <v>142</v>
      </c>
      <c r="G50" s="52"/>
      <c r="H50" s="52"/>
      <c r="I50" s="52"/>
      <c r="K50" s="52"/>
      <c r="L50" s="78"/>
      <c r="M50" s="78"/>
      <c r="N50" s="78"/>
      <c r="O50" s="73"/>
      <c r="P50" s="73"/>
      <c r="Q50" s="73"/>
    </row>
    <row r="51" spans="1:17" x14ac:dyDescent="0.25">
      <c r="A51" s="21" t="s">
        <v>184</v>
      </c>
      <c r="B51" s="22" t="s">
        <v>57</v>
      </c>
      <c r="C51" s="54">
        <v>2.5472245356801224</v>
      </c>
      <c r="D51" s="54">
        <v>4.621068837100001</v>
      </c>
      <c r="E51" s="54">
        <v>3.1008769918999999</v>
      </c>
      <c r="F51" s="8" t="s">
        <v>11</v>
      </c>
      <c r="G51" s="52"/>
      <c r="H51" s="52"/>
      <c r="I51" s="52"/>
      <c r="K51" s="52"/>
      <c r="L51" s="78"/>
      <c r="M51" s="78"/>
      <c r="N51" s="78"/>
      <c r="O51" s="73"/>
      <c r="P51" s="73"/>
      <c r="Q51" s="73"/>
    </row>
    <row r="52" spans="1:17" x14ac:dyDescent="0.25">
      <c r="A52" s="5" t="s">
        <v>187</v>
      </c>
      <c r="B52" s="7" t="s">
        <v>113</v>
      </c>
      <c r="C52" s="55">
        <v>2.5337997241917263</v>
      </c>
      <c r="D52" s="55">
        <v>-7.7548919552999998</v>
      </c>
      <c r="E52" s="55">
        <v>1.75275012035</v>
      </c>
      <c r="F52" s="6" t="s">
        <v>17</v>
      </c>
      <c r="G52" s="52"/>
      <c r="H52" s="52"/>
      <c r="I52" s="52"/>
      <c r="K52" s="52"/>
      <c r="L52" s="78"/>
      <c r="M52" s="78"/>
      <c r="N52" s="78"/>
      <c r="O52" s="73"/>
      <c r="P52" s="73"/>
      <c r="Q52" s="73"/>
    </row>
    <row r="53" spans="1:17" x14ac:dyDescent="0.25">
      <c r="A53" s="21" t="s">
        <v>180</v>
      </c>
      <c r="B53" s="22" t="s">
        <v>102</v>
      </c>
      <c r="C53" s="54">
        <v>2.4491841994268291</v>
      </c>
      <c r="D53" s="54">
        <v>-11.7059345</v>
      </c>
      <c r="E53" s="54">
        <v>0.19094549999999999</v>
      </c>
      <c r="F53" s="8" t="s">
        <v>17</v>
      </c>
      <c r="G53" s="52"/>
      <c r="H53" s="52"/>
      <c r="I53" s="52"/>
      <c r="K53" s="52"/>
      <c r="L53" s="78"/>
      <c r="M53" s="78"/>
      <c r="N53" s="78"/>
      <c r="O53" s="73"/>
      <c r="P53" s="73"/>
      <c r="Q53" s="73"/>
    </row>
    <row r="54" spans="1:17" x14ac:dyDescent="0.25">
      <c r="A54" s="5" t="s">
        <v>197</v>
      </c>
      <c r="B54" s="7" t="s">
        <v>94</v>
      </c>
      <c r="C54" s="55">
        <v>2.364308240243902</v>
      </c>
      <c r="D54" s="55">
        <v>-15.603344999999999</v>
      </c>
      <c r="E54" s="55">
        <v>1.2450859999999999</v>
      </c>
      <c r="F54" s="6" t="s">
        <v>11</v>
      </c>
      <c r="G54" s="52"/>
      <c r="H54" s="52"/>
      <c r="I54" s="52"/>
      <c r="K54" s="52"/>
      <c r="L54" s="78"/>
      <c r="M54" s="78"/>
      <c r="N54" s="78"/>
      <c r="O54" s="73"/>
      <c r="P54" s="73"/>
      <c r="Q54" s="73"/>
    </row>
    <row r="55" spans="1:17" x14ac:dyDescent="0.25">
      <c r="A55" s="21" t="s">
        <v>192</v>
      </c>
      <c r="B55" s="22" t="s">
        <v>124</v>
      </c>
      <c r="C55" s="54">
        <v>2.3512425225609759</v>
      </c>
      <c r="D55" s="54">
        <v>-4.0839090000000002</v>
      </c>
      <c r="E55" s="54">
        <v>0.8517825</v>
      </c>
      <c r="F55" s="8" t="s">
        <v>144</v>
      </c>
      <c r="G55" s="52"/>
      <c r="H55" s="52"/>
      <c r="I55" s="52"/>
      <c r="K55" s="52"/>
      <c r="L55" s="78"/>
      <c r="M55" s="78"/>
      <c r="N55" s="78"/>
      <c r="O55" s="73"/>
      <c r="P55" s="73"/>
      <c r="Q55" s="73"/>
    </row>
    <row r="56" spans="1:17" x14ac:dyDescent="0.25">
      <c r="A56" s="5" t="s">
        <v>193</v>
      </c>
      <c r="B56" s="7" t="s">
        <v>126</v>
      </c>
      <c r="C56" s="55">
        <v>2.3029907073170728</v>
      </c>
      <c r="D56" s="55">
        <v>-12.826302999999999</v>
      </c>
      <c r="E56" s="55">
        <v>0.50992950000000004</v>
      </c>
      <c r="F56" s="6" t="s">
        <v>16</v>
      </c>
      <c r="G56" s="52"/>
      <c r="H56" s="52"/>
      <c r="I56" s="52"/>
      <c r="K56" s="52"/>
      <c r="L56" s="78"/>
      <c r="M56" s="78"/>
      <c r="N56" s="78"/>
      <c r="O56" s="73"/>
      <c r="P56" s="73"/>
      <c r="Q56" s="73"/>
    </row>
    <row r="57" spans="1:17" x14ac:dyDescent="0.25">
      <c r="A57" s="21" t="s">
        <v>196</v>
      </c>
      <c r="B57" s="22" t="s">
        <v>109</v>
      </c>
      <c r="C57" s="54">
        <v>2.2655445853658542</v>
      </c>
      <c r="D57" s="54">
        <v>14.604968</v>
      </c>
      <c r="E57" s="54">
        <v>0.46172999999999997</v>
      </c>
      <c r="F57" s="8" t="s">
        <v>144</v>
      </c>
      <c r="G57" s="52"/>
      <c r="H57" s="52"/>
      <c r="I57" s="52"/>
      <c r="K57" s="52"/>
      <c r="L57" s="78"/>
      <c r="M57" s="78"/>
      <c r="N57" s="78"/>
      <c r="O57" s="73"/>
      <c r="P57" s="73"/>
      <c r="Q57" s="73"/>
    </row>
    <row r="58" spans="1:17" x14ac:dyDescent="0.25">
      <c r="A58" s="5" t="s">
        <v>203</v>
      </c>
      <c r="B58" s="7" t="s">
        <v>121</v>
      </c>
      <c r="C58" s="55">
        <v>2.0715007134146339</v>
      </c>
      <c r="D58" s="55">
        <v>14.436375</v>
      </c>
      <c r="E58" s="55">
        <v>-0.33819250000000001</v>
      </c>
      <c r="F58" s="6" t="s">
        <v>17</v>
      </c>
      <c r="G58" s="52"/>
      <c r="H58" s="52"/>
      <c r="I58" s="52"/>
      <c r="K58" s="52"/>
      <c r="L58" s="78"/>
      <c r="M58" s="78"/>
      <c r="N58" s="78"/>
      <c r="O58" s="73"/>
      <c r="P58" s="73"/>
      <c r="Q58" s="73"/>
    </row>
    <row r="59" spans="1:17" x14ac:dyDescent="0.25">
      <c r="A59" s="21" t="s">
        <v>221</v>
      </c>
      <c r="B59" s="22" t="s">
        <v>222</v>
      </c>
      <c r="C59" s="54">
        <v>1.893170280487805</v>
      </c>
      <c r="D59" s="54">
        <v>5.5785014999999998</v>
      </c>
      <c r="E59" s="54">
        <v>1.7904519999999999</v>
      </c>
      <c r="F59" s="8" t="s">
        <v>16</v>
      </c>
      <c r="G59" s="52"/>
      <c r="H59" s="52"/>
      <c r="I59" s="52"/>
      <c r="K59" s="52"/>
      <c r="L59" s="78"/>
      <c r="M59" s="78"/>
      <c r="N59" s="78"/>
      <c r="O59" s="73"/>
      <c r="P59" s="73"/>
      <c r="Q59" s="73"/>
    </row>
    <row r="60" spans="1:17" x14ac:dyDescent="0.25">
      <c r="A60" s="5" t="s">
        <v>172</v>
      </c>
      <c r="B60" s="7" t="s">
        <v>115</v>
      </c>
      <c r="C60" s="55">
        <v>1.814040146341463</v>
      </c>
      <c r="D60" s="55">
        <v>4.2205269999999997</v>
      </c>
      <c r="E60" s="55">
        <v>0.31959599999999999</v>
      </c>
      <c r="F60" s="6" t="s">
        <v>143</v>
      </c>
      <c r="G60" s="52"/>
      <c r="H60" s="52"/>
      <c r="I60" s="52"/>
      <c r="K60" s="52"/>
      <c r="L60" s="78"/>
      <c r="M60" s="78"/>
      <c r="N60" s="78"/>
      <c r="O60" s="73"/>
      <c r="P60" s="73"/>
      <c r="Q60" s="73"/>
    </row>
    <row r="61" spans="1:17" x14ac:dyDescent="0.25">
      <c r="A61" s="21" t="s">
        <v>177</v>
      </c>
      <c r="B61" s="22" t="s">
        <v>93</v>
      </c>
      <c r="C61" s="54">
        <v>1.8075312182926828</v>
      </c>
      <c r="D61" s="54">
        <v>-8.3183354999999999</v>
      </c>
      <c r="E61" s="54">
        <v>0.31121349999999998</v>
      </c>
      <c r="F61" s="8" t="s">
        <v>17</v>
      </c>
      <c r="G61" s="52"/>
      <c r="H61" s="52"/>
      <c r="I61" s="52"/>
      <c r="K61" s="52"/>
      <c r="L61" s="78"/>
      <c r="M61" s="78"/>
      <c r="N61" s="78"/>
      <c r="O61" s="73"/>
      <c r="P61" s="73"/>
      <c r="Q61" s="73"/>
    </row>
    <row r="62" spans="1:17" x14ac:dyDescent="0.25">
      <c r="A62" s="5" t="s">
        <v>229</v>
      </c>
      <c r="B62" s="7" t="s">
        <v>227</v>
      </c>
      <c r="C62" s="55">
        <v>1.704096696341463</v>
      </c>
      <c r="D62" s="55">
        <v>-5.4887984999999988</v>
      </c>
      <c r="E62" s="55">
        <v>0.49355749999999998</v>
      </c>
      <c r="F62" s="6" t="s">
        <v>17</v>
      </c>
      <c r="G62" s="52"/>
      <c r="H62" s="52"/>
      <c r="I62" s="52"/>
      <c r="K62" s="52"/>
      <c r="L62" s="78"/>
      <c r="M62" s="78"/>
      <c r="N62" s="78"/>
      <c r="O62" s="73"/>
      <c r="P62" s="73"/>
      <c r="Q62" s="73"/>
    </row>
    <row r="63" spans="1:17" x14ac:dyDescent="0.25">
      <c r="A63" s="21" t="s">
        <v>186</v>
      </c>
      <c r="B63" s="22" t="s">
        <v>103</v>
      </c>
      <c r="C63" s="54">
        <v>1.6576598270731711</v>
      </c>
      <c r="D63" s="54">
        <v>-0.25016300000000002</v>
      </c>
      <c r="E63" s="54">
        <v>-0.70022700000000004</v>
      </c>
      <c r="F63" s="8" t="s">
        <v>11</v>
      </c>
      <c r="G63" s="52"/>
      <c r="H63" s="52"/>
      <c r="I63" s="52"/>
      <c r="K63" s="52"/>
      <c r="L63" s="78"/>
      <c r="M63" s="78"/>
      <c r="N63" s="78"/>
      <c r="O63" s="73"/>
      <c r="P63" s="73"/>
      <c r="Q63" s="73"/>
    </row>
    <row r="64" spans="1:17" x14ac:dyDescent="0.25">
      <c r="A64" s="5" t="s">
        <v>194</v>
      </c>
      <c r="B64" s="7" t="s">
        <v>91</v>
      </c>
      <c r="C64" s="55">
        <v>1.5678307265829878</v>
      </c>
      <c r="D64" s="55">
        <v>7.0678471493200004</v>
      </c>
      <c r="E64" s="55">
        <v>-0.67719220648</v>
      </c>
      <c r="F64" s="6" t="s">
        <v>14</v>
      </c>
      <c r="G64" s="52"/>
      <c r="H64" s="52"/>
      <c r="I64" s="52"/>
      <c r="K64" s="52"/>
      <c r="L64" s="78"/>
      <c r="M64" s="78"/>
      <c r="N64" s="78"/>
      <c r="O64" s="73"/>
      <c r="P64" s="73"/>
      <c r="Q64" s="73"/>
    </row>
    <row r="65" spans="1:17" x14ac:dyDescent="0.25">
      <c r="A65" s="21" t="s">
        <v>181</v>
      </c>
      <c r="B65" s="22" t="s">
        <v>114</v>
      </c>
      <c r="C65" s="54">
        <v>1.500732123170732</v>
      </c>
      <c r="D65" s="54">
        <v>-5.4506550000000002</v>
      </c>
      <c r="E65" s="54">
        <v>-0.43942300000000001</v>
      </c>
      <c r="F65" s="8" t="s">
        <v>17</v>
      </c>
      <c r="G65" s="52"/>
      <c r="H65" s="52"/>
      <c r="I65" s="52"/>
      <c r="K65" s="52"/>
      <c r="L65" s="78"/>
      <c r="M65" s="78"/>
      <c r="N65" s="78"/>
      <c r="O65" s="73"/>
      <c r="P65" s="73"/>
      <c r="Q65" s="73"/>
    </row>
    <row r="66" spans="1:17" x14ac:dyDescent="0.25">
      <c r="A66" s="5" t="s">
        <v>182</v>
      </c>
      <c r="B66" s="7" t="s">
        <v>111</v>
      </c>
      <c r="C66" s="55">
        <v>1.4582517206765608</v>
      </c>
      <c r="D66" s="55">
        <v>-1.2660220010500001</v>
      </c>
      <c r="E66" s="55">
        <v>5.7982680670000002E-2</v>
      </c>
      <c r="F66" s="6" t="s">
        <v>10</v>
      </c>
      <c r="G66" s="52"/>
      <c r="H66" s="52"/>
      <c r="I66" s="52"/>
      <c r="K66" s="52"/>
      <c r="L66" s="78"/>
      <c r="M66" s="78"/>
      <c r="N66" s="78"/>
      <c r="O66" s="73"/>
      <c r="P66" s="73"/>
      <c r="Q66" s="73"/>
    </row>
    <row r="67" spans="1:17" x14ac:dyDescent="0.25">
      <c r="A67" s="21" t="s">
        <v>239</v>
      </c>
      <c r="B67" s="22" t="s">
        <v>240</v>
      </c>
      <c r="C67" s="54">
        <v>1.455362185365854</v>
      </c>
      <c r="D67" s="54">
        <v>-15.876248</v>
      </c>
      <c r="E67" s="54">
        <v>-0.93619699999999995</v>
      </c>
      <c r="F67" s="8" t="s">
        <v>144</v>
      </c>
      <c r="G67" s="52"/>
      <c r="H67" s="52"/>
      <c r="I67" s="52"/>
      <c r="K67" s="52"/>
      <c r="L67" s="78"/>
      <c r="M67" s="78"/>
      <c r="N67" s="78"/>
      <c r="O67" s="73"/>
      <c r="P67" s="73"/>
      <c r="Q67" s="73"/>
    </row>
    <row r="68" spans="1:17" x14ac:dyDescent="0.25">
      <c r="A68" s="5" t="s">
        <v>218</v>
      </c>
      <c r="B68" s="7" t="s">
        <v>217</v>
      </c>
      <c r="C68" s="55">
        <v>1.4150603752439019</v>
      </c>
      <c r="D68" s="55">
        <v>2.8996344999999999</v>
      </c>
      <c r="E68" s="55">
        <v>-0.179145</v>
      </c>
      <c r="F68" s="6" t="s">
        <v>14</v>
      </c>
      <c r="G68" s="52"/>
      <c r="H68" s="52"/>
      <c r="I68" s="52"/>
      <c r="K68" s="52"/>
      <c r="L68" s="78"/>
      <c r="M68" s="78"/>
      <c r="N68" s="78"/>
      <c r="O68" s="73"/>
      <c r="P68" s="73"/>
      <c r="Q68" s="73"/>
    </row>
    <row r="69" spans="1:17" x14ac:dyDescent="0.25">
      <c r="A69" s="21" t="s">
        <v>198</v>
      </c>
      <c r="B69" s="22" t="s">
        <v>120</v>
      </c>
      <c r="C69" s="54">
        <v>1.3556936585365851</v>
      </c>
      <c r="D69" s="54">
        <v>13.243513500000001</v>
      </c>
      <c r="E69" s="54">
        <v>0.54228100000000001</v>
      </c>
      <c r="F69" s="8" t="s">
        <v>144</v>
      </c>
      <c r="G69" s="52"/>
      <c r="H69" s="52"/>
      <c r="I69" s="52"/>
      <c r="K69" s="52"/>
      <c r="L69" s="78"/>
      <c r="M69" s="78"/>
      <c r="N69" s="78"/>
      <c r="O69" s="73"/>
      <c r="P69" s="73"/>
      <c r="Q69" s="73"/>
    </row>
    <row r="70" spans="1:17" x14ac:dyDescent="0.25">
      <c r="A70" s="5" t="s">
        <v>204</v>
      </c>
      <c r="B70" s="7" t="s">
        <v>117</v>
      </c>
      <c r="C70" s="55">
        <v>1.2970781512195122</v>
      </c>
      <c r="D70" s="55">
        <v>-0.85403589999999996</v>
      </c>
      <c r="E70" s="55">
        <v>-9.7287500000000013E-2</v>
      </c>
      <c r="F70" s="6" t="s">
        <v>143</v>
      </c>
      <c r="G70" s="52"/>
      <c r="H70" s="52"/>
      <c r="I70" s="52"/>
      <c r="K70" s="52"/>
      <c r="L70" s="78"/>
      <c r="M70" s="78"/>
      <c r="N70" s="78"/>
      <c r="O70" s="73"/>
      <c r="P70" s="73"/>
      <c r="Q70" s="73"/>
    </row>
    <row r="71" spans="1:17" x14ac:dyDescent="0.25">
      <c r="A71" s="21" t="s">
        <v>255</v>
      </c>
      <c r="B71" s="22" t="s">
        <v>256</v>
      </c>
      <c r="C71" s="54">
        <v>1.1602539329268289</v>
      </c>
      <c r="D71" s="54">
        <v>-8.6987400000000008</v>
      </c>
      <c r="E71" s="54">
        <v>0.24238899999999999</v>
      </c>
      <c r="F71" s="8" t="s">
        <v>11</v>
      </c>
      <c r="G71" s="52"/>
      <c r="H71" s="52"/>
      <c r="I71" s="52"/>
      <c r="K71" s="52"/>
      <c r="L71" s="78"/>
      <c r="M71" s="78"/>
      <c r="N71" s="78"/>
      <c r="O71" s="73"/>
      <c r="P71" s="73"/>
      <c r="Q71" s="73"/>
    </row>
    <row r="72" spans="1:17" x14ac:dyDescent="0.25">
      <c r="A72" s="5" t="s">
        <v>191</v>
      </c>
      <c r="B72" s="7" t="s">
        <v>123</v>
      </c>
      <c r="C72" s="55">
        <v>1.1511102512195119</v>
      </c>
      <c r="D72" s="55">
        <v>-6.9226279999999996</v>
      </c>
      <c r="E72" s="55">
        <v>-0.60266900000000001</v>
      </c>
      <c r="F72" s="6" t="s">
        <v>141</v>
      </c>
      <c r="G72" s="52"/>
      <c r="H72" s="52"/>
      <c r="I72" s="52"/>
      <c r="K72" s="52"/>
      <c r="L72" s="78"/>
      <c r="M72" s="78"/>
      <c r="N72" s="78"/>
      <c r="O72" s="73"/>
      <c r="P72" s="73"/>
      <c r="Q72" s="73"/>
    </row>
    <row r="73" spans="1:17" x14ac:dyDescent="0.25">
      <c r="A73" s="21" t="s">
        <v>208</v>
      </c>
      <c r="B73" s="22" t="s">
        <v>137</v>
      </c>
      <c r="C73" s="54">
        <v>1.1025131841463409</v>
      </c>
      <c r="D73" s="54">
        <v>0.16998450000000009</v>
      </c>
      <c r="E73" s="54">
        <v>5.4190800000000011E-2</v>
      </c>
      <c r="F73" s="8" t="s">
        <v>16</v>
      </c>
      <c r="G73" s="52"/>
      <c r="H73" s="52"/>
      <c r="I73" s="52"/>
      <c r="K73" s="52"/>
      <c r="L73" s="78"/>
      <c r="M73" s="78"/>
      <c r="N73" s="78"/>
      <c r="O73" s="73"/>
      <c r="P73" s="73"/>
      <c r="Q73" s="73"/>
    </row>
    <row r="74" spans="1:17" x14ac:dyDescent="0.25">
      <c r="A74" s="5" t="s">
        <v>253</v>
      </c>
      <c r="B74" s="7" t="s">
        <v>254</v>
      </c>
      <c r="C74" s="55">
        <v>1.085428817073171</v>
      </c>
      <c r="D74" s="55">
        <v>-16.130365000000001</v>
      </c>
      <c r="E74" s="55">
        <v>-0.16784950000000001</v>
      </c>
      <c r="F74" s="6" t="s">
        <v>142</v>
      </c>
      <c r="G74" s="52"/>
      <c r="H74" s="52"/>
      <c r="I74" s="52"/>
      <c r="K74" s="52"/>
      <c r="L74" s="78"/>
      <c r="M74" s="78"/>
      <c r="N74" s="78"/>
      <c r="O74" s="73"/>
      <c r="P74" s="73"/>
      <c r="Q74" s="73"/>
    </row>
    <row r="75" spans="1:17" x14ac:dyDescent="0.25">
      <c r="A75" s="21" t="s">
        <v>207</v>
      </c>
      <c r="B75" s="22" t="s">
        <v>135</v>
      </c>
      <c r="C75" s="54">
        <v>1.070760207317073</v>
      </c>
      <c r="D75" s="54">
        <v>11.0777205</v>
      </c>
      <c r="E75" s="54">
        <v>0.49532599999999999</v>
      </c>
      <c r="F75" s="8" t="s">
        <v>142</v>
      </c>
      <c r="G75" s="52"/>
      <c r="H75" s="52"/>
      <c r="I75" s="52"/>
      <c r="K75" s="52"/>
      <c r="L75" s="78"/>
      <c r="M75" s="78"/>
      <c r="N75" s="78"/>
      <c r="O75" s="73"/>
      <c r="P75" s="73"/>
      <c r="Q75" s="73"/>
    </row>
    <row r="76" spans="1:17" x14ac:dyDescent="0.25">
      <c r="A76" s="5" t="s">
        <v>241</v>
      </c>
      <c r="B76" s="7" t="s">
        <v>242</v>
      </c>
      <c r="C76" s="55">
        <v>1.045795701219512</v>
      </c>
      <c r="D76" s="55">
        <v>35.794234000000003</v>
      </c>
      <c r="E76" s="55">
        <v>-0.491699</v>
      </c>
      <c r="F76" s="6" t="s">
        <v>11</v>
      </c>
      <c r="G76" s="52"/>
      <c r="H76" s="52"/>
      <c r="I76" s="52"/>
      <c r="K76" s="52"/>
      <c r="L76" s="78"/>
      <c r="M76" s="78"/>
      <c r="N76" s="78"/>
      <c r="O76" s="73"/>
      <c r="P76" s="73"/>
      <c r="Q76" s="73"/>
    </row>
    <row r="77" spans="1:17" x14ac:dyDescent="0.25">
      <c r="A77" s="21" t="s">
        <v>209</v>
      </c>
      <c r="B77" s="22" t="s">
        <v>139</v>
      </c>
      <c r="C77" s="54">
        <v>0.99953131707317067</v>
      </c>
      <c r="D77" s="54">
        <v>-7.1921210000000002</v>
      </c>
      <c r="E77" s="54">
        <v>7.5424000000000005E-2</v>
      </c>
      <c r="F77" s="8" t="s">
        <v>14</v>
      </c>
      <c r="G77" s="52"/>
      <c r="H77" s="52"/>
      <c r="I77" s="52"/>
      <c r="K77" s="52"/>
      <c r="L77" s="78"/>
      <c r="M77" s="78"/>
      <c r="N77" s="78"/>
      <c r="O77" s="73"/>
      <c r="P77" s="73"/>
      <c r="Q77" s="73"/>
    </row>
    <row r="78" spans="1:17" x14ac:dyDescent="0.25">
      <c r="A78" s="5" t="s">
        <v>173</v>
      </c>
      <c r="B78" s="7" t="s">
        <v>92</v>
      </c>
      <c r="C78" s="55">
        <v>0.98554221951219512</v>
      </c>
      <c r="D78" s="55">
        <v>0.77973049999999999</v>
      </c>
      <c r="E78" s="55">
        <v>0.56463050000000004</v>
      </c>
      <c r="F78" s="6" t="s">
        <v>14</v>
      </c>
      <c r="G78" s="52"/>
      <c r="H78" s="52"/>
      <c r="I78" s="52"/>
      <c r="K78" s="52"/>
      <c r="L78" s="78"/>
      <c r="M78" s="78"/>
      <c r="N78" s="78"/>
      <c r="O78" s="73"/>
      <c r="P78" s="73"/>
      <c r="Q78" s="73"/>
    </row>
    <row r="79" spans="1:17" x14ac:dyDescent="0.25">
      <c r="A79" s="21" t="s">
        <v>251</v>
      </c>
      <c r="B79" s="22" t="s">
        <v>252</v>
      </c>
      <c r="C79" s="54">
        <v>0.97099438414634143</v>
      </c>
      <c r="D79" s="54">
        <v>3.2939965</v>
      </c>
      <c r="E79" s="54">
        <v>0.80862250000000002</v>
      </c>
      <c r="F79" s="8" t="s">
        <v>15</v>
      </c>
      <c r="G79" s="52"/>
      <c r="H79" s="52"/>
      <c r="I79" s="52"/>
      <c r="K79" s="52"/>
      <c r="L79" s="78"/>
      <c r="M79" s="78"/>
      <c r="N79" s="78"/>
      <c r="O79" s="73"/>
      <c r="P79" s="73"/>
      <c r="Q79" s="73"/>
    </row>
    <row r="80" spans="1:17" x14ac:dyDescent="0.25">
      <c r="A80" s="5" t="s">
        <v>230</v>
      </c>
      <c r="B80" s="7" t="s">
        <v>231</v>
      </c>
      <c r="C80" s="55">
        <v>0.93571620121951216</v>
      </c>
      <c r="D80" s="55">
        <v>16.290434999999999</v>
      </c>
      <c r="E80" s="55">
        <v>-6.051200000000001E-2</v>
      </c>
      <c r="F80" s="6" t="s">
        <v>10</v>
      </c>
      <c r="G80" s="52"/>
      <c r="H80" s="52"/>
      <c r="I80" s="52"/>
      <c r="K80" s="52"/>
      <c r="L80" s="78"/>
      <c r="M80" s="78"/>
      <c r="N80" s="78"/>
      <c r="O80" s="73"/>
      <c r="P80" s="73"/>
      <c r="Q80" s="73"/>
    </row>
    <row r="81" spans="1:17" x14ac:dyDescent="0.25">
      <c r="A81" s="21" t="s">
        <v>195</v>
      </c>
      <c r="B81" s="22" t="s">
        <v>122</v>
      </c>
      <c r="C81" s="54">
        <v>0.93007458536585363</v>
      </c>
      <c r="D81" s="54">
        <v>-9.0619750000000003</v>
      </c>
      <c r="E81" s="54">
        <v>-1.5092289999999999</v>
      </c>
      <c r="F81" s="8" t="s">
        <v>17</v>
      </c>
      <c r="G81" s="52"/>
      <c r="H81" s="52"/>
      <c r="I81" s="52"/>
      <c r="K81" s="52"/>
      <c r="L81" s="78"/>
      <c r="M81" s="78"/>
      <c r="N81" s="78"/>
      <c r="O81" s="73"/>
      <c r="P81" s="73"/>
      <c r="Q81" s="73"/>
    </row>
    <row r="82" spans="1:17" x14ac:dyDescent="0.25">
      <c r="A82" s="5" t="s">
        <v>243</v>
      </c>
      <c r="B82" s="7" t="s">
        <v>244</v>
      </c>
      <c r="C82" s="55">
        <v>0.91430297439024399</v>
      </c>
      <c r="D82" s="55">
        <v>-17.156088</v>
      </c>
      <c r="E82" s="55">
        <v>-7.4638999999999942E-2</v>
      </c>
      <c r="F82" s="6" t="s">
        <v>17</v>
      </c>
      <c r="G82" s="52"/>
      <c r="H82" s="52"/>
      <c r="I82" s="52"/>
      <c r="K82" s="52"/>
      <c r="L82" s="78"/>
      <c r="M82" s="78"/>
      <c r="N82" s="78"/>
      <c r="O82" s="73"/>
      <c r="P82" s="73"/>
      <c r="Q82" s="73"/>
    </row>
    <row r="83" spans="1:17" x14ac:dyDescent="0.25">
      <c r="A83" s="21" t="s">
        <v>236</v>
      </c>
      <c r="B83" s="22" t="s">
        <v>128</v>
      </c>
      <c r="C83" s="54">
        <v>0.89711457191224397</v>
      </c>
      <c r="D83" s="54">
        <v>0.18463825080000021</v>
      </c>
      <c r="E83" s="54">
        <v>-3.3068019300000071E-2</v>
      </c>
      <c r="F83" s="8" t="s">
        <v>17</v>
      </c>
      <c r="G83" s="52"/>
      <c r="H83" s="52"/>
      <c r="I83" s="52"/>
      <c r="K83" s="52"/>
      <c r="L83" s="78"/>
      <c r="M83" s="78"/>
      <c r="N83" s="78"/>
      <c r="O83" s="73"/>
      <c r="P83" s="73"/>
      <c r="Q83" s="73"/>
    </row>
    <row r="84" spans="1:17" x14ac:dyDescent="0.25">
      <c r="A84" s="5" t="s">
        <v>175</v>
      </c>
      <c r="B84" s="7" t="s">
        <v>106</v>
      </c>
      <c r="C84" s="55">
        <v>0.88447893292682933</v>
      </c>
      <c r="D84" s="55">
        <v>-4.6338340000000002</v>
      </c>
      <c r="E84" s="55">
        <v>8.9907500000000001E-2</v>
      </c>
      <c r="F84" s="6" t="s">
        <v>142</v>
      </c>
      <c r="G84" s="52"/>
      <c r="H84" s="52"/>
      <c r="I84" s="52"/>
      <c r="K84" s="52"/>
      <c r="L84" s="78"/>
      <c r="M84" s="78"/>
      <c r="N84" s="78"/>
      <c r="O84" s="73"/>
      <c r="P84" s="73"/>
      <c r="Q84" s="73"/>
    </row>
    <row r="85" spans="1:17" x14ac:dyDescent="0.25">
      <c r="A85" s="21" t="s">
        <v>234</v>
      </c>
      <c r="B85" s="22" t="s">
        <v>235</v>
      </c>
      <c r="C85" s="54">
        <v>0.81267856707317065</v>
      </c>
      <c r="D85" s="54">
        <v>3.3613940000000002</v>
      </c>
      <c r="E85" s="54">
        <v>0.24151300000000001</v>
      </c>
      <c r="F85" s="8" t="s">
        <v>16</v>
      </c>
      <c r="G85" s="52"/>
      <c r="H85" s="52"/>
      <c r="I85" s="52"/>
      <c r="K85" s="52"/>
      <c r="L85" s="78"/>
      <c r="M85" s="78"/>
      <c r="N85" s="78"/>
      <c r="O85" s="73"/>
      <c r="P85" s="73"/>
      <c r="Q85" s="73"/>
    </row>
    <row r="86" spans="1:17" x14ac:dyDescent="0.25">
      <c r="A86" s="5" t="s">
        <v>202</v>
      </c>
      <c r="B86" s="7" t="s">
        <v>125</v>
      </c>
      <c r="C86" s="55">
        <v>0.80171580949109755</v>
      </c>
      <c r="D86" s="55">
        <v>-2.8609593018599999</v>
      </c>
      <c r="E86" s="55">
        <v>0.28810715519999996</v>
      </c>
      <c r="F86" s="6" t="s">
        <v>17</v>
      </c>
      <c r="G86" s="52"/>
      <c r="H86" s="52"/>
      <c r="I86" s="52"/>
      <c r="K86" s="52"/>
      <c r="L86" s="78"/>
      <c r="M86" s="78"/>
      <c r="N86" s="78"/>
      <c r="O86" s="73"/>
      <c r="P86" s="73"/>
      <c r="Q86" s="73"/>
    </row>
    <row r="87" spans="1:17" x14ac:dyDescent="0.25">
      <c r="A87" s="21" t="s">
        <v>247</v>
      </c>
      <c r="B87" s="22" t="s">
        <v>248</v>
      </c>
      <c r="C87" s="54">
        <v>0.75450130975609753</v>
      </c>
      <c r="D87" s="54">
        <v>-9.0881455999999989</v>
      </c>
      <c r="E87" s="54">
        <v>-0.32459060000000012</v>
      </c>
      <c r="F87" s="8" t="s">
        <v>13</v>
      </c>
      <c r="G87" s="52"/>
      <c r="H87" s="52"/>
      <c r="I87" s="52"/>
      <c r="K87" s="52"/>
      <c r="L87" s="78"/>
      <c r="M87" s="78"/>
      <c r="N87" s="78"/>
      <c r="O87" s="73"/>
      <c r="P87" s="73"/>
      <c r="Q87" s="73"/>
    </row>
    <row r="88" spans="1:17" x14ac:dyDescent="0.25">
      <c r="A88" s="5" t="s">
        <v>245</v>
      </c>
      <c r="B88" s="7" t="s">
        <v>246</v>
      </c>
      <c r="C88" s="55">
        <v>0.73114942682926831</v>
      </c>
      <c r="D88" s="55">
        <v>-4.5055540000000001</v>
      </c>
      <c r="E88" s="55">
        <v>0.775563</v>
      </c>
      <c r="F88" s="6" t="s">
        <v>17</v>
      </c>
      <c r="G88" s="52"/>
      <c r="H88" s="52"/>
      <c r="I88" s="52"/>
      <c r="K88" s="52"/>
      <c r="L88" s="78"/>
      <c r="M88" s="78"/>
      <c r="N88" s="78"/>
      <c r="O88" s="73"/>
      <c r="P88" s="73"/>
      <c r="Q88" s="73"/>
    </row>
    <row r="89" spans="1:17" x14ac:dyDescent="0.25">
      <c r="A89" s="21" t="s">
        <v>263</v>
      </c>
      <c r="B89" s="22" t="s">
        <v>264</v>
      </c>
      <c r="C89" s="54">
        <v>0.72839866585365853</v>
      </c>
      <c r="D89" s="54">
        <v>0.31712750000000001</v>
      </c>
      <c r="E89" s="54">
        <v>0.24965699999999999</v>
      </c>
      <c r="F89" s="8" t="s">
        <v>14</v>
      </c>
      <c r="G89" s="52"/>
      <c r="H89" s="52"/>
      <c r="I89" s="52"/>
      <c r="K89" s="52"/>
      <c r="L89" s="78"/>
      <c r="M89" s="78"/>
      <c r="N89" s="78"/>
      <c r="O89" s="73"/>
      <c r="P89" s="73"/>
      <c r="Q89" s="73"/>
    </row>
    <row r="90" spans="1:17" x14ac:dyDescent="0.25">
      <c r="A90" s="5" t="s">
        <v>201</v>
      </c>
      <c r="B90" s="7" t="s">
        <v>133</v>
      </c>
      <c r="C90" s="55">
        <v>0.6290997804878049</v>
      </c>
      <c r="D90" s="55">
        <v>-1.1682760000000001</v>
      </c>
      <c r="E90" s="55">
        <v>0.96049600000000002</v>
      </c>
      <c r="F90" s="6" t="s">
        <v>17</v>
      </c>
      <c r="G90" s="52"/>
      <c r="H90" s="52"/>
      <c r="I90" s="52"/>
      <c r="K90" s="52"/>
      <c r="L90" s="78"/>
      <c r="M90" s="78"/>
      <c r="N90" s="78"/>
      <c r="O90" s="73"/>
      <c r="P90" s="73"/>
      <c r="Q90" s="73"/>
    </row>
    <row r="91" spans="1:17" x14ac:dyDescent="0.25">
      <c r="A91" s="21" t="s">
        <v>237</v>
      </c>
      <c r="B91" s="22" t="s">
        <v>238</v>
      </c>
      <c r="C91" s="54">
        <v>0.60276541463414635</v>
      </c>
      <c r="D91" s="54">
        <v>-0.17814350000000001</v>
      </c>
      <c r="E91" s="54">
        <v>-0.51419499999999996</v>
      </c>
      <c r="F91" s="8" t="s">
        <v>16</v>
      </c>
      <c r="G91" s="52"/>
      <c r="H91" s="52"/>
      <c r="I91" s="52"/>
      <c r="K91" s="52"/>
      <c r="L91" s="78"/>
      <c r="M91" s="78"/>
      <c r="N91" s="78"/>
      <c r="O91" s="73"/>
      <c r="P91" s="73"/>
      <c r="Q91" s="73"/>
    </row>
    <row r="92" spans="1:17" x14ac:dyDescent="0.25">
      <c r="A92" s="5" t="s">
        <v>212</v>
      </c>
      <c r="B92" s="7" t="s">
        <v>213</v>
      </c>
      <c r="C92" s="55">
        <v>0.58542799999999995</v>
      </c>
      <c r="D92" s="55">
        <v>-0.1104328</v>
      </c>
      <c r="E92" s="55">
        <v>1.04338E-2</v>
      </c>
      <c r="F92" s="6" t="s">
        <v>143</v>
      </c>
      <c r="G92" s="52"/>
      <c r="H92" s="52"/>
      <c r="I92" s="52"/>
      <c r="K92" s="52"/>
      <c r="L92" s="78"/>
      <c r="M92" s="78"/>
      <c r="N92" s="78"/>
      <c r="O92" s="73"/>
      <c r="P92" s="73"/>
      <c r="Q92" s="73"/>
    </row>
    <row r="93" spans="1:17" x14ac:dyDescent="0.25">
      <c r="A93" s="21" t="s">
        <v>206</v>
      </c>
      <c r="B93" s="22" t="s">
        <v>140</v>
      </c>
      <c r="C93" s="54">
        <v>0.56158543999999999</v>
      </c>
      <c r="D93" s="54">
        <v>-6.2957391999999999</v>
      </c>
      <c r="E93" s="54">
        <v>3.2070000000000059E-3</v>
      </c>
      <c r="F93" s="8" t="s">
        <v>14</v>
      </c>
      <c r="G93" s="52"/>
      <c r="H93" s="52"/>
      <c r="I93" s="52"/>
      <c r="K93" s="52"/>
      <c r="L93" s="78"/>
      <c r="M93" s="78"/>
      <c r="N93" s="78"/>
      <c r="O93" s="73"/>
      <c r="P93" s="73"/>
      <c r="Q93" s="73"/>
    </row>
    <row r="94" spans="1:17" x14ac:dyDescent="0.25">
      <c r="A94" s="5" t="s">
        <v>266</v>
      </c>
      <c r="B94" s="7" t="s">
        <v>267</v>
      </c>
      <c r="C94" s="55">
        <v>0.54255721951219504</v>
      </c>
      <c r="D94" s="55">
        <v>20.300612999999998</v>
      </c>
      <c r="E94" s="55">
        <v>8.9947619999999997</v>
      </c>
      <c r="F94" s="6" t="s">
        <v>14</v>
      </c>
      <c r="G94" s="52"/>
      <c r="H94" s="52"/>
      <c r="I94" s="52"/>
      <c r="K94" s="52"/>
      <c r="L94" s="78"/>
      <c r="M94" s="78"/>
      <c r="N94" s="78"/>
      <c r="O94" s="73"/>
      <c r="P94" s="73"/>
      <c r="Q94" s="73"/>
    </row>
    <row r="95" spans="1:17" x14ac:dyDescent="0.25">
      <c r="A95" s="21" t="s">
        <v>205</v>
      </c>
      <c r="B95" s="22" t="s">
        <v>138</v>
      </c>
      <c r="C95" s="54">
        <v>0.52689384756097557</v>
      </c>
      <c r="D95" s="54">
        <v>-2.2844715</v>
      </c>
      <c r="E95" s="54">
        <v>-3.3943000000000001E-2</v>
      </c>
      <c r="F95" s="8" t="s">
        <v>14</v>
      </c>
      <c r="G95" s="52"/>
      <c r="H95" s="52"/>
      <c r="I95" s="52"/>
      <c r="K95" s="52"/>
      <c r="L95" s="78"/>
      <c r="M95" s="78"/>
      <c r="N95" s="78"/>
      <c r="O95" s="73"/>
      <c r="P95" s="73"/>
      <c r="Q95" s="73"/>
    </row>
    <row r="96" spans="1:17" x14ac:dyDescent="0.25">
      <c r="A96" s="5" t="s">
        <v>200</v>
      </c>
      <c r="B96" s="7" t="s">
        <v>119</v>
      </c>
      <c r="C96" s="55">
        <v>0.5119771464412195</v>
      </c>
      <c r="D96" s="55">
        <v>-2.2582171951199999</v>
      </c>
      <c r="E96" s="55">
        <v>-0.40141088793999996</v>
      </c>
      <c r="F96" s="6" t="s">
        <v>17</v>
      </c>
      <c r="G96" s="52"/>
      <c r="H96" s="52"/>
      <c r="I96" s="52"/>
      <c r="K96" s="52"/>
      <c r="L96" s="78"/>
      <c r="M96" s="78"/>
      <c r="N96" s="78"/>
      <c r="O96" s="73"/>
      <c r="P96" s="73"/>
      <c r="Q96" s="73"/>
    </row>
    <row r="97" spans="1:17" x14ac:dyDescent="0.25">
      <c r="A97" s="21" t="s">
        <v>257</v>
      </c>
      <c r="B97" s="22" t="s">
        <v>258</v>
      </c>
      <c r="C97" s="54">
        <v>0.49801999390243901</v>
      </c>
      <c r="D97" s="54">
        <v>6.8159014999999998</v>
      </c>
      <c r="E97" s="54">
        <v>0.277644</v>
      </c>
      <c r="F97" s="8" t="s">
        <v>142</v>
      </c>
      <c r="G97" s="52"/>
      <c r="H97" s="52"/>
      <c r="I97" s="52"/>
      <c r="K97" s="52"/>
      <c r="L97" s="78"/>
      <c r="M97" s="78"/>
      <c r="N97" s="78"/>
      <c r="O97" s="73"/>
      <c r="P97" s="73"/>
      <c r="Q97" s="73"/>
    </row>
    <row r="98" spans="1:17" x14ac:dyDescent="0.25">
      <c r="A98" s="5" t="s">
        <v>249</v>
      </c>
      <c r="B98" s="7" t="s">
        <v>250</v>
      </c>
      <c r="C98" s="55">
        <v>0.48753664146341458</v>
      </c>
      <c r="D98" s="55">
        <v>3.301396</v>
      </c>
      <c r="E98" s="55">
        <v>5.7002399999999988E-2</v>
      </c>
      <c r="F98" s="6" t="s">
        <v>14</v>
      </c>
      <c r="G98" s="52"/>
      <c r="H98" s="52"/>
      <c r="I98" s="52"/>
      <c r="K98" s="52"/>
      <c r="L98" s="78"/>
      <c r="M98" s="78"/>
      <c r="N98" s="78"/>
      <c r="O98" s="73"/>
      <c r="P98" s="73"/>
      <c r="Q98" s="73"/>
    </row>
    <row r="99" spans="1:17" x14ac:dyDescent="0.25">
      <c r="A99" s="21" t="s">
        <v>259</v>
      </c>
      <c r="B99" s="22" t="s">
        <v>260</v>
      </c>
      <c r="C99" s="54">
        <v>0.4788438536585366</v>
      </c>
      <c r="D99" s="54">
        <v>-4.0265455000000001</v>
      </c>
      <c r="E99" s="54">
        <v>-0.67206049999999995</v>
      </c>
      <c r="F99" s="8" t="s">
        <v>11</v>
      </c>
      <c r="G99" s="52"/>
      <c r="H99" s="52"/>
      <c r="I99" s="52"/>
      <c r="K99" s="52"/>
      <c r="L99" s="78"/>
      <c r="M99" s="78"/>
      <c r="N99" s="78"/>
      <c r="O99" s="73"/>
      <c r="P99" s="73"/>
      <c r="Q99" s="73"/>
    </row>
    <row r="100" spans="1:17" x14ac:dyDescent="0.25">
      <c r="A100" s="5" t="s">
        <v>261</v>
      </c>
      <c r="B100" s="7" t="s">
        <v>262</v>
      </c>
      <c r="C100" s="55">
        <v>0.46785593292682931</v>
      </c>
      <c r="D100" s="55">
        <v>-4.2834835</v>
      </c>
      <c r="E100" s="55">
        <v>6.9082500000000005E-2</v>
      </c>
      <c r="F100" s="6" t="s">
        <v>17</v>
      </c>
      <c r="G100" s="52"/>
      <c r="H100" s="52"/>
      <c r="I100" s="52"/>
      <c r="K100" s="52"/>
      <c r="L100" s="78"/>
      <c r="M100" s="78"/>
      <c r="N100" s="78"/>
      <c r="O100" s="73"/>
      <c r="P100" s="73"/>
      <c r="Q100" s="73"/>
    </row>
    <row r="101" spans="1:17" x14ac:dyDescent="0.25">
      <c r="A101" s="75" t="s">
        <v>232</v>
      </c>
      <c r="B101" s="76" t="s">
        <v>233</v>
      </c>
      <c r="C101" s="77">
        <v>0.43347856097560983</v>
      </c>
      <c r="D101" s="77">
        <v>-3.1575505000000001</v>
      </c>
      <c r="E101" s="77">
        <v>0.25845449999999998</v>
      </c>
      <c r="F101" s="9" t="s">
        <v>14</v>
      </c>
      <c r="G101" s="52"/>
      <c r="H101" s="52"/>
      <c r="I101" s="52"/>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131</v>
      </c>
      <c r="I106" s="78"/>
    </row>
    <row r="107" spans="1:17" x14ac:dyDescent="0.25">
      <c r="A107" s="11" t="s">
        <v>130</v>
      </c>
      <c r="I107" s="78"/>
    </row>
    <row r="108" spans="1:17" x14ac:dyDescent="0.25">
      <c r="A108" s="11" t="s">
        <v>134</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8 B50 B7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2025-05-05T03:43:08Z</dcterms:modified>
</cp:coreProperties>
</file>