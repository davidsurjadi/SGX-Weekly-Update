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8719EB9-5046-4EBE-B126-E34131677B27}"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5"/>
  <c r="C32" i="4" l="1"/>
  <c r="D32" i="4"/>
  <c r="A1" i="4" l="1"/>
  <c r="C18" i="1" l="1"/>
  <c r="F18" i="1" s="1"/>
  <c r="F5" i="1"/>
</calcChain>
</file>

<file path=xl/sharedStrings.xml><?xml version="1.0" encoding="utf-8"?>
<sst xmlns="http://schemas.openxmlformats.org/spreadsheetml/2006/main" count="520" uniqueCount="286">
  <si>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</si>
  <si>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</si>
  <si>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</si>
  <si>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</si>
  <si>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</si>
  <si>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</si>
  <si>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</si>
  <si>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</si>
  <si>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</si>
  <si>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</si>
  <si>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</si>
  <si>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</si>
  <si>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</si>
  <si>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</si>
  <si>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</si>
  <si>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</si>
  <si>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</si>
  <si>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</si>
  <si>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</si>
  <si>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</si>
  <si>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</si>
  <si>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</si>
  <si>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</si>
  <si>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</si>
  <si>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</si>
  <si>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</si>
  <si>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</si>
  <si>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</si>
  <si>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</si>
  <si>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</si>
  <si>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</si>
  <si>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</si>
  <si>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</si>
  <si>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</si>
  <si>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</si>
  <si>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</si>
  <si>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</si>
  <si>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</si>
  <si>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</si>
  <si>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</si>
  <si>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</si>
  <si>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</si>
  <si>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</si>
  <si>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</si>
  <si>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</si>
  <si>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</si>
  <si>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</si>
  <si>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</si>
  <si>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</si>
  <si>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</si>
  <si>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</si>
  <si>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</si>
  <si>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</si>
  <si>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</si>
  <si>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</si>
  <si>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</si>
  <si>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</si>
  <si>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</si>
  <si>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</si>
  <si>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</si>
  <si>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</si>
  <si>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</si>
  <si>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</si>
  <si>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</si>
  <si>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</si>
  <si>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</si>
  <si>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</si>
  <si>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</si>
  <si>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</si>
  <si>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</si>
  <si>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</si>
  <si>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</si>
  <si>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</si>
  <si>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</si>
  <si>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</si>
  <si>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</si>
  <si>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</si>
  <si>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</si>
  <si>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</si>
  <si>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</si>
  <si>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</si>
  <si>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</si>
  <si>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</si>
  <si>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</si>
  <si>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</si>
  <si>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</si>
  <si>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</si>
  <si>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</si>
  <si>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</si>
  <si>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</si>
  <si>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</si>
  <si>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</si>
  <si>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</si>
  <si>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</si>
  <si>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</si>
  <si>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</si>
  <si>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</si>
  <si>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</si>
  <si>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</si>
  <si>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</si>
  <si>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</si>
  <si>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</si>
  <si>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</si>
  <si>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</si>
  <si>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</si>
  <si>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</si>
  <si>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</si>
  <si>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</si>
  <si>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</si>
  <si>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</si>
  <si>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</si>
  <si>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</si>
  <si>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</si>
  <si>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</si>
  <si>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</si>
  <si>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</si>
  <si>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</si>
  <si>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</si>
  <si>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</si>
  <si>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</si>
  <si>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</si>
  <si>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</si>
  <si>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</si>
  <si>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</si>
  <si>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</si>
  <si>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</si>
  <si>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</si>
  <si>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</si>
  <si>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</si>
  <si>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</si>
  <si>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</si>
  <si>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</si>
  <si>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</si>
  <si>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</si>
  <si>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</si>
  <si>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</si>
  <si>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</si>
  <si>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</si>
  <si>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</si>
  <si>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</si>
  <si>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</si>
  <si>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</si>
  <si>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</si>
  <si>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</si>
  <si>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</si>
  <si>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</si>
  <si>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</si>
  <si>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</si>
  <si>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</si>
  <si>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</si>
  <si>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</si>
  <si>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</si>
  <si>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</si>
  <si>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</si>
  <si>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</si>
  <si>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</si>
  <si>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</si>
  <si>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</si>
  <si>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</si>
  <si>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</si>
  <si>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</si>
  <si>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</si>
  <si>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</si>
  <si>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</si>
  <si>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</si>
  <si>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</si>
  <si>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</si>
  <si>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</si>
  <si>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</si>
  <si>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</si>
  <si>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</si>
  <si>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</si>
  <si>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</si>
  <si>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</si>
  <si>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</si>
  <si>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</si>
  <si>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</si>
  <si>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</si>
  <si>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</si>
  <si>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</si>
  <si>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</si>
  <si>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</si>
  <si>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</si>
  <si>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</si>
  <si>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</si>
  <si>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</si>
  <si>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</si>
  <si>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</si>
  <si>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</si>
  <si>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</si>
  <si>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</si>
  <si>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</si>
  <si>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</si>
  <si>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</si>
  <si>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</si>
  <si>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</si>
  <si>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</si>
  <si>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</si>
  <si>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</si>
  <si>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</si>
  <si>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</si>
  <si>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</si>
  <si>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</si>
  <si>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</si>
  <si>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</si>
  <si>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</si>
  <si>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</si>
  <si>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</si>
  <si>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</si>
  <si>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</si>
  <si>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</si>
  <si>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</si>
  <si>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</si>
  <si>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</si>
  <si>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</si>
  <si>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</si>
  <si>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</si>
  <si>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</si>
  <si>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</si>
  <si>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</si>
  <si>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</si>
  <si>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</si>
  <si>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</si>
  <si>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</si>
  <si>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</si>
  <si>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</si>
  <si>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</si>
  <si>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</si>
  <si>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</si>
  <si>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</si>
  <si>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</si>
  <si>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</si>
  <si>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</si>
  <si>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</si>
  <si>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</si>
  <si>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</si>
  <si>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</si>
  <si>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</si>
  <si>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</si>
  <si>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</si>
  <si>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</si>
  <si>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</si>
  <si>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</si>
  <si>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</si>
  <si>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</si>
  <si>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</si>
  <si>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</si>
  <si>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</si>
  <si>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</si>
  <si>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</si>
  <si>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</si>
  <si>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</si>
  <si>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</si>
  <si>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</si>
  <si>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</si>
  <si>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</si>
  <si>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</si>
  <si>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</si>
  <si>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</si>
  <si>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</si>
  <si>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</si>
  <si>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</si>
  <si>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</si>
  <si>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</si>
  <si>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</si>
  <si>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Venture Corporation </t>
  </si>
  <si>
    <t xml:space="preserve">Seatrium </t>
  </si>
  <si>
    <t>Halcyon Agri</t>
  </si>
  <si>
    <t xml:space="preserve">Note that the above list of 100 most traded stocks is on a year-to-date basis and may include stocks that are currently suspended for trading. </t>
  </si>
  <si>
    <t>CapitaLand Ascott Trust</t>
  </si>
  <si>
    <t>OUE Commercial REIT</t>
  </si>
  <si>
    <t>Lendlease Global Commercial REIT</t>
  </si>
  <si>
    <t xml:space="preserve">Genting Singapore </t>
  </si>
  <si>
    <r>
      <t>Institutional investors net</t>
    </r>
    <r>
      <rPr>
        <b/>
        <sz val="11"/>
        <rFont val="Arial"/>
        <family val="2"/>
      </rPr>
      <t xml:space="preserve"> sell</t>
    </r>
    <r>
      <rPr>
        <sz val="11"/>
        <rFont val="Arial"/>
        <family val="2"/>
      </rPr>
      <t xml:space="preserve"> (-S$35.5m) vs. (+S$147.9m) a week ago</t>
    </r>
  </si>
  <si>
    <t>Week of 28 August 2023</t>
  </si>
  <si>
    <r>
      <t>Retail investors net</t>
    </r>
    <r>
      <rPr>
        <b/>
        <sz val="11"/>
        <rFont val="Arial"/>
        <family val="2"/>
      </rPr>
      <t xml:space="preserve"> sell</t>
    </r>
    <r>
      <rPr>
        <sz val="11"/>
        <rFont val="Arial"/>
        <family val="2"/>
      </rPr>
      <t xml:space="preserve"> (-S$46.8m) vs. (+S$157.5m) a week ago</t>
    </r>
  </si>
  <si>
    <t>BQF</t>
  </si>
  <si>
    <t>Frasers Centrepoint Trust</t>
  </si>
  <si>
    <t xml:space="preserve">Sembcorp Industries </t>
  </si>
  <si>
    <t xml:space="preserve">CapitaLand Investment </t>
  </si>
  <si>
    <t>CDL Hospitality Trusts</t>
  </si>
  <si>
    <t>CSE Global</t>
  </si>
  <si>
    <t>544</t>
  </si>
  <si>
    <t>XMH Holdings</t>
  </si>
  <si>
    <t>UMS Holdings</t>
  </si>
  <si>
    <t>Mapletree Pan Asia Commercial 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</si>
</sst>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274</v>
      </c>
    </row>
    <row r="2" spans="1:13" x14ac:dyDescent="0.25">
      <c r="A2" s="56" t="s">
        <v>273</v>
      </c>
    </row>
    <row r="3" spans="1:13" x14ac:dyDescent="0.25">
      <c r="A3" s="56" t="s">
        <v>275</v>
      </c>
    </row>
    <row r="5" spans="1:13" ht="29.25" customHeight="1" x14ac:dyDescent="0.25">
      <c r="A5" s="3" t="s">
        <v>0</v>
      </c>
      <c r="B5" s="3" t="s">
        <v>1</v>
      </c>
      <c r="C5" s="4" t="s">
        <v>274</v>
      </c>
      <c r="D5" s="45" t="s">
        <v>2</v>
      </c>
      <c r="E5" s="45" t="s">
        <v>1</v>
      </c>
      <c r="F5" s="57" t="str">
        <f>+C5</f>
        <v>Week of 28 August 2023</v>
      </c>
    </row>
    <row r="6" spans="1:13" ht="14.4" x14ac:dyDescent="0.3">
      <c r="A6" s="41" t="s">
        <v>278</v>
      </c>
      <c r="B6" s="39" t="s">
        <v>44</v>
      </c>
      <c r="C6" s="7">
        <v>51.268929</v>
      </c>
      <c r="D6" s="41" t="s">
        <v>265</v>
      </c>
      <c r="E6" s="39" t="s">
        <v>45</v>
      </c>
      <c r="F6" s="7">
        <v>-77.108464999999995</v>
      </c>
      <c r="K6" s="53"/>
      <c r="L6"/>
      <c r="M6"/>
    </row>
    <row r="7" spans="1:13" ht="14.4" x14ac:dyDescent="0.3">
      <c r="A7" s="42" t="s">
        <v>92</v>
      </c>
      <c r="B7" s="11" t="s">
        <v>26</v>
      </c>
      <c r="C7" s="9">
        <v>27.506461000000002</v>
      </c>
      <c r="D7" s="42" t="s">
        <v>27</v>
      </c>
      <c r="E7" s="11" t="s">
        <v>22</v>
      </c>
      <c r="F7" s="9">
        <v>-22.396998</v>
      </c>
      <c r="K7" s="53"/>
      <c r="L7"/>
      <c r="M7"/>
    </row>
    <row r="8" spans="1:13" ht="14.4" x14ac:dyDescent="0.3">
      <c r="A8" s="43" t="s">
        <v>266</v>
      </c>
      <c r="B8" s="39" t="s">
        <v>93</v>
      </c>
      <c r="C8" s="7">
        <v>15.1304394</v>
      </c>
      <c r="D8" s="43" t="s">
        <v>272</v>
      </c>
      <c r="E8" s="39" t="s">
        <v>37</v>
      </c>
      <c r="F8" s="7">
        <v>-19.207273000000001</v>
      </c>
      <c r="K8" s="53"/>
      <c r="L8"/>
      <c r="M8"/>
    </row>
    <row r="9" spans="1:13" ht="14.4" x14ac:dyDescent="0.3">
      <c r="A9" s="42" t="s">
        <v>34</v>
      </c>
      <c r="B9" s="11" t="s">
        <v>32</v>
      </c>
      <c r="C9" s="9">
        <v>14.001454000000001</v>
      </c>
      <c r="D9" s="42" t="s">
        <v>63</v>
      </c>
      <c r="E9" s="11" t="s">
        <v>55</v>
      </c>
      <c r="F9" s="9">
        <v>-16.613019000000001</v>
      </c>
      <c r="K9" s="53"/>
      <c r="L9"/>
      <c r="M9"/>
    </row>
    <row r="10" spans="1:13" ht="14.4" x14ac:dyDescent="0.3">
      <c r="A10" s="43" t="s">
        <v>79</v>
      </c>
      <c r="B10" s="39" t="s">
        <v>78</v>
      </c>
      <c r="C10" s="7">
        <v>13.392439</v>
      </c>
      <c r="D10" s="43" t="s">
        <v>269</v>
      </c>
      <c r="E10" s="39" t="s">
        <v>97</v>
      </c>
      <c r="F10" s="7">
        <v>-15.7606345</v>
      </c>
      <c r="K10" s="53"/>
      <c r="L10"/>
      <c r="M10"/>
    </row>
    <row r="11" spans="1:13" ht="14.4" x14ac:dyDescent="0.3">
      <c r="A11" s="42" t="s">
        <v>29</v>
      </c>
      <c r="B11" s="11" t="s">
        <v>24</v>
      </c>
      <c r="C11" s="9">
        <v>11.736375000000001</v>
      </c>
      <c r="D11" s="42" t="s">
        <v>28</v>
      </c>
      <c r="E11" s="11" t="s">
        <v>23</v>
      </c>
      <c r="F11" s="9">
        <v>-11.002822</v>
      </c>
      <c r="K11" s="53"/>
      <c r="L11"/>
      <c r="M11"/>
    </row>
    <row r="12" spans="1:13" ht="14.4" x14ac:dyDescent="0.3">
      <c r="A12" s="43" t="s">
        <v>284</v>
      </c>
      <c r="B12" s="39" t="s">
        <v>256</v>
      </c>
      <c r="C12" s="7">
        <v>9.9470299999999998</v>
      </c>
      <c r="D12" s="43" t="s">
        <v>51</v>
      </c>
      <c r="E12" s="39" t="s">
        <v>49</v>
      </c>
      <c r="F12" s="7">
        <v>-10.869314899999999</v>
      </c>
      <c r="K12" s="53"/>
      <c r="L12"/>
      <c r="M12"/>
    </row>
    <row r="13" spans="1:13" ht="14.4" x14ac:dyDescent="0.3">
      <c r="A13" s="42" t="s">
        <v>35</v>
      </c>
      <c r="B13" s="11" t="s">
        <v>33</v>
      </c>
      <c r="C13" s="9">
        <v>8.2585859999999993</v>
      </c>
      <c r="D13" s="42" t="s">
        <v>270</v>
      </c>
      <c r="E13" s="11" t="s">
        <v>262</v>
      </c>
      <c r="F13" s="9">
        <v>-9.2249125000000003</v>
      </c>
      <c r="K13" s="53"/>
      <c r="L13"/>
      <c r="M13"/>
    </row>
    <row r="14" spans="1:13" ht="14.4" x14ac:dyDescent="0.3">
      <c r="A14" s="43" t="s">
        <v>279</v>
      </c>
      <c r="B14" s="39" t="s">
        <v>87</v>
      </c>
      <c r="C14" s="7">
        <v>6.7755919999999996</v>
      </c>
      <c r="D14" s="43" t="s">
        <v>42</v>
      </c>
      <c r="E14" s="39" t="s">
        <v>40</v>
      </c>
      <c r="F14" s="7">
        <v>-8.0901940000000003</v>
      </c>
      <c r="K14" s="53"/>
      <c r="L14"/>
      <c r="M14"/>
    </row>
    <row r="15" spans="1:13" ht="14.4" x14ac:dyDescent="0.3">
      <c r="A15" s="44" t="s">
        <v>277</v>
      </c>
      <c r="B15" s="40" t="s">
        <v>118</v>
      </c>
      <c r="C15" s="10">
        <v>6.4758440000000004</v>
      </c>
      <c r="D15" s="44" t="s">
        <v>81</v>
      </c>
      <c r="E15" s="40" t="s">
        <v>58</v>
      </c>
      <c r="F15" s="10">
        <v>-7.3050259999999998</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28 August 2023</v>
      </c>
      <c r="D18" s="5" t="s">
        <v>4</v>
      </c>
      <c r="E18" s="45" t="s">
        <v>1</v>
      </c>
      <c r="F18" s="57" t="str">
        <f>+C18</f>
        <v>Week of 28 August 2023</v>
      </c>
    </row>
    <row r="19" spans="1:13" ht="14.4" x14ac:dyDescent="0.3">
      <c r="A19" s="41" t="s">
        <v>47</v>
      </c>
      <c r="B19" s="39" t="s">
        <v>44</v>
      </c>
      <c r="C19" s="7">
        <v>14.80707</v>
      </c>
      <c r="D19" s="41" t="s">
        <v>28</v>
      </c>
      <c r="E19" s="39" t="s">
        <v>23</v>
      </c>
      <c r="F19" s="7">
        <v>-18.758002999999999</v>
      </c>
      <c r="H19"/>
      <c r="I19" s="46"/>
      <c r="K19" s="53"/>
      <c r="L19"/>
      <c r="M19"/>
    </row>
    <row r="20" spans="1:13" ht="14.4" x14ac:dyDescent="0.3">
      <c r="A20" s="42" t="s">
        <v>48</v>
      </c>
      <c r="B20" s="11" t="s">
        <v>45</v>
      </c>
      <c r="C20" s="9">
        <v>12.855712</v>
      </c>
      <c r="D20" s="42" t="s">
        <v>266</v>
      </c>
      <c r="E20" s="11" t="s">
        <v>93</v>
      </c>
      <c r="F20" s="9">
        <v>-18.394046100000001</v>
      </c>
      <c r="H20"/>
      <c r="I20" s="46"/>
      <c r="K20" s="53"/>
      <c r="L20"/>
      <c r="M20"/>
    </row>
    <row r="21" spans="1:13" ht="14.4" x14ac:dyDescent="0.3">
      <c r="A21" s="43" t="s">
        <v>38</v>
      </c>
      <c r="B21" s="39" t="s">
        <v>37</v>
      </c>
      <c r="C21" s="7">
        <v>12.6931835</v>
      </c>
      <c r="D21" s="43" t="s">
        <v>35</v>
      </c>
      <c r="E21" s="39" t="s">
        <v>33</v>
      </c>
      <c r="F21" s="7">
        <v>-15.68084</v>
      </c>
      <c r="H21"/>
      <c r="I21" s="46"/>
      <c r="K21" s="53"/>
      <c r="L21"/>
      <c r="M21"/>
    </row>
    <row r="22" spans="1:13" ht="14.4" x14ac:dyDescent="0.3">
      <c r="A22" s="42" t="s">
        <v>269</v>
      </c>
      <c r="B22" s="11" t="s">
        <v>97</v>
      </c>
      <c r="C22" s="9">
        <v>12.3160785</v>
      </c>
      <c r="D22" s="42" t="s">
        <v>46</v>
      </c>
      <c r="E22" s="11" t="s">
        <v>43</v>
      </c>
      <c r="F22" s="9">
        <v>-10.692454</v>
      </c>
      <c r="H22"/>
      <c r="I22" s="46"/>
      <c r="K22" s="53"/>
      <c r="L22"/>
      <c r="M22"/>
    </row>
    <row r="23" spans="1:13" ht="14.4" x14ac:dyDescent="0.3">
      <c r="A23" s="43" t="s">
        <v>63</v>
      </c>
      <c r="B23" s="39" t="s">
        <v>55</v>
      </c>
      <c r="C23" s="7">
        <v>7.5313739999999996</v>
      </c>
      <c r="D23" s="43" t="s">
        <v>27</v>
      </c>
      <c r="E23" s="39" t="s">
        <v>22</v>
      </c>
      <c r="F23" s="7">
        <v>-10.240576000000001</v>
      </c>
      <c r="H23"/>
      <c r="I23" s="58"/>
      <c r="K23" s="53"/>
      <c r="L23"/>
      <c r="M23"/>
    </row>
    <row r="24" spans="1:13" ht="14.4" x14ac:dyDescent="0.3">
      <c r="A24" s="42" t="s">
        <v>34</v>
      </c>
      <c r="B24" s="11" t="s">
        <v>32</v>
      </c>
      <c r="C24" s="9">
        <v>5.7556799999999999</v>
      </c>
      <c r="D24" s="42" t="s">
        <v>284</v>
      </c>
      <c r="E24" s="11" t="s">
        <v>256</v>
      </c>
      <c r="F24" s="9">
        <v>-9.0489899999999999</v>
      </c>
      <c r="H24"/>
      <c r="I24" s="46"/>
      <c r="K24" s="53"/>
      <c r="L24"/>
      <c r="M24"/>
    </row>
    <row r="25" spans="1:13" ht="14.4" x14ac:dyDescent="0.3">
      <c r="A25" s="43" t="s">
        <v>283</v>
      </c>
      <c r="B25" s="39" t="s">
        <v>276</v>
      </c>
      <c r="C25" s="7">
        <v>5.4171345000000004</v>
      </c>
      <c r="D25" s="43" t="s">
        <v>41</v>
      </c>
      <c r="E25" s="39" t="s">
        <v>39</v>
      </c>
      <c r="F25" s="7">
        <v>-7.3161719999999999</v>
      </c>
      <c r="H25"/>
      <c r="I25" s="46"/>
      <c r="K25" s="53"/>
      <c r="L25"/>
      <c r="M25"/>
    </row>
    <row r="26" spans="1:13" ht="14.4" x14ac:dyDescent="0.3">
      <c r="A26" s="42" t="s">
        <v>280</v>
      </c>
      <c r="B26" s="11" t="s">
        <v>131</v>
      </c>
      <c r="C26" s="9">
        <v>4.4887449999999998</v>
      </c>
      <c r="D26" s="42" t="s">
        <v>29</v>
      </c>
      <c r="E26" s="11" t="s">
        <v>24</v>
      </c>
      <c r="F26" s="9">
        <v>-6.7802629999999997</v>
      </c>
      <c r="H26"/>
      <c r="I26" s="46"/>
      <c r="K26" s="53"/>
      <c r="L26"/>
      <c r="M26"/>
    </row>
    <row r="27" spans="1:13" ht="14.4" x14ac:dyDescent="0.3">
      <c r="A27" s="43" t="s">
        <v>271</v>
      </c>
      <c r="B27" s="39" t="s">
        <v>116</v>
      </c>
      <c r="C27" s="7">
        <v>3.1306835</v>
      </c>
      <c r="D27" s="43" t="s">
        <v>79</v>
      </c>
      <c r="E27" s="39" t="s">
        <v>78</v>
      </c>
      <c r="F27" s="7">
        <v>-6.4158299999999997</v>
      </c>
      <c r="H27"/>
      <c r="I27" s="46"/>
      <c r="K27" s="53"/>
      <c r="L27"/>
      <c r="M27"/>
    </row>
    <row r="28" spans="1:13" ht="14.4" x14ac:dyDescent="0.3">
      <c r="A28" s="44" t="s">
        <v>285</v>
      </c>
      <c r="B28" s="40" t="s">
        <v>60</v>
      </c>
      <c r="C28" s="10">
        <v>3.0673530000000002</v>
      </c>
      <c r="D28" s="44" t="s">
        <v>30</v>
      </c>
      <c r="E28" s="40" t="s">
        <v>25</v>
      </c>
      <c r="F28" s="10">
        <v>-4.9339750000000002</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5" t="s">
        <v>249</v>
      </c>
      <c r="B40" s="65"/>
      <c r="C40" s="65"/>
      <c r="D40" s="65"/>
      <c r="E40" s="65"/>
      <c r="F40" s="65"/>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12 E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6" t="s">
        <v>7</v>
      </c>
      <c r="B1" s="14" t="s">
        <v>8</v>
      </c>
      <c r="C1" s="68" t="s">
        <v>9</v>
      </c>
      <c r="D1" s="69"/>
      <c r="E1" s="69"/>
      <c r="F1" s="69"/>
      <c r="G1" s="69"/>
      <c r="H1" s="69"/>
      <c r="I1" s="69"/>
      <c r="J1" s="69"/>
      <c r="K1" s="69"/>
      <c r="L1" s="69"/>
      <c r="M1" s="69"/>
      <c r="N1" s="70"/>
    </row>
    <row r="2" spans="1:15" ht="65.849999999999994" customHeight="1" x14ac:dyDescent="0.25">
      <c r="A2" s="67"/>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140.09762439936006</v>
      </c>
      <c r="B3" s="17">
        <v>45145</v>
      </c>
      <c r="C3" s="18">
        <v>2.9188070659400034</v>
      </c>
      <c r="D3" s="18">
        <v>-5.1107610018000003</v>
      </c>
      <c r="E3" s="18">
        <v>1.2411536999999999</v>
      </c>
      <c r="F3" s="18">
        <v>149.48033730000003</v>
      </c>
      <c r="G3" s="18">
        <v>-1.7530234689999999</v>
      </c>
      <c r="H3" s="18">
        <v>42.787627658159998</v>
      </c>
      <c r="I3" s="18">
        <v>-1.5440600000000002E-2</v>
      </c>
      <c r="J3" s="18">
        <v>-1.6093414557999997</v>
      </c>
      <c r="K3" s="18">
        <v>-21.669603098140001</v>
      </c>
      <c r="L3" s="18">
        <v>-32.992355199999999</v>
      </c>
      <c r="M3" s="18">
        <v>7.3407589000000009</v>
      </c>
      <c r="N3" s="18">
        <v>-0.52053540000000031</v>
      </c>
      <c r="O3" s="16"/>
    </row>
    <row r="4" spans="1:15" x14ac:dyDescent="0.25">
      <c r="A4" s="55">
        <v>240.83292966281005</v>
      </c>
      <c r="B4" s="13">
        <v>45152</v>
      </c>
      <c r="C4" s="15">
        <v>12.038425483249998</v>
      </c>
      <c r="D4" s="15">
        <v>12.3889463763</v>
      </c>
      <c r="E4" s="15">
        <v>-6.8341304000000012</v>
      </c>
      <c r="F4" s="15">
        <v>280.96470879999998</v>
      </c>
      <c r="G4" s="15">
        <v>1.9033294329999999</v>
      </c>
      <c r="H4" s="15">
        <v>25.161703420329989</v>
      </c>
      <c r="I4" s="15">
        <v>-7.7335999999999919E-2</v>
      </c>
      <c r="J4" s="15">
        <v>1.6941424870999984</v>
      </c>
      <c r="K4" s="15">
        <v>-9.994611725169996</v>
      </c>
      <c r="L4" s="15">
        <v>-15.672619012000006</v>
      </c>
      <c r="M4" s="15">
        <v>-37.321566000000004</v>
      </c>
      <c r="N4" s="15">
        <v>-23.418063199999999</v>
      </c>
      <c r="O4" s="16"/>
    </row>
    <row r="5" spans="1:15" x14ac:dyDescent="0.25">
      <c r="A5" s="55">
        <v>147.90558565382</v>
      </c>
      <c r="B5" s="17">
        <v>45159</v>
      </c>
      <c r="C5" s="18">
        <v>0.65017836699000009</v>
      </c>
      <c r="D5" s="18">
        <v>10.157673602899999</v>
      </c>
      <c r="E5" s="18">
        <v>-0.28794029999999982</v>
      </c>
      <c r="F5" s="18">
        <v>152.13338429999996</v>
      </c>
      <c r="G5" s="18">
        <v>-2.5168708745999999</v>
      </c>
      <c r="H5" s="18">
        <v>44.346600171840009</v>
      </c>
      <c r="I5" s="18">
        <v>0.10583600000000001</v>
      </c>
      <c r="J5" s="18">
        <v>-10.917573227800002</v>
      </c>
      <c r="K5" s="18">
        <v>-11.36331378551</v>
      </c>
      <c r="L5" s="18">
        <v>-15.414607399999998</v>
      </c>
      <c r="M5" s="18">
        <v>-4.8409351000000003</v>
      </c>
      <c r="N5" s="18">
        <v>-14.146846099999999</v>
      </c>
      <c r="O5" s="16"/>
    </row>
    <row r="6" spans="1:15" x14ac:dyDescent="0.25">
      <c r="A6" s="55">
        <f>SUM(C6:N6)</f>
        <v>-35.541883547640012</v>
      </c>
      <c r="B6" s="13">
        <v>45166</v>
      </c>
      <c r="C6" s="15">
        <v>-17.233155890340011</v>
      </c>
      <c r="D6" s="15">
        <v>3.258103076499999</v>
      </c>
      <c r="E6" s="15">
        <v>-0.30388050000000022</v>
      </c>
      <c r="F6" s="15">
        <v>-13.969156399999999</v>
      </c>
      <c r="G6" s="15">
        <v>3.0312448760000001</v>
      </c>
      <c r="H6" s="15">
        <v>18.320994423599995</v>
      </c>
      <c r="I6" s="15">
        <v>4.8891100000000021E-2</v>
      </c>
      <c r="J6" s="15">
        <v>-1.2729696903999987</v>
      </c>
      <c r="K6" s="15">
        <v>-7.5742456429999914</v>
      </c>
      <c r="L6" s="15">
        <v>-66.275830499999998</v>
      </c>
      <c r="M6" s="15">
        <v>-8.1517509999999991</v>
      </c>
      <c r="N6" s="15">
        <v>54.579872600000002</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2"/>
    </row>
    <row r="16" spans="1:15" ht="14.4" x14ac:dyDescent="0.3">
      <c r="C16"/>
      <c r="D16"/>
      <c r="E16"/>
      <c r="F16"/>
      <c r="G16"/>
      <c r="H16"/>
      <c r="I16"/>
      <c r="J16"/>
      <c r="K16"/>
      <c r="L16"/>
      <c r="M16"/>
      <c r="N16"/>
    </row>
    <row r="17" spans="3:14" ht="14.4" x14ac:dyDescent="0.3">
      <c r="C17" s="52"/>
      <c r="D17" s="52"/>
      <c r="E17" s="52"/>
      <c r="F17" s="52"/>
      <c r="G17" s="52"/>
      <c r="H17" s="52"/>
      <c r="I17" s="52"/>
      <c r="J17" s="52"/>
      <c r="K17" s="52"/>
      <c r="L17" s="52"/>
      <c r="M17" s="52"/>
      <c r="N17" s="52"/>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886718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6" t="s">
        <v>7</v>
      </c>
      <c r="B1" s="14" t="s">
        <v>8</v>
      </c>
      <c r="C1" s="68" t="s">
        <v>9</v>
      </c>
      <c r="D1" s="69"/>
      <c r="E1" s="69"/>
      <c r="F1" s="69"/>
      <c r="G1" s="69"/>
      <c r="H1" s="69"/>
      <c r="I1" s="69"/>
      <c r="J1" s="69"/>
      <c r="K1" s="69"/>
      <c r="L1" s="69"/>
      <c r="M1" s="69"/>
      <c r="N1" s="70"/>
    </row>
    <row r="2" spans="1:18" ht="55.2" x14ac:dyDescent="0.25">
      <c r="A2" s="67"/>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-20.590224478850011</v>
      </c>
      <c r="B3" s="17">
        <v>45145</v>
      </c>
      <c r="C3" s="18">
        <v>-9.1573853984900015</v>
      </c>
      <c r="D3" s="18">
        <v>7.9284845241000008</v>
      </c>
      <c r="E3" s="18">
        <v>-1.7103661999999999</v>
      </c>
      <c r="F3" s="18">
        <v>-40.845655499999999</v>
      </c>
      <c r="G3" s="18">
        <v>2.3287246124999998</v>
      </c>
      <c r="H3" s="18">
        <v>-54.609837557649996</v>
      </c>
      <c r="I3" s="18">
        <v>-0.23555520000000021</v>
      </c>
      <c r="J3" s="18">
        <v>15.269877142100002</v>
      </c>
      <c r="K3" s="18">
        <v>40.114985898589993</v>
      </c>
      <c r="L3" s="18">
        <v>42.392905199999994</v>
      </c>
      <c r="M3" s="18">
        <v>2.7041176</v>
      </c>
      <c r="N3" s="18">
        <v>-24.770519599999997</v>
      </c>
      <c r="O3" s="16"/>
    </row>
    <row r="4" spans="1:18" x14ac:dyDescent="0.25">
      <c r="A4" s="55">
        <v>350.8991239079599</v>
      </c>
      <c r="B4" s="13">
        <v>45152</v>
      </c>
      <c r="C4" s="15">
        <v>13.851474095059995</v>
      </c>
      <c r="D4" s="15">
        <v>12.057675195500003</v>
      </c>
      <c r="E4" s="15">
        <v>8.4728357999999986</v>
      </c>
      <c r="F4" s="15">
        <v>90.433184199999985</v>
      </c>
      <c r="G4" s="15">
        <v>-1.3584992435000001</v>
      </c>
      <c r="H4" s="15">
        <v>55.857251286779992</v>
      </c>
      <c r="I4" s="15">
        <v>0.20029639999999996</v>
      </c>
      <c r="J4" s="15">
        <v>23.341709947499993</v>
      </c>
      <c r="K4" s="15">
        <v>58.920605750619984</v>
      </c>
      <c r="L4" s="15">
        <v>-2.0155676240000027</v>
      </c>
      <c r="M4" s="15">
        <v>62.025764499999994</v>
      </c>
      <c r="N4" s="15">
        <v>29.112393600000001</v>
      </c>
      <c r="O4" s="16"/>
    </row>
    <row r="5" spans="1:18" x14ac:dyDescent="0.25">
      <c r="A5" s="55">
        <v>157.48854018213999</v>
      </c>
      <c r="B5" s="17">
        <v>45159</v>
      </c>
      <c r="C5" s="18">
        <v>13.05371015617</v>
      </c>
      <c r="D5" s="18">
        <v>0.41203223900000063</v>
      </c>
      <c r="E5" s="18">
        <v>0.33294520000000027</v>
      </c>
      <c r="F5" s="18">
        <v>49.763994199999999</v>
      </c>
      <c r="G5" s="18">
        <v>2.9057344973000001</v>
      </c>
      <c r="H5" s="18">
        <v>-2.4317016773199853</v>
      </c>
      <c r="I5" s="18">
        <v>-0.37281069999999994</v>
      </c>
      <c r="J5" s="18">
        <v>17.467911172199997</v>
      </c>
      <c r="K5" s="18">
        <v>38.108691357790001</v>
      </c>
      <c r="L5" s="18">
        <v>-3.0238108629999996</v>
      </c>
      <c r="M5" s="18">
        <v>34.163293400000001</v>
      </c>
      <c r="N5" s="18">
        <v>7.1085512</v>
      </c>
      <c r="O5" s="16"/>
    </row>
    <row r="6" spans="1:18" x14ac:dyDescent="0.25">
      <c r="A6" s="55">
        <f>SUM(C6:N6)</f>
        <v>-46.81841252350997</v>
      </c>
      <c r="B6" s="13">
        <v>45166</v>
      </c>
      <c r="C6" s="15">
        <v>11.991181459180002</v>
      </c>
      <c r="D6" s="15">
        <v>-12.205613633299999</v>
      </c>
      <c r="E6" s="15">
        <v>0.27300289999999977</v>
      </c>
      <c r="F6" s="15">
        <v>-46.123204399999992</v>
      </c>
      <c r="G6" s="15">
        <v>-3.6762142592999996</v>
      </c>
      <c r="H6" s="15">
        <v>-26.558478480050002</v>
      </c>
      <c r="I6" s="15">
        <v>7.8169000000000002E-2</v>
      </c>
      <c r="J6" s="15">
        <v>1.8022123202999996</v>
      </c>
      <c r="K6" s="15">
        <v>13.521229969660007</v>
      </c>
      <c r="L6" s="15">
        <v>-2.5871555999999991</v>
      </c>
      <c r="M6" s="15">
        <v>2.7810629000000011</v>
      </c>
      <c r="N6" s="15">
        <v>13.885395300000001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2"/>
      <c r="P14"/>
      <c r="Q14"/>
      <c r="R14"/>
    </row>
    <row r="15" spans="1:18" ht="14.4" x14ac:dyDescent="0.3">
      <c r="B15"/>
      <c r="C15"/>
      <c r="D15"/>
      <c r="E15"/>
      <c r="F15"/>
      <c r="G15"/>
      <c r="H15"/>
      <c r="I15"/>
      <c r="J15"/>
      <c r="K15"/>
      <c r="L15"/>
      <c r="M15"/>
      <c r="N15"/>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88671875" customWidth="1"/>
  </cols>
  <sheetData>
    <row r="1" spans="1:8" ht="55.2" x14ac:dyDescent="0.3">
      <c r="A1" s="38" t="str">
        <f>CONCATENATE("STI Constituents - ",'Weekly Top 10'!$C$5)</f>
        <v>STI Constituents - Week of 28 August 2023</v>
      </c>
      <c r="B1" s="21" t="s">
        <v>1</v>
      </c>
      <c r="C1" s="22" t="s">
        <v>75</v>
      </c>
      <c r="D1" s="22" t="s">
        <v>76</v>
      </c>
    </row>
    <row r="2" spans="1:8" x14ac:dyDescent="0.3">
      <c r="A2" s="23" t="s">
        <v>92</v>
      </c>
      <c r="B2" s="24" t="s">
        <v>26</v>
      </c>
      <c r="C2" s="25">
        <v>27.506461000000002</v>
      </c>
      <c r="D2" s="25">
        <v>-2.6843309999999998</v>
      </c>
      <c r="E2" s="46"/>
      <c r="F2" s="50"/>
      <c r="H2" s="51"/>
    </row>
    <row r="3" spans="1:8" x14ac:dyDescent="0.3">
      <c r="A3" s="26" t="s">
        <v>81</v>
      </c>
      <c r="B3" s="27" t="s">
        <v>58</v>
      </c>
      <c r="C3" s="9">
        <v>-7.3050259999999998</v>
      </c>
      <c r="D3" s="9">
        <v>2.5354410000000001</v>
      </c>
      <c r="E3" s="46"/>
      <c r="F3" s="50"/>
      <c r="H3" s="51"/>
    </row>
    <row r="4" spans="1:8" x14ac:dyDescent="0.3">
      <c r="A4" s="6" t="s">
        <v>88</v>
      </c>
      <c r="B4" s="8" t="s">
        <v>87</v>
      </c>
      <c r="C4" s="7">
        <v>6.7755919999999996</v>
      </c>
      <c r="D4" s="7">
        <v>-4.6042120000000004</v>
      </c>
      <c r="E4" s="46"/>
      <c r="F4" s="50"/>
      <c r="H4" s="51"/>
    </row>
    <row r="5" spans="1:8" x14ac:dyDescent="0.3">
      <c r="A5" s="26" t="s">
        <v>65</v>
      </c>
      <c r="B5" s="27" t="s">
        <v>56</v>
      </c>
      <c r="C5" s="9">
        <v>-6.1731119999999997</v>
      </c>
      <c r="D5" s="9">
        <v>2.6802389999999998</v>
      </c>
      <c r="E5" s="46"/>
      <c r="F5" s="50"/>
      <c r="H5" s="51"/>
    </row>
    <row r="6" spans="1:8" x14ac:dyDescent="0.3">
      <c r="A6" s="6" t="s">
        <v>89</v>
      </c>
      <c r="B6" s="8" t="s">
        <v>59</v>
      </c>
      <c r="C6" s="7">
        <v>0.79597227650000035</v>
      </c>
      <c r="D6" s="7">
        <v>-0.61291743330000015</v>
      </c>
      <c r="E6" s="46"/>
      <c r="F6" s="50"/>
      <c r="H6" s="51"/>
    </row>
    <row r="7" spans="1:8" x14ac:dyDescent="0.3">
      <c r="A7" s="26" t="s">
        <v>27</v>
      </c>
      <c r="B7" s="27" t="s">
        <v>22</v>
      </c>
      <c r="C7" s="9">
        <v>-22.396998</v>
      </c>
      <c r="D7" s="9">
        <v>-10.240576000000001</v>
      </c>
      <c r="E7" s="46"/>
      <c r="F7" s="50"/>
      <c r="H7" s="51"/>
    </row>
    <row r="8" spans="1:8" x14ac:dyDescent="0.3">
      <c r="A8" s="6" t="s">
        <v>90</v>
      </c>
      <c r="B8" s="8" t="s">
        <v>91</v>
      </c>
      <c r="C8" s="54">
        <v>2.7469500000000001E-2</v>
      </c>
      <c r="D8" s="54">
        <v>-2.8299999999999999E-2</v>
      </c>
      <c r="E8" s="46"/>
      <c r="F8" s="50"/>
      <c r="H8" s="51"/>
    </row>
    <row r="9" spans="1:8" x14ac:dyDescent="0.3">
      <c r="A9" s="26" t="s">
        <v>83</v>
      </c>
      <c r="B9" s="27" t="s">
        <v>82</v>
      </c>
      <c r="C9" s="9">
        <v>0.197773</v>
      </c>
      <c r="D9" s="9">
        <v>0.50534100000000004</v>
      </c>
      <c r="E9" s="46"/>
      <c r="F9" s="50"/>
      <c r="H9" s="51"/>
    </row>
    <row r="10" spans="1:8" x14ac:dyDescent="0.3">
      <c r="A10" s="6" t="s">
        <v>38</v>
      </c>
      <c r="B10" s="8" t="s">
        <v>37</v>
      </c>
      <c r="C10" s="7">
        <v>-19.207273000000001</v>
      </c>
      <c r="D10" s="7">
        <v>12.6931835</v>
      </c>
      <c r="E10" s="46"/>
      <c r="F10" s="50"/>
      <c r="H10" s="51"/>
    </row>
    <row r="11" spans="1:8" x14ac:dyDescent="0.3">
      <c r="A11" s="26" t="s">
        <v>66</v>
      </c>
      <c r="B11" s="27" t="s">
        <v>57</v>
      </c>
      <c r="C11" s="9">
        <v>1.9699210095999999</v>
      </c>
      <c r="D11" s="9">
        <v>0.53401232030000023</v>
      </c>
      <c r="E11" s="46"/>
      <c r="F11" s="50"/>
      <c r="H11" s="51"/>
    </row>
    <row r="12" spans="1:8" x14ac:dyDescent="0.3">
      <c r="A12" s="6" t="s">
        <v>52</v>
      </c>
      <c r="B12" s="8" t="s">
        <v>50</v>
      </c>
      <c r="C12" s="7">
        <v>1.6084769999999979</v>
      </c>
      <c r="D12" s="7">
        <v>-2.3723860000000001</v>
      </c>
      <c r="E12" s="46"/>
      <c r="F12" s="50"/>
      <c r="H12" s="51"/>
    </row>
    <row r="13" spans="1:8" x14ac:dyDescent="0.3">
      <c r="A13" s="26" t="s">
        <v>64</v>
      </c>
      <c r="B13" s="27" t="s">
        <v>54</v>
      </c>
      <c r="C13" s="9">
        <v>4.9186684000000023</v>
      </c>
      <c r="D13" s="9">
        <v>-1.4533588767000001</v>
      </c>
      <c r="E13" s="46"/>
      <c r="F13" s="50"/>
      <c r="H13" s="51"/>
    </row>
    <row r="14" spans="1:8" x14ac:dyDescent="0.3">
      <c r="A14" s="6" t="s">
        <v>35</v>
      </c>
      <c r="B14" s="8" t="s">
        <v>33</v>
      </c>
      <c r="C14" s="7">
        <v>8.2585859999999993</v>
      </c>
      <c r="D14" s="7">
        <v>-15.68084</v>
      </c>
      <c r="E14" s="46"/>
      <c r="F14" s="50"/>
      <c r="H14" s="51"/>
    </row>
    <row r="15" spans="1:8" x14ac:dyDescent="0.3">
      <c r="A15" s="26" t="s">
        <v>260</v>
      </c>
      <c r="B15" s="27" t="s">
        <v>60</v>
      </c>
      <c r="C15" s="9">
        <v>-5.8612950000000001</v>
      </c>
      <c r="D15" s="9">
        <v>3.0673530000000002</v>
      </c>
      <c r="E15" s="46"/>
      <c r="F15" s="50"/>
      <c r="H15" s="51"/>
    </row>
    <row r="16" spans="1:8" x14ac:dyDescent="0.3">
      <c r="A16" s="6" t="s">
        <v>79</v>
      </c>
      <c r="B16" s="8" t="s">
        <v>78</v>
      </c>
      <c r="C16" s="7">
        <v>13.392439</v>
      </c>
      <c r="D16" s="7">
        <v>-6.4158299999999997</v>
      </c>
      <c r="E16" s="46"/>
      <c r="F16" s="50"/>
      <c r="H16" s="51"/>
    </row>
    <row r="17" spans="1:8" x14ac:dyDescent="0.3">
      <c r="A17" s="26" t="s">
        <v>42</v>
      </c>
      <c r="B17" s="27" t="s">
        <v>40</v>
      </c>
      <c r="C17" s="9">
        <v>-8.0901940000000003</v>
      </c>
      <c r="D17" s="9">
        <v>-1.5612010000000001</v>
      </c>
      <c r="E17" s="46"/>
      <c r="F17" s="50"/>
      <c r="H17" s="51"/>
    </row>
    <row r="18" spans="1:8" x14ac:dyDescent="0.3">
      <c r="A18" s="6" t="s">
        <v>28</v>
      </c>
      <c r="B18" s="8" t="s">
        <v>23</v>
      </c>
      <c r="C18" s="7">
        <v>-11.002822</v>
      </c>
      <c r="D18" s="7">
        <v>-18.758002999999999</v>
      </c>
      <c r="E18" s="46"/>
      <c r="F18" s="50"/>
      <c r="H18" s="51"/>
    </row>
    <row r="19" spans="1:8" x14ac:dyDescent="0.3">
      <c r="A19" s="26" t="s">
        <v>36</v>
      </c>
      <c r="B19" s="27" t="s">
        <v>31</v>
      </c>
      <c r="C19" s="9">
        <v>-0.31720999999999999</v>
      </c>
      <c r="D19" s="9">
        <v>-0.79007499999999997</v>
      </c>
      <c r="E19" s="46"/>
      <c r="F19" s="50"/>
      <c r="H19" s="51"/>
    </row>
    <row r="20" spans="1:8" x14ac:dyDescent="0.3">
      <c r="A20" s="6" t="s">
        <v>255</v>
      </c>
      <c r="B20" s="8" t="s">
        <v>93</v>
      </c>
      <c r="C20" s="7">
        <v>15.1304394</v>
      </c>
      <c r="D20" s="7">
        <v>-18.394046100000001</v>
      </c>
      <c r="E20" s="46"/>
      <c r="F20" s="50"/>
      <c r="H20" s="51"/>
    </row>
    <row r="21" spans="1:8" x14ac:dyDescent="0.3">
      <c r="A21" s="26" t="s">
        <v>47</v>
      </c>
      <c r="B21" s="27" t="s">
        <v>44</v>
      </c>
      <c r="C21" s="9">
        <v>51.268929</v>
      </c>
      <c r="D21" s="9">
        <v>14.80707</v>
      </c>
      <c r="E21" s="46"/>
      <c r="F21" s="50"/>
      <c r="H21" s="51"/>
    </row>
    <row r="22" spans="1:8" x14ac:dyDescent="0.3">
      <c r="A22" s="6" t="s">
        <v>30</v>
      </c>
      <c r="B22" s="8" t="s">
        <v>25</v>
      </c>
      <c r="C22" s="7">
        <v>0.10004200000000001</v>
      </c>
      <c r="D22" s="7">
        <v>-4.9339750000000002</v>
      </c>
      <c r="E22" s="46"/>
      <c r="F22" s="50"/>
      <c r="H22" s="51"/>
    </row>
    <row r="23" spans="1:8" x14ac:dyDescent="0.3">
      <c r="A23" s="26" t="s">
        <v>34</v>
      </c>
      <c r="B23" s="27" t="s">
        <v>32</v>
      </c>
      <c r="C23" s="9">
        <v>14.001454000000001</v>
      </c>
      <c r="D23" s="9">
        <v>5.7556799999999999</v>
      </c>
      <c r="E23" s="46"/>
      <c r="F23" s="50"/>
      <c r="H23" s="51"/>
    </row>
    <row r="24" spans="1:8" x14ac:dyDescent="0.3">
      <c r="A24" s="6" t="s">
        <v>51</v>
      </c>
      <c r="B24" s="8" t="s">
        <v>49</v>
      </c>
      <c r="C24" s="7">
        <v>-10.869314899999999</v>
      </c>
      <c r="D24" s="7">
        <v>2.4562831000000012</v>
      </c>
      <c r="E24" s="46"/>
      <c r="F24" s="50"/>
      <c r="H24" s="51"/>
    </row>
    <row r="25" spans="1:8" x14ac:dyDescent="0.3">
      <c r="A25" s="26" t="s">
        <v>41</v>
      </c>
      <c r="B25" s="27" t="s">
        <v>39</v>
      </c>
      <c r="C25" s="9">
        <v>-5.484966</v>
      </c>
      <c r="D25" s="9">
        <v>-7.3161719999999999</v>
      </c>
      <c r="E25" s="46"/>
      <c r="F25" s="50"/>
      <c r="H25" s="51"/>
    </row>
    <row r="26" spans="1:8" x14ac:dyDescent="0.3">
      <c r="A26" s="6" t="s">
        <v>62</v>
      </c>
      <c r="B26" s="8" t="s">
        <v>53</v>
      </c>
      <c r="C26" s="7">
        <v>-1.2743234999999999</v>
      </c>
      <c r="D26" s="7">
        <v>-3.4291999999999941E-2</v>
      </c>
      <c r="E26" s="46"/>
      <c r="F26" s="50"/>
      <c r="H26" s="51"/>
    </row>
    <row r="27" spans="1:8" x14ac:dyDescent="0.3">
      <c r="A27" s="26" t="s">
        <v>29</v>
      </c>
      <c r="B27" s="27" t="s">
        <v>24</v>
      </c>
      <c r="C27" s="9">
        <v>11.736375000000001</v>
      </c>
      <c r="D27" s="9">
        <v>-6.7802629999999997</v>
      </c>
      <c r="E27" s="46"/>
      <c r="F27" s="50"/>
      <c r="H27" s="51"/>
    </row>
    <row r="28" spans="1:8" x14ac:dyDescent="0.3">
      <c r="A28" s="6" t="s">
        <v>67</v>
      </c>
      <c r="B28" s="8" t="s">
        <v>61</v>
      </c>
      <c r="C28" s="7">
        <v>3.9582999999999999</v>
      </c>
      <c r="D28" s="7">
        <v>-1.7769330000000001</v>
      </c>
      <c r="E28" s="46"/>
      <c r="F28" s="50"/>
      <c r="H28" s="51"/>
    </row>
    <row r="29" spans="1:8" x14ac:dyDescent="0.3">
      <c r="A29" s="26" t="s">
        <v>48</v>
      </c>
      <c r="B29" s="27" t="s">
        <v>45</v>
      </c>
      <c r="C29" s="9">
        <v>-77.108464999999995</v>
      </c>
      <c r="D29" s="9">
        <v>12.855712</v>
      </c>
      <c r="E29" s="46"/>
      <c r="F29" s="50"/>
      <c r="H29" s="51"/>
    </row>
    <row r="30" spans="1:8" x14ac:dyDescent="0.3">
      <c r="A30" s="6" t="s">
        <v>46</v>
      </c>
      <c r="B30" s="8" t="s">
        <v>43</v>
      </c>
      <c r="C30" s="7">
        <v>2.7772579999999998</v>
      </c>
      <c r="D30" s="7">
        <v>-10.692454</v>
      </c>
      <c r="E30" s="46"/>
      <c r="F30" s="50"/>
      <c r="H30" s="51"/>
    </row>
    <row r="31" spans="1:8" ht="15" thickBot="1" x14ac:dyDescent="0.35">
      <c r="A31" s="26" t="s">
        <v>63</v>
      </c>
      <c r="B31" s="27" t="s">
        <v>55</v>
      </c>
      <c r="C31" s="9">
        <v>-16.613019000000001</v>
      </c>
      <c r="D31" s="9">
        <v>7.5313739999999996</v>
      </c>
      <c r="E31" s="46"/>
      <c r="F31" s="50"/>
      <c r="H31" s="51"/>
    </row>
    <row r="32" spans="1:8" ht="21" customHeight="1" thickBot="1" x14ac:dyDescent="0.35">
      <c r="A32" s="71" t="s">
        <v>68</v>
      </c>
      <c r="B32" s="72"/>
      <c r="C32" s="28">
        <f>SUM(C2:C31)</f>
        <v>-27.279861813899995</v>
      </c>
      <c r="D32" s="28">
        <f>SUM(D2:D31)</f>
        <v>-49.708476489700004</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88671875" customWidth="1"/>
    <col min="2" max="2" width="8.5546875" customWidth="1"/>
    <col min="3" max="3" width="14.5546875" customWidth="1"/>
    <col min="4" max="4" width="17.44140625" customWidth="1"/>
    <col min="5" max="5" width="22.5546875" customWidth="1"/>
    <col min="6" max="6" width="31.5546875" bestFit="1" customWidth="1"/>
    <col min="7" max="7" width="16.109375" bestFit="1" customWidth="1"/>
    <col min="8" max="8" width="12.5546875" bestFit="1" customWidth="1"/>
  </cols>
  <sheetData>
    <row r="1" spans="1:10" ht="55.2" x14ac:dyDescent="0.3">
      <c r="A1" s="38" t="str">
        <f>CONCATENATE("100 Most Traded Stocks YTD - ",'Weekly Top 10'!$C$5)</f>
        <v>100 Most Traded Stocks YTD - Week of 28 August 2023</v>
      </c>
      <c r="B1" s="21" t="s">
        <v>1</v>
      </c>
      <c r="C1" s="61" t="s">
        <v>105</v>
      </c>
      <c r="D1" s="22" t="s">
        <v>104</v>
      </c>
      <c r="E1" s="22" t="s">
        <v>106</v>
      </c>
      <c r="F1" s="22" t="s">
        <v>107</v>
      </c>
      <c r="H1" s="50"/>
    </row>
    <row r="2" spans="1:10" x14ac:dyDescent="0.3">
      <c r="A2" s="23" t="s">
        <v>27</v>
      </c>
      <c r="B2" s="24" t="s">
        <v>22</v>
      </c>
      <c r="C2" s="25">
        <v>129.44337506789159</v>
      </c>
      <c r="D2" s="25">
        <v>-1018.522347</v>
      </c>
      <c r="E2" s="25">
        <v>-2.1786680000000009</v>
      </c>
      <c r="F2" s="25" t="s">
        <v>14</v>
      </c>
      <c r="H2" s="51"/>
      <c r="J2" s="51"/>
    </row>
    <row r="3" spans="1:10" x14ac:dyDescent="0.3">
      <c r="A3" s="26" t="s">
        <v>29</v>
      </c>
      <c r="B3" s="27" t="s">
        <v>24</v>
      </c>
      <c r="C3" s="9">
        <v>86.071183715451809</v>
      </c>
      <c r="D3" s="9">
        <v>-644.63415199999997</v>
      </c>
      <c r="E3" s="9">
        <v>30.870714</v>
      </c>
      <c r="F3" s="9" t="s">
        <v>14</v>
      </c>
      <c r="H3" s="51"/>
      <c r="J3" s="51"/>
    </row>
    <row r="4" spans="1:10" x14ac:dyDescent="0.3">
      <c r="A4" s="6" t="s">
        <v>252</v>
      </c>
      <c r="B4" s="8" t="s">
        <v>23</v>
      </c>
      <c r="C4" s="7">
        <v>62.773847697831336</v>
      </c>
      <c r="D4" s="7">
        <v>-31.90925</v>
      </c>
      <c r="E4" s="7">
        <v>0.484352</v>
      </c>
      <c r="F4" s="7" t="s">
        <v>14</v>
      </c>
      <c r="H4" s="51"/>
      <c r="J4" s="51"/>
    </row>
    <row r="5" spans="1:10" x14ac:dyDescent="0.3">
      <c r="A5" s="26" t="s">
        <v>51</v>
      </c>
      <c r="B5" s="27" t="s">
        <v>49</v>
      </c>
      <c r="C5" s="9">
        <v>51.076739027530117</v>
      </c>
      <c r="D5" s="9">
        <v>-277.34668579999999</v>
      </c>
      <c r="E5" s="9">
        <v>-6.1186158999999991</v>
      </c>
      <c r="F5" s="9" t="s">
        <v>245</v>
      </c>
      <c r="H5" s="51"/>
      <c r="J5" s="51"/>
    </row>
    <row r="6" spans="1:10" x14ac:dyDescent="0.3">
      <c r="A6" s="6" t="s">
        <v>34</v>
      </c>
      <c r="B6" s="8" t="s">
        <v>32</v>
      </c>
      <c r="C6" s="7">
        <v>48.152659011445785</v>
      </c>
      <c r="D6" s="7">
        <v>65.947333999999998</v>
      </c>
      <c r="E6" s="7">
        <v>15.664796000000001</v>
      </c>
      <c r="F6" s="7" t="s">
        <v>15</v>
      </c>
      <c r="H6" s="51"/>
      <c r="J6" s="51"/>
    </row>
    <row r="7" spans="1:10" x14ac:dyDescent="0.3">
      <c r="A7" s="26" t="s">
        <v>255</v>
      </c>
      <c r="B7" s="27" t="s">
        <v>93</v>
      </c>
      <c r="C7" s="9">
        <v>43.669812686204821</v>
      </c>
      <c r="D7" s="9">
        <v>209.9844028</v>
      </c>
      <c r="E7" s="9">
        <v>26.448201000000001</v>
      </c>
      <c r="F7" s="9" t="s">
        <v>15</v>
      </c>
      <c r="H7" s="51"/>
      <c r="J7" s="51"/>
    </row>
    <row r="8" spans="1:10" x14ac:dyDescent="0.3">
      <c r="A8" s="6" t="s">
        <v>163</v>
      </c>
      <c r="B8" s="8" t="s">
        <v>58</v>
      </c>
      <c r="C8" s="7">
        <v>35.597559732349403</v>
      </c>
      <c r="D8" s="7">
        <v>-94.160600000000002</v>
      </c>
      <c r="E8" s="7">
        <v>-4.2242030000000002</v>
      </c>
      <c r="F8" s="54" t="s">
        <v>18</v>
      </c>
      <c r="H8" s="51"/>
      <c r="J8" s="51"/>
    </row>
    <row r="9" spans="1:10" x14ac:dyDescent="0.3">
      <c r="A9" s="26" t="s">
        <v>164</v>
      </c>
      <c r="B9" s="27" t="s">
        <v>55</v>
      </c>
      <c r="C9" s="9">
        <v>34.542228018506023</v>
      </c>
      <c r="D9" s="9">
        <v>18.13129</v>
      </c>
      <c r="E9" s="9">
        <v>-14.967333999999999</v>
      </c>
      <c r="F9" s="9" t="s">
        <v>15</v>
      </c>
      <c r="H9" s="51"/>
      <c r="J9" s="51"/>
    </row>
    <row r="10" spans="1:10" x14ac:dyDescent="0.3">
      <c r="A10" s="6" t="s">
        <v>166</v>
      </c>
      <c r="B10" s="8" t="s">
        <v>26</v>
      </c>
      <c r="C10" s="7">
        <v>32.300018268373499</v>
      </c>
      <c r="D10" s="7">
        <v>11.800915</v>
      </c>
      <c r="E10" s="7">
        <v>33.669184999999999</v>
      </c>
      <c r="F10" s="7" t="s">
        <v>18</v>
      </c>
      <c r="H10" s="51"/>
      <c r="J10" s="51"/>
    </row>
    <row r="11" spans="1:10" x14ac:dyDescent="0.3">
      <c r="A11" s="26" t="s">
        <v>165</v>
      </c>
      <c r="B11" s="27" t="s">
        <v>37</v>
      </c>
      <c r="C11" s="9">
        <v>32.180332339819273</v>
      </c>
      <c r="D11" s="9">
        <v>75.686632000000003</v>
      </c>
      <c r="E11" s="9">
        <v>-18.753849500000001</v>
      </c>
      <c r="F11" s="9" t="s">
        <v>11</v>
      </c>
      <c r="H11" s="51"/>
      <c r="J11" s="51"/>
    </row>
    <row r="12" spans="1:10" x14ac:dyDescent="0.3">
      <c r="A12" s="6" t="s">
        <v>167</v>
      </c>
      <c r="B12" s="8" t="s">
        <v>33</v>
      </c>
      <c r="C12" s="7">
        <v>28.879324236746989</v>
      </c>
      <c r="D12" s="7">
        <v>-178.93536599999999</v>
      </c>
      <c r="E12" s="7">
        <v>11.011431999999999</v>
      </c>
      <c r="F12" s="7" t="s">
        <v>15</v>
      </c>
      <c r="H12" s="51"/>
      <c r="J12" s="51"/>
    </row>
    <row r="13" spans="1:10" x14ac:dyDescent="0.3">
      <c r="A13" s="26" t="s">
        <v>174</v>
      </c>
      <c r="B13" s="27" t="s">
        <v>44</v>
      </c>
      <c r="C13" s="9">
        <v>26.218186612951811</v>
      </c>
      <c r="D13" s="9">
        <v>180.317924</v>
      </c>
      <c r="E13" s="9">
        <v>53.576348000000003</v>
      </c>
      <c r="F13" s="9" t="s">
        <v>20</v>
      </c>
      <c r="H13" s="51"/>
      <c r="J13" s="51"/>
    </row>
    <row r="14" spans="1:10" x14ac:dyDescent="0.3">
      <c r="A14" s="6" t="s">
        <v>170</v>
      </c>
      <c r="B14" s="8" t="s">
        <v>87</v>
      </c>
      <c r="C14" s="7">
        <v>24.690177367168669</v>
      </c>
      <c r="D14" s="7">
        <v>-93.084059999999994</v>
      </c>
      <c r="E14" s="7">
        <v>9.7455619999999996</v>
      </c>
      <c r="F14" s="7" t="s">
        <v>14</v>
      </c>
      <c r="H14" s="51"/>
      <c r="J14" s="51"/>
    </row>
    <row r="15" spans="1:10" x14ac:dyDescent="0.3">
      <c r="A15" s="26" t="s">
        <v>168</v>
      </c>
      <c r="B15" s="27" t="s">
        <v>40</v>
      </c>
      <c r="C15" s="9">
        <v>23.492018698674702</v>
      </c>
      <c r="D15" s="9">
        <v>3.9815140000000002</v>
      </c>
      <c r="E15" s="9">
        <v>-3.0061779999999998</v>
      </c>
      <c r="F15" s="9" t="s">
        <v>18</v>
      </c>
      <c r="H15" s="51"/>
      <c r="J15" s="51"/>
    </row>
    <row r="16" spans="1:10" x14ac:dyDescent="0.3">
      <c r="A16" s="6" t="s">
        <v>169</v>
      </c>
      <c r="B16" s="8" t="s">
        <v>43</v>
      </c>
      <c r="C16" s="7">
        <v>23.33846174849398</v>
      </c>
      <c r="D16" s="7">
        <v>51.282344000000002</v>
      </c>
      <c r="E16" s="7">
        <v>5.3578729999999997</v>
      </c>
      <c r="F16" s="7" t="s">
        <v>12</v>
      </c>
      <c r="H16" s="51"/>
      <c r="J16" s="51"/>
    </row>
    <row r="17" spans="1:10" x14ac:dyDescent="0.3">
      <c r="A17" s="26" t="s">
        <v>178</v>
      </c>
      <c r="B17" s="27" t="s">
        <v>45</v>
      </c>
      <c r="C17" s="9">
        <v>19.606627510361442</v>
      </c>
      <c r="D17" s="9">
        <v>-268.19451900000001</v>
      </c>
      <c r="E17" s="9">
        <v>-81.393156000000005</v>
      </c>
      <c r="F17" s="9" t="s">
        <v>246</v>
      </c>
      <c r="H17" s="51"/>
      <c r="J17" s="51"/>
    </row>
    <row r="18" spans="1:10" x14ac:dyDescent="0.3">
      <c r="A18" s="6" t="s">
        <v>172</v>
      </c>
      <c r="B18" s="8" t="s">
        <v>54</v>
      </c>
      <c r="C18" s="7">
        <v>17.619870391630009</v>
      </c>
      <c r="D18" s="7">
        <v>-20.101332899599999</v>
      </c>
      <c r="E18" s="7">
        <v>6.5599696519000013</v>
      </c>
      <c r="F18" s="7" t="s">
        <v>15</v>
      </c>
      <c r="H18" s="51"/>
      <c r="J18" s="51"/>
    </row>
    <row r="19" spans="1:10" x14ac:dyDescent="0.3">
      <c r="A19" s="26" t="s">
        <v>30</v>
      </c>
      <c r="B19" s="27" t="s">
        <v>25</v>
      </c>
      <c r="C19" s="9">
        <v>16.88133947373494</v>
      </c>
      <c r="D19" s="9">
        <v>106.454572</v>
      </c>
      <c r="E19" s="9">
        <v>-3.3927000000000471E-2</v>
      </c>
      <c r="F19" s="9" t="s">
        <v>14</v>
      </c>
      <c r="H19" s="51"/>
      <c r="J19" s="51"/>
    </row>
    <row r="20" spans="1:10" x14ac:dyDescent="0.3">
      <c r="A20" s="6" t="s">
        <v>41</v>
      </c>
      <c r="B20" s="8" t="s">
        <v>39</v>
      </c>
      <c r="C20" s="7">
        <v>16.07844270704819</v>
      </c>
      <c r="D20" s="7">
        <v>97.285657999999998</v>
      </c>
      <c r="E20" s="7">
        <v>-1.573958</v>
      </c>
      <c r="F20" s="7" t="s">
        <v>15</v>
      </c>
      <c r="H20" s="51"/>
      <c r="J20" s="51"/>
    </row>
    <row r="21" spans="1:10" x14ac:dyDescent="0.3">
      <c r="A21" s="26" t="s">
        <v>173</v>
      </c>
      <c r="B21" s="27" t="s">
        <v>53</v>
      </c>
      <c r="C21" s="9">
        <v>15.8656029339759</v>
      </c>
      <c r="D21" s="9">
        <v>-53.717197499999997</v>
      </c>
      <c r="E21" s="9">
        <v>-3.3036490000000001</v>
      </c>
      <c r="F21" s="9" t="s">
        <v>12</v>
      </c>
      <c r="H21" s="51"/>
      <c r="J21" s="51"/>
    </row>
    <row r="22" spans="1:10" x14ac:dyDescent="0.3">
      <c r="A22" s="6" t="s">
        <v>36</v>
      </c>
      <c r="B22" s="8" t="s">
        <v>31</v>
      </c>
      <c r="C22" s="7">
        <v>15.678999417228921</v>
      </c>
      <c r="D22" s="7">
        <v>-81.226448000000005</v>
      </c>
      <c r="E22" s="7">
        <v>-3.5809790000000001</v>
      </c>
      <c r="F22" s="7" t="s">
        <v>15</v>
      </c>
      <c r="H22" s="51"/>
      <c r="J22" s="51"/>
    </row>
    <row r="23" spans="1:10" x14ac:dyDescent="0.3">
      <c r="A23" s="26" t="s">
        <v>171</v>
      </c>
      <c r="B23" s="27" t="s">
        <v>60</v>
      </c>
      <c r="C23" s="9">
        <v>15.065575049518069</v>
      </c>
      <c r="D23" s="9">
        <v>-77.610339999999994</v>
      </c>
      <c r="E23" s="9">
        <v>-3.6403500000000002</v>
      </c>
      <c r="F23" s="9" t="s">
        <v>18</v>
      </c>
      <c r="H23" s="51"/>
      <c r="J23" s="51"/>
    </row>
    <row r="24" spans="1:10" x14ac:dyDescent="0.3">
      <c r="A24" s="6" t="s">
        <v>176</v>
      </c>
      <c r="B24" s="8" t="s">
        <v>56</v>
      </c>
      <c r="C24" s="7">
        <v>13.25221803861446</v>
      </c>
      <c r="D24" s="7">
        <v>-156.69769099999999</v>
      </c>
      <c r="E24" s="7">
        <v>-7.523549</v>
      </c>
      <c r="F24" s="7" t="s">
        <v>17</v>
      </c>
      <c r="H24" s="51"/>
      <c r="J24" s="51"/>
    </row>
    <row r="25" spans="1:10" x14ac:dyDescent="0.3">
      <c r="A25" s="26" t="s">
        <v>175</v>
      </c>
      <c r="B25" s="27" t="s">
        <v>50</v>
      </c>
      <c r="C25" s="9">
        <v>12.87372458275904</v>
      </c>
      <c r="D25" s="9">
        <v>16.524611</v>
      </c>
      <c r="E25" s="9">
        <v>3.9727599999999992</v>
      </c>
      <c r="F25" s="9" t="s">
        <v>11</v>
      </c>
      <c r="H25" s="51"/>
      <c r="J25" s="51"/>
    </row>
    <row r="26" spans="1:10" x14ac:dyDescent="0.3">
      <c r="A26" s="6" t="s">
        <v>177</v>
      </c>
      <c r="B26" s="8" t="s">
        <v>82</v>
      </c>
      <c r="C26" s="7">
        <v>11.494172307168679</v>
      </c>
      <c r="D26" s="7">
        <v>-41.336226000000003</v>
      </c>
      <c r="E26" s="7">
        <v>0.13767799999999999</v>
      </c>
      <c r="F26" s="7" t="s">
        <v>18</v>
      </c>
      <c r="H26" s="51"/>
      <c r="J26" s="51"/>
    </row>
    <row r="27" spans="1:10" x14ac:dyDescent="0.3">
      <c r="A27" s="26" t="s">
        <v>180</v>
      </c>
      <c r="B27" s="27" t="s">
        <v>80</v>
      </c>
      <c r="C27" s="9">
        <v>10.35385555885542</v>
      </c>
      <c r="D27" s="9">
        <v>50.260652999999998</v>
      </c>
      <c r="E27" s="9">
        <v>4.9684499999999998</v>
      </c>
      <c r="F27" s="9" t="s">
        <v>18</v>
      </c>
      <c r="H27" s="51"/>
      <c r="J27" s="51"/>
    </row>
    <row r="28" spans="1:10" x14ac:dyDescent="0.3">
      <c r="A28" s="6" t="s">
        <v>182</v>
      </c>
      <c r="B28" s="8" t="s">
        <v>57</v>
      </c>
      <c r="C28" s="7">
        <v>10.316837763389922</v>
      </c>
      <c r="D28" s="7">
        <v>-24.855080153299998</v>
      </c>
      <c r="E28" s="7">
        <v>2.3730844983999999</v>
      </c>
      <c r="F28" s="7" t="s">
        <v>17</v>
      </c>
      <c r="H28" s="51"/>
      <c r="J28" s="51"/>
    </row>
    <row r="29" spans="1:10" x14ac:dyDescent="0.3">
      <c r="A29" s="26" t="s">
        <v>181</v>
      </c>
      <c r="B29" s="27" t="s">
        <v>78</v>
      </c>
      <c r="C29" s="9">
        <v>10.190489059879521</v>
      </c>
      <c r="D29" s="9">
        <v>-21.067768000000001</v>
      </c>
      <c r="E29" s="9">
        <v>12.112448000000001</v>
      </c>
      <c r="F29" s="9" t="s">
        <v>18</v>
      </c>
      <c r="H29" s="51"/>
      <c r="J29" s="51"/>
    </row>
    <row r="30" spans="1:10" x14ac:dyDescent="0.3">
      <c r="A30" s="6" t="s">
        <v>179</v>
      </c>
      <c r="B30" s="8" t="s">
        <v>94</v>
      </c>
      <c r="C30" s="7">
        <v>9.7656875427108432</v>
      </c>
      <c r="D30" s="7">
        <v>-163.318196</v>
      </c>
      <c r="E30" s="7">
        <v>1.9796339999999999</v>
      </c>
      <c r="F30" s="7" t="s">
        <v>18</v>
      </c>
      <c r="H30" s="51"/>
      <c r="J30" s="51"/>
    </row>
    <row r="31" spans="1:10" x14ac:dyDescent="0.3">
      <c r="A31" s="26" t="s">
        <v>183</v>
      </c>
      <c r="B31" s="27" t="s">
        <v>115</v>
      </c>
      <c r="C31" s="9">
        <v>8.6580844656626503</v>
      </c>
      <c r="D31" s="9">
        <v>7.9145310000000011</v>
      </c>
      <c r="E31" s="9">
        <v>3.0115669999999999</v>
      </c>
      <c r="F31" s="9" t="s">
        <v>15</v>
      </c>
      <c r="H31" s="51"/>
      <c r="J31" s="51"/>
    </row>
    <row r="32" spans="1:10" x14ac:dyDescent="0.3">
      <c r="A32" s="6" t="s">
        <v>114</v>
      </c>
      <c r="B32" s="8" t="s">
        <v>109</v>
      </c>
      <c r="C32" s="7">
        <v>7.7674333262048192</v>
      </c>
      <c r="D32" s="7">
        <v>-37.957700000000003</v>
      </c>
      <c r="E32" s="7">
        <v>-2.9238195</v>
      </c>
      <c r="F32" s="7" t="s">
        <v>18</v>
      </c>
      <c r="H32" s="51"/>
      <c r="J32" s="51"/>
    </row>
    <row r="33" spans="1:10" x14ac:dyDescent="0.3">
      <c r="A33" s="26" t="s">
        <v>185</v>
      </c>
      <c r="B33" s="27" t="s">
        <v>61</v>
      </c>
      <c r="C33" s="9">
        <v>7.4141816754216858</v>
      </c>
      <c r="D33" s="9">
        <v>17.172602999999999</v>
      </c>
      <c r="E33" s="9">
        <v>3.0768719999999998</v>
      </c>
      <c r="F33" s="9" t="s">
        <v>17</v>
      </c>
      <c r="H33" s="51"/>
      <c r="J33" s="51"/>
    </row>
    <row r="34" spans="1:10" x14ac:dyDescent="0.3">
      <c r="A34" s="6" t="s">
        <v>186</v>
      </c>
      <c r="B34" s="8" t="s">
        <v>97</v>
      </c>
      <c r="C34" s="7">
        <v>7.2397232266265066</v>
      </c>
      <c r="D34" s="7">
        <v>-20.694989</v>
      </c>
      <c r="E34" s="7">
        <v>-19.684768999999999</v>
      </c>
      <c r="F34" s="7" t="s">
        <v>18</v>
      </c>
      <c r="H34" s="51"/>
      <c r="J34" s="51"/>
    </row>
    <row r="35" spans="1:10" x14ac:dyDescent="0.3">
      <c r="A35" s="26" t="s">
        <v>184</v>
      </c>
      <c r="B35" s="27" t="s">
        <v>256</v>
      </c>
      <c r="C35" s="9">
        <v>6.3011105063253003</v>
      </c>
      <c r="D35" s="9">
        <v>25.688172999999999</v>
      </c>
      <c r="E35" s="9">
        <v>12.109109</v>
      </c>
      <c r="F35" s="9" t="s">
        <v>246</v>
      </c>
      <c r="H35" s="51"/>
      <c r="J35" s="51"/>
    </row>
    <row r="36" spans="1:10" x14ac:dyDescent="0.3">
      <c r="A36" s="6" t="s">
        <v>189</v>
      </c>
      <c r="B36" s="8" t="s">
        <v>95</v>
      </c>
      <c r="C36" s="7">
        <v>6.2694194141060242</v>
      </c>
      <c r="D36" s="7">
        <v>34.136746094199999</v>
      </c>
      <c r="E36" s="7">
        <v>3.2291180000000002</v>
      </c>
      <c r="F36" s="7" t="s">
        <v>246</v>
      </c>
      <c r="H36" s="51"/>
      <c r="J36" s="51"/>
    </row>
    <row r="37" spans="1:10" x14ac:dyDescent="0.3">
      <c r="A37" s="26" t="s">
        <v>191</v>
      </c>
      <c r="B37" s="27" t="s">
        <v>118</v>
      </c>
      <c r="C37" s="9">
        <v>5.8990333327710847</v>
      </c>
      <c r="D37" s="9">
        <v>4.1167120000000015</v>
      </c>
      <c r="E37" s="9">
        <v>6.9293670000000001</v>
      </c>
      <c r="F37" s="9" t="s">
        <v>18</v>
      </c>
      <c r="H37" s="51"/>
      <c r="J37" s="51"/>
    </row>
    <row r="38" spans="1:10" x14ac:dyDescent="0.3">
      <c r="A38" s="6" t="s">
        <v>187</v>
      </c>
      <c r="B38" s="8" t="s">
        <v>116</v>
      </c>
      <c r="C38" s="7">
        <v>5.0920381591927706</v>
      </c>
      <c r="D38" s="7">
        <v>-78.561951500000006</v>
      </c>
      <c r="E38" s="7">
        <v>-4.3294135000000002</v>
      </c>
      <c r="F38" s="7" t="s">
        <v>18</v>
      </c>
      <c r="H38" s="51"/>
      <c r="J38" s="51"/>
    </row>
    <row r="39" spans="1:10" x14ac:dyDescent="0.3">
      <c r="A39" s="26" t="s">
        <v>192</v>
      </c>
      <c r="B39" s="27" t="s">
        <v>119</v>
      </c>
      <c r="C39" s="9">
        <v>4.6985756996385541</v>
      </c>
      <c r="D39" s="9">
        <v>0.66732499999999983</v>
      </c>
      <c r="E39" s="9">
        <v>-1.8696410000000001</v>
      </c>
      <c r="F39" s="9" t="s">
        <v>246</v>
      </c>
      <c r="H39" s="51"/>
      <c r="J39" s="51"/>
    </row>
    <row r="40" spans="1:10" x14ac:dyDescent="0.3">
      <c r="A40" s="6" t="s">
        <v>188</v>
      </c>
      <c r="B40" s="8" t="s">
        <v>117</v>
      </c>
      <c r="C40" s="7">
        <v>4.5278597518072283</v>
      </c>
      <c r="D40" s="7">
        <v>27.889009999999999</v>
      </c>
      <c r="E40" s="7">
        <v>3.5060720000000001</v>
      </c>
      <c r="F40" s="7" t="s">
        <v>12</v>
      </c>
      <c r="H40" s="51"/>
      <c r="J40" s="51"/>
    </row>
    <row r="41" spans="1:10" x14ac:dyDescent="0.3">
      <c r="A41" s="26" t="s">
        <v>193</v>
      </c>
      <c r="B41" s="27" t="s">
        <v>120</v>
      </c>
      <c r="C41" s="9">
        <v>4.0314887518072293</v>
      </c>
      <c r="D41" s="9">
        <v>-14.6086765</v>
      </c>
      <c r="E41" s="9">
        <v>-0.50680999999999998</v>
      </c>
      <c r="F41" s="9" t="s">
        <v>246</v>
      </c>
      <c r="H41" s="51"/>
      <c r="J41" s="51"/>
    </row>
    <row r="42" spans="1:10" x14ac:dyDescent="0.3">
      <c r="A42" s="6" t="s">
        <v>190</v>
      </c>
      <c r="B42" s="8" t="s">
        <v>100</v>
      </c>
      <c r="C42" s="7">
        <v>3.8796985210843369</v>
      </c>
      <c r="D42" s="7">
        <v>-5.014297</v>
      </c>
      <c r="E42" s="7">
        <v>-6.0048499999999998E-2</v>
      </c>
      <c r="F42" s="7" t="s">
        <v>15</v>
      </c>
      <c r="H42" s="51"/>
      <c r="J42" s="51"/>
    </row>
    <row r="43" spans="1:10" x14ac:dyDescent="0.3">
      <c r="A43" s="26" t="s">
        <v>196</v>
      </c>
      <c r="B43" s="27" t="s">
        <v>122</v>
      </c>
      <c r="C43" s="9">
        <v>3.6838361967469884</v>
      </c>
      <c r="D43" s="9">
        <v>0.8335669999999995</v>
      </c>
      <c r="E43" s="9">
        <v>2.0154399999999999</v>
      </c>
      <c r="F43" s="9" t="s">
        <v>12</v>
      </c>
      <c r="H43" s="51"/>
      <c r="J43" s="51"/>
    </row>
    <row r="44" spans="1:10" x14ac:dyDescent="0.3">
      <c r="A44" s="6" t="s">
        <v>195</v>
      </c>
      <c r="B44" s="8" t="s">
        <v>101</v>
      </c>
      <c r="C44" s="7">
        <v>3.4905193084337349</v>
      </c>
      <c r="D44" s="7">
        <v>-11.3456665</v>
      </c>
      <c r="E44" s="7">
        <v>-3.7696624999999999</v>
      </c>
      <c r="F44" s="7" t="s">
        <v>18</v>
      </c>
      <c r="H44" s="51"/>
      <c r="J44" s="51"/>
    </row>
    <row r="45" spans="1:10" x14ac:dyDescent="0.3">
      <c r="A45" s="26" t="s">
        <v>110</v>
      </c>
      <c r="B45" s="27" t="s">
        <v>111</v>
      </c>
      <c r="C45" s="9">
        <v>3.4198415525301211</v>
      </c>
      <c r="D45" s="9">
        <v>11.8194745</v>
      </c>
      <c r="E45" s="9">
        <v>3.4716165000000001</v>
      </c>
      <c r="F45" s="9" t="s">
        <v>18</v>
      </c>
      <c r="H45" s="51"/>
      <c r="J45" s="51"/>
    </row>
    <row r="46" spans="1:10" x14ac:dyDescent="0.3">
      <c r="A46" s="6" t="s">
        <v>204</v>
      </c>
      <c r="B46" s="8" t="s">
        <v>112</v>
      </c>
      <c r="C46" s="7">
        <v>3.3683858604819279</v>
      </c>
      <c r="D46" s="7">
        <v>-32.718143900000001</v>
      </c>
      <c r="E46" s="7">
        <v>2.9769605000000001</v>
      </c>
      <c r="F46" s="7" t="s">
        <v>20</v>
      </c>
      <c r="H46" s="51"/>
      <c r="J46" s="51"/>
    </row>
    <row r="47" spans="1:10" x14ac:dyDescent="0.3">
      <c r="A47" s="26" t="s">
        <v>194</v>
      </c>
      <c r="B47" s="27" t="s">
        <v>121</v>
      </c>
      <c r="C47" s="9">
        <v>3.3591762921686752</v>
      </c>
      <c r="D47" s="9">
        <v>19.702279999999998</v>
      </c>
      <c r="E47" s="9">
        <v>1.8211455000000001</v>
      </c>
      <c r="F47" s="9" t="s">
        <v>14</v>
      </c>
      <c r="H47" s="51"/>
      <c r="J47" s="51"/>
    </row>
    <row r="48" spans="1:10" x14ac:dyDescent="0.3">
      <c r="A48" s="6" t="s">
        <v>197</v>
      </c>
      <c r="B48" s="8" t="s">
        <v>96</v>
      </c>
      <c r="C48" s="7">
        <v>3.2130431343373487</v>
      </c>
      <c r="D48" s="7">
        <v>-14.248239</v>
      </c>
      <c r="E48" s="7">
        <v>-2.6638869999999999</v>
      </c>
      <c r="F48" s="7" t="s">
        <v>12</v>
      </c>
      <c r="H48" s="51"/>
      <c r="J48" s="51"/>
    </row>
    <row r="49" spans="1:10" x14ac:dyDescent="0.3">
      <c r="A49" s="26" t="s">
        <v>103</v>
      </c>
      <c r="B49" s="27" t="s">
        <v>102</v>
      </c>
      <c r="C49" s="9">
        <v>3.0838149030120481</v>
      </c>
      <c r="D49" s="9">
        <v>-13.398175999999999</v>
      </c>
      <c r="E49" s="9">
        <v>6.1706999999999998E-2</v>
      </c>
      <c r="F49" s="9" t="s">
        <v>12</v>
      </c>
      <c r="H49" s="51"/>
      <c r="J49" s="51"/>
    </row>
    <row r="50" spans="1:10" x14ac:dyDescent="0.3">
      <c r="A50" s="6" t="s">
        <v>201</v>
      </c>
      <c r="B50" s="8" t="s">
        <v>126</v>
      </c>
      <c r="C50" s="7">
        <v>2.9982485083132531</v>
      </c>
      <c r="D50" s="7">
        <v>-13.307247</v>
      </c>
      <c r="E50" s="7">
        <v>2.8974804999999999</v>
      </c>
      <c r="F50" s="7" t="s">
        <v>245</v>
      </c>
      <c r="H50" s="51"/>
      <c r="J50" s="51"/>
    </row>
    <row r="51" spans="1:10" x14ac:dyDescent="0.3">
      <c r="A51" s="26" t="s">
        <v>202</v>
      </c>
      <c r="B51" s="27" t="s">
        <v>127</v>
      </c>
      <c r="C51" s="9">
        <v>2.7889188395615063</v>
      </c>
      <c r="D51" s="9">
        <v>3.9979109144799998</v>
      </c>
      <c r="E51" s="9">
        <v>9.0175392930000001E-2</v>
      </c>
      <c r="F51" s="9" t="s">
        <v>11</v>
      </c>
      <c r="H51" s="51"/>
      <c r="J51" s="51"/>
    </row>
    <row r="52" spans="1:10" x14ac:dyDescent="0.3">
      <c r="A52" s="6" t="s">
        <v>206</v>
      </c>
      <c r="B52" s="8" t="s">
        <v>129</v>
      </c>
      <c r="C52" s="7">
        <v>2.4919741699999998</v>
      </c>
      <c r="D52" s="7">
        <v>5.5599059999999998</v>
      </c>
      <c r="E52" s="7">
        <v>4.070182</v>
      </c>
      <c r="F52" s="7" t="s">
        <v>18</v>
      </c>
      <c r="H52" s="51"/>
      <c r="J52" s="51"/>
    </row>
    <row r="53" spans="1:10" x14ac:dyDescent="0.3">
      <c r="A53" s="26" t="s">
        <v>208</v>
      </c>
      <c r="B53" s="27" t="s">
        <v>113</v>
      </c>
      <c r="C53" s="9">
        <v>2.397619603012048</v>
      </c>
      <c r="D53" s="9">
        <v>-5.0035679000000002</v>
      </c>
      <c r="E53" s="9">
        <v>-0.86359560000000002</v>
      </c>
      <c r="F53" s="9" t="s">
        <v>248</v>
      </c>
      <c r="H53" s="51"/>
      <c r="J53" s="51"/>
    </row>
    <row r="54" spans="1:10" x14ac:dyDescent="0.3">
      <c r="A54" s="6" t="s">
        <v>199</v>
      </c>
      <c r="B54" s="8" t="s">
        <v>124</v>
      </c>
      <c r="C54" s="7">
        <v>2.2920358067469881</v>
      </c>
      <c r="D54" s="7">
        <v>11.782220000000001</v>
      </c>
      <c r="E54" s="7">
        <v>-0.898899</v>
      </c>
      <c r="F54" s="7" t="s">
        <v>247</v>
      </c>
      <c r="H54" s="51"/>
      <c r="J54" s="51"/>
    </row>
    <row r="55" spans="1:10" x14ac:dyDescent="0.3">
      <c r="A55" s="26" t="s">
        <v>209</v>
      </c>
      <c r="B55" s="27" t="s">
        <v>131</v>
      </c>
      <c r="C55" s="9">
        <v>2.0728849090361439</v>
      </c>
      <c r="D55" s="9">
        <v>-18.981701000000001</v>
      </c>
      <c r="E55" s="9">
        <v>-5.9248200000000004</v>
      </c>
      <c r="F55" s="9" t="s">
        <v>18</v>
      </c>
      <c r="H55" s="51"/>
      <c r="J55" s="51"/>
    </row>
    <row r="56" spans="1:10" x14ac:dyDescent="0.3">
      <c r="A56" s="6" t="s">
        <v>220</v>
      </c>
      <c r="B56" s="8" t="s">
        <v>141</v>
      </c>
      <c r="C56" s="7">
        <v>2.0242836481927711</v>
      </c>
      <c r="D56" s="7">
        <v>14.415794</v>
      </c>
      <c r="E56" s="7">
        <v>-0.53944749999999997</v>
      </c>
      <c r="F56" s="7" t="s">
        <v>15</v>
      </c>
      <c r="H56" s="51"/>
      <c r="J56" s="51"/>
    </row>
    <row r="57" spans="1:10" x14ac:dyDescent="0.3">
      <c r="A57" s="26" t="s">
        <v>198</v>
      </c>
      <c r="B57" s="27" t="s">
        <v>123</v>
      </c>
      <c r="C57" s="9">
        <v>1.922667096987952</v>
      </c>
      <c r="D57" s="9">
        <v>-23.969159999999999</v>
      </c>
      <c r="E57" s="9">
        <v>2.4219810000000002</v>
      </c>
      <c r="F57" s="9" t="s">
        <v>247</v>
      </c>
      <c r="H57" s="51"/>
      <c r="J57" s="51"/>
    </row>
    <row r="58" spans="1:10" x14ac:dyDescent="0.3">
      <c r="A58" s="6" t="s">
        <v>207</v>
      </c>
      <c r="B58" s="8" t="s">
        <v>130</v>
      </c>
      <c r="C58" s="7">
        <v>1.797334036300446</v>
      </c>
      <c r="D58" s="7">
        <v>-12.04544261565</v>
      </c>
      <c r="E58" s="7">
        <v>-2.963660006900001</v>
      </c>
      <c r="F58" s="7" t="s">
        <v>18</v>
      </c>
      <c r="H58" s="51"/>
      <c r="J58" s="51"/>
    </row>
    <row r="59" spans="1:10" x14ac:dyDescent="0.3">
      <c r="A59" s="26" t="s">
        <v>205</v>
      </c>
      <c r="B59" s="27" t="s">
        <v>59</v>
      </c>
      <c r="C59" s="9">
        <v>1.790006996216476</v>
      </c>
      <c r="D59" s="9">
        <v>10.1329299977</v>
      </c>
      <c r="E59" s="9">
        <v>0.5921468486</v>
      </c>
      <c r="F59" s="9" t="s">
        <v>12</v>
      </c>
      <c r="H59" s="51"/>
      <c r="J59" s="51"/>
    </row>
    <row r="60" spans="1:10" x14ac:dyDescent="0.3">
      <c r="A60" s="6" t="s">
        <v>200</v>
      </c>
      <c r="B60" s="8" t="s">
        <v>125</v>
      </c>
      <c r="C60" s="7">
        <v>1.756094361385542</v>
      </c>
      <c r="D60" s="7">
        <v>21.179100999999999</v>
      </c>
      <c r="E60" s="7">
        <v>-0.105988</v>
      </c>
      <c r="F60" s="7" t="s">
        <v>11</v>
      </c>
      <c r="H60" s="51"/>
      <c r="J60" s="51"/>
    </row>
    <row r="61" spans="1:10" x14ac:dyDescent="0.3">
      <c r="A61" s="26" t="s">
        <v>219</v>
      </c>
      <c r="B61" s="27" t="s">
        <v>140</v>
      </c>
      <c r="C61" s="9">
        <v>1.7071360451807231</v>
      </c>
      <c r="D61" s="9">
        <v>-4.5162599999999999</v>
      </c>
      <c r="E61" s="9">
        <v>2.6873779999999998</v>
      </c>
      <c r="F61" s="9" t="s">
        <v>18</v>
      </c>
      <c r="H61" s="51"/>
      <c r="J61" s="51"/>
    </row>
    <row r="62" spans="1:10" x14ac:dyDescent="0.3">
      <c r="A62" s="6" t="s">
        <v>203</v>
      </c>
      <c r="B62" s="8" t="s">
        <v>128</v>
      </c>
      <c r="C62" s="7">
        <v>1.656749839156626</v>
      </c>
      <c r="D62" s="7">
        <v>27.8130612</v>
      </c>
      <c r="E62" s="7">
        <v>0</v>
      </c>
      <c r="F62" s="7" t="s">
        <v>248</v>
      </c>
      <c r="H62" s="51"/>
      <c r="J62" s="51"/>
    </row>
    <row r="63" spans="1:10" x14ac:dyDescent="0.3">
      <c r="A63" s="26" t="s">
        <v>211</v>
      </c>
      <c r="B63" s="27" t="s">
        <v>133</v>
      </c>
      <c r="C63" s="9">
        <v>1.6462127451807229</v>
      </c>
      <c r="D63" s="9">
        <v>-15.348398</v>
      </c>
      <c r="E63" s="9">
        <v>0.38663799999999998</v>
      </c>
      <c r="F63" s="9" t="s">
        <v>18</v>
      </c>
      <c r="H63" s="51"/>
      <c r="J63" s="51"/>
    </row>
    <row r="64" spans="1:10" x14ac:dyDescent="0.3">
      <c r="A64" s="6" t="s">
        <v>214</v>
      </c>
      <c r="B64" s="8" t="s">
        <v>135</v>
      </c>
      <c r="C64" s="7">
        <v>1.472132277108434</v>
      </c>
      <c r="D64" s="7">
        <v>7.2926060000000001</v>
      </c>
      <c r="E64" s="7">
        <v>0.33584199999999997</v>
      </c>
      <c r="F64" s="7" t="s">
        <v>246</v>
      </c>
      <c r="H64" s="51"/>
      <c r="J64" s="51"/>
    </row>
    <row r="65" spans="1:10" x14ac:dyDescent="0.3">
      <c r="A65" s="26" t="s">
        <v>215</v>
      </c>
      <c r="B65" s="27" t="s">
        <v>136</v>
      </c>
      <c r="C65" s="9">
        <v>1.4708846666900011</v>
      </c>
      <c r="D65" s="9">
        <v>-26.9160066948</v>
      </c>
      <c r="E65" s="9">
        <v>-2.4193973098599999</v>
      </c>
      <c r="F65" s="9" t="s">
        <v>18</v>
      </c>
      <c r="H65" s="51"/>
      <c r="J65" s="51"/>
    </row>
    <row r="66" spans="1:10" x14ac:dyDescent="0.3">
      <c r="A66" s="6" t="s">
        <v>210</v>
      </c>
      <c r="B66" s="8" t="s">
        <v>132</v>
      </c>
      <c r="C66" s="7">
        <v>1.4410943542168682</v>
      </c>
      <c r="D66" s="7">
        <v>-15.899319</v>
      </c>
      <c r="E66" s="7">
        <v>1.9529000000000001E-2</v>
      </c>
      <c r="F66" s="7" t="s">
        <v>248</v>
      </c>
      <c r="H66" s="51"/>
      <c r="J66" s="51"/>
    </row>
    <row r="67" spans="1:10" x14ac:dyDescent="0.3">
      <c r="A67" s="26" t="s">
        <v>216</v>
      </c>
      <c r="B67" s="27" t="s">
        <v>137</v>
      </c>
      <c r="C67" s="9">
        <v>1.3849928674698799</v>
      </c>
      <c r="D67" s="9">
        <v>9.9738469999999992</v>
      </c>
      <c r="E67" s="9">
        <v>6.9933999999999996E-2</v>
      </c>
      <c r="F67" s="9" t="s">
        <v>247</v>
      </c>
      <c r="H67" s="51"/>
      <c r="J67" s="51"/>
    </row>
    <row r="68" spans="1:10" x14ac:dyDescent="0.3">
      <c r="A68" s="6" t="s">
        <v>212</v>
      </c>
      <c r="B68" s="8" t="s">
        <v>98</v>
      </c>
      <c r="C68" s="7">
        <v>1.3635832627308619</v>
      </c>
      <c r="D68" s="7">
        <v>-0.59853676722000027</v>
      </c>
      <c r="E68" s="7">
        <v>9.294210406000028E-2</v>
      </c>
      <c r="F68" s="7" t="s">
        <v>15</v>
      </c>
      <c r="H68" s="51"/>
      <c r="J68" s="51"/>
    </row>
    <row r="69" spans="1:10" x14ac:dyDescent="0.3">
      <c r="A69" s="26" t="s">
        <v>213</v>
      </c>
      <c r="B69" s="27" t="s">
        <v>134</v>
      </c>
      <c r="C69" s="9">
        <v>1.277569640361446</v>
      </c>
      <c r="D69" s="9">
        <v>2.7536341000000002</v>
      </c>
      <c r="E69" s="9">
        <v>-6.3209900000000027E-2</v>
      </c>
      <c r="F69" s="9" t="s">
        <v>248</v>
      </c>
      <c r="H69" s="51"/>
      <c r="J69" s="51"/>
    </row>
    <row r="70" spans="1:10" x14ac:dyDescent="0.3">
      <c r="A70" s="6" t="s">
        <v>228</v>
      </c>
      <c r="B70" s="8" t="s">
        <v>149</v>
      </c>
      <c r="C70" s="7">
        <v>1.1682905272289161</v>
      </c>
      <c r="D70" s="7">
        <v>12.055389</v>
      </c>
      <c r="E70" s="7">
        <v>-0.155419</v>
      </c>
      <c r="F70" s="7" t="s">
        <v>15</v>
      </c>
      <c r="H70" s="51"/>
      <c r="J70" s="51"/>
    </row>
    <row r="71" spans="1:10" x14ac:dyDescent="0.3">
      <c r="A71" s="26" t="s">
        <v>226</v>
      </c>
      <c r="B71" s="27" t="s">
        <v>147</v>
      </c>
      <c r="C71" s="9">
        <v>1.113446368072289</v>
      </c>
      <c r="D71" s="9">
        <v>-8.1706005000000008</v>
      </c>
      <c r="E71" s="9">
        <v>0.15367600000000001</v>
      </c>
      <c r="F71" s="9" t="s">
        <v>17</v>
      </c>
      <c r="H71" s="51"/>
      <c r="J71" s="51"/>
    </row>
    <row r="72" spans="1:10" x14ac:dyDescent="0.3">
      <c r="A72" s="6" t="s">
        <v>224</v>
      </c>
      <c r="B72" s="8" t="s">
        <v>144</v>
      </c>
      <c r="C72" s="7">
        <v>1.0914156752423041</v>
      </c>
      <c r="D72" s="7">
        <v>-41.521981751390001</v>
      </c>
      <c r="E72" s="7">
        <v>-0.19018862769</v>
      </c>
      <c r="F72" s="7" t="s">
        <v>18</v>
      </c>
      <c r="H72" s="51"/>
      <c r="J72" s="51"/>
    </row>
    <row r="73" spans="1:10" x14ac:dyDescent="0.3">
      <c r="A73" s="26" t="s">
        <v>238</v>
      </c>
      <c r="B73" s="27" t="s">
        <v>257</v>
      </c>
      <c r="C73" s="9">
        <v>1.0612306969879521</v>
      </c>
      <c r="D73" s="9">
        <v>-2.7537183999999999</v>
      </c>
      <c r="E73" s="9">
        <v>-0.14463510000000002</v>
      </c>
      <c r="F73" s="9" t="s">
        <v>247</v>
      </c>
      <c r="H73" s="51"/>
      <c r="J73" s="51"/>
    </row>
    <row r="74" spans="1:10" x14ac:dyDescent="0.3">
      <c r="A74" s="6" t="s">
        <v>221</v>
      </c>
      <c r="B74" s="8" t="s">
        <v>142</v>
      </c>
      <c r="C74" s="7">
        <v>1.0549515042168671</v>
      </c>
      <c r="D74" s="7">
        <v>5.7741540000000002</v>
      </c>
      <c r="E74" s="7">
        <v>-0.143815</v>
      </c>
      <c r="F74" s="7" t="s">
        <v>245</v>
      </c>
      <c r="H74" s="51"/>
      <c r="J74" s="51"/>
    </row>
    <row r="75" spans="1:10" x14ac:dyDescent="0.3">
      <c r="A75" s="26" t="s">
        <v>218</v>
      </c>
      <c r="B75" s="27" t="s">
        <v>139</v>
      </c>
      <c r="C75" s="9">
        <v>1.015072445783133</v>
      </c>
      <c r="D75" s="9">
        <v>21.5502045</v>
      </c>
      <c r="E75" s="9">
        <v>0.405499</v>
      </c>
      <c r="F75" s="9" t="s">
        <v>18</v>
      </c>
      <c r="H75" s="51"/>
      <c r="J75" s="51"/>
    </row>
    <row r="76" spans="1:10" x14ac:dyDescent="0.3">
      <c r="A76" s="6" t="s">
        <v>217</v>
      </c>
      <c r="B76" s="8" t="s">
        <v>138</v>
      </c>
      <c r="C76" s="7">
        <v>0.9678876891566266</v>
      </c>
      <c r="D76" s="7">
        <v>0.16587099999999999</v>
      </c>
      <c r="E76" s="7">
        <v>-6.9754499999999997E-2</v>
      </c>
      <c r="F76" s="7" t="s">
        <v>246</v>
      </c>
      <c r="H76" s="51"/>
      <c r="J76" s="51"/>
    </row>
    <row r="77" spans="1:10" x14ac:dyDescent="0.3">
      <c r="A77" s="26" t="s">
        <v>240</v>
      </c>
      <c r="B77" s="27" t="s">
        <v>159</v>
      </c>
      <c r="C77" s="9">
        <v>0.96702438795180723</v>
      </c>
      <c r="D77" s="9">
        <v>-4.9977935000000002</v>
      </c>
      <c r="E77" s="9">
        <v>0.71368200000000004</v>
      </c>
      <c r="F77" s="9" t="s">
        <v>12</v>
      </c>
      <c r="H77" s="51"/>
      <c r="J77" s="51"/>
    </row>
    <row r="78" spans="1:10" x14ac:dyDescent="0.3">
      <c r="A78" s="6" t="s">
        <v>243</v>
      </c>
      <c r="B78" s="8" t="s">
        <v>161</v>
      </c>
      <c r="C78" s="7">
        <v>0.92531112710843377</v>
      </c>
      <c r="D78" s="7">
        <v>1.248003</v>
      </c>
      <c r="E78" s="7">
        <v>-0.469615</v>
      </c>
      <c r="F78" s="7" t="s">
        <v>15</v>
      </c>
      <c r="H78" s="51"/>
      <c r="J78" s="51"/>
    </row>
    <row r="79" spans="1:10" x14ac:dyDescent="0.3">
      <c r="A79" s="26" t="s">
        <v>225</v>
      </c>
      <c r="B79" s="27" t="s">
        <v>146</v>
      </c>
      <c r="C79" s="9">
        <v>0.9242136777108434</v>
      </c>
      <c r="D79" s="9">
        <v>-18.604378000000001</v>
      </c>
      <c r="E79" s="9">
        <v>-5.5829999999999855E-3</v>
      </c>
      <c r="F79" s="9" t="s">
        <v>18</v>
      </c>
      <c r="H79" s="51"/>
      <c r="J79" s="51"/>
    </row>
    <row r="80" spans="1:10" x14ac:dyDescent="0.3">
      <c r="A80" s="6" t="s">
        <v>222</v>
      </c>
      <c r="B80" s="8" t="s">
        <v>108</v>
      </c>
      <c r="C80" s="7">
        <v>0.90242571214156619</v>
      </c>
      <c r="D80" s="7">
        <v>40.628169685099998</v>
      </c>
      <c r="E80" s="7">
        <v>-7.3361293300000033E-2</v>
      </c>
      <c r="F80" s="7" t="s">
        <v>247</v>
      </c>
      <c r="H80" s="51"/>
      <c r="J80" s="51"/>
    </row>
    <row r="81" spans="1:10" x14ac:dyDescent="0.3">
      <c r="A81" s="26" t="s">
        <v>223</v>
      </c>
      <c r="B81" s="27" t="s">
        <v>143</v>
      </c>
      <c r="C81" s="9">
        <v>0.87312712469879517</v>
      </c>
      <c r="D81" s="9">
        <v>7.205228</v>
      </c>
      <c r="E81" s="9">
        <v>0.182366</v>
      </c>
      <c r="F81" s="9" t="s">
        <v>247</v>
      </c>
      <c r="H81" s="51"/>
      <c r="J81" s="51"/>
    </row>
    <row r="82" spans="1:10" x14ac:dyDescent="0.3">
      <c r="A82" s="6" t="s">
        <v>234</v>
      </c>
      <c r="B82" s="8" t="s">
        <v>155</v>
      </c>
      <c r="C82" s="7">
        <v>0.86628884939759043</v>
      </c>
      <c r="D82" s="7">
        <v>9.2742915000000004</v>
      </c>
      <c r="E82" s="7">
        <v>0.73036400000000001</v>
      </c>
      <c r="F82" s="7" t="s">
        <v>18</v>
      </c>
      <c r="H82" s="51"/>
      <c r="J82" s="51"/>
    </row>
    <row r="83" spans="1:10" x14ac:dyDescent="0.3">
      <c r="A83" s="26" t="s">
        <v>233</v>
      </c>
      <c r="B83" s="27" t="s">
        <v>154</v>
      </c>
      <c r="C83" s="9">
        <v>0.82046799999999998</v>
      </c>
      <c r="D83" s="9">
        <v>6.9800199999999997</v>
      </c>
      <c r="E83" s="9">
        <v>1.126806</v>
      </c>
      <c r="F83" s="9" t="s">
        <v>15</v>
      </c>
      <c r="H83" s="51"/>
      <c r="J83" s="51"/>
    </row>
    <row r="84" spans="1:10" x14ac:dyDescent="0.3">
      <c r="A84" s="6" t="s">
        <v>235</v>
      </c>
      <c r="B84" s="8" t="s">
        <v>91</v>
      </c>
      <c r="C84" s="7">
        <v>0.80182919277108433</v>
      </c>
      <c r="D84" s="7">
        <v>0.14505950000000001</v>
      </c>
      <c r="E84" s="7">
        <v>-0.39469799999999999</v>
      </c>
      <c r="F84" s="7" t="s">
        <v>12</v>
      </c>
      <c r="H84" s="51"/>
      <c r="J84" s="51"/>
    </row>
    <row r="85" spans="1:10" x14ac:dyDescent="0.3">
      <c r="A85" s="26" t="s">
        <v>231</v>
      </c>
      <c r="B85" s="27" t="s">
        <v>152</v>
      </c>
      <c r="C85" s="9">
        <v>0.75218726807228919</v>
      </c>
      <c r="D85" s="9">
        <v>6.7715569999999996</v>
      </c>
      <c r="E85" s="9">
        <v>0.38983050000000002</v>
      </c>
      <c r="F85" s="9" t="s">
        <v>17</v>
      </c>
      <c r="H85" s="51"/>
      <c r="J85" s="51"/>
    </row>
    <row r="86" spans="1:10" x14ac:dyDescent="0.3">
      <c r="A86" s="6" t="s">
        <v>239</v>
      </c>
      <c r="B86" s="8" t="s">
        <v>158</v>
      </c>
      <c r="C86" s="7">
        <v>0.75216481024096382</v>
      </c>
      <c r="D86" s="7">
        <v>11.821992</v>
      </c>
      <c r="E86" s="7">
        <v>5.1258999999999999E-2</v>
      </c>
      <c r="F86" s="7" t="s">
        <v>12</v>
      </c>
      <c r="H86" s="51"/>
      <c r="J86" s="51"/>
    </row>
    <row r="87" spans="1:10" x14ac:dyDescent="0.3">
      <c r="A87" s="26" t="s">
        <v>230</v>
      </c>
      <c r="B87" s="27" t="s">
        <v>151</v>
      </c>
      <c r="C87" s="9">
        <v>0.75174491144578315</v>
      </c>
      <c r="D87" s="9">
        <v>1.8102802</v>
      </c>
      <c r="E87" s="9">
        <v>-8.9114799999999994E-2</v>
      </c>
      <c r="F87" s="9" t="s">
        <v>11</v>
      </c>
      <c r="H87" s="51"/>
      <c r="J87" s="51"/>
    </row>
    <row r="88" spans="1:10" x14ac:dyDescent="0.3">
      <c r="A88" s="6" t="s">
        <v>236</v>
      </c>
      <c r="B88" s="8" t="s">
        <v>156</v>
      </c>
      <c r="C88" s="7">
        <v>0.74839814843373487</v>
      </c>
      <c r="D88" s="7">
        <v>-8.0958684999999999</v>
      </c>
      <c r="E88" s="7">
        <v>0.12318</v>
      </c>
      <c r="F88" s="7" t="s">
        <v>18</v>
      </c>
      <c r="H88" s="51"/>
      <c r="J88" s="51"/>
    </row>
    <row r="89" spans="1:10" x14ac:dyDescent="0.3">
      <c r="A89" s="26" t="s">
        <v>261</v>
      </c>
      <c r="B89" s="27" t="s">
        <v>262</v>
      </c>
      <c r="C89" s="9">
        <v>0.74460243987951802</v>
      </c>
      <c r="D89" s="9">
        <v>-17.2448385</v>
      </c>
      <c r="E89" s="9">
        <v>-10.093444999999999</v>
      </c>
      <c r="F89" s="9" t="s">
        <v>18</v>
      </c>
      <c r="H89" s="51"/>
      <c r="J89" s="51"/>
    </row>
    <row r="90" spans="1:10" x14ac:dyDescent="0.3">
      <c r="A90" s="6" t="s">
        <v>253</v>
      </c>
      <c r="B90" s="8" t="s">
        <v>254</v>
      </c>
      <c r="C90" s="7">
        <v>0.73149997590361437</v>
      </c>
      <c r="D90" s="7">
        <v>-5.1437825000000004</v>
      </c>
      <c r="E90" s="7">
        <v>-0.93262400000000001</v>
      </c>
      <c r="F90" s="7" t="s">
        <v>17</v>
      </c>
      <c r="H90" s="51"/>
      <c r="J90" s="51"/>
    </row>
    <row r="91" spans="1:10" x14ac:dyDescent="0.3">
      <c r="A91" s="26" t="s">
        <v>227</v>
      </c>
      <c r="B91" s="27" t="s">
        <v>148</v>
      </c>
      <c r="C91" s="9">
        <v>0.71160130903614449</v>
      </c>
      <c r="D91" s="9">
        <v>-10.2032828</v>
      </c>
      <c r="E91" s="9">
        <v>1.2435993000000001</v>
      </c>
      <c r="F91" s="9" t="s">
        <v>247</v>
      </c>
      <c r="H91" s="51"/>
      <c r="J91" s="51"/>
    </row>
    <row r="92" spans="1:10" x14ac:dyDescent="0.3">
      <c r="A92" s="6" t="s">
        <v>241</v>
      </c>
      <c r="B92" s="8" t="s">
        <v>99</v>
      </c>
      <c r="C92" s="7">
        <v>0.6738500275756627</v>
      </c>
      <c r="D92" s="7">
        <v>-21.210850543149999</v>
      </c>
      <c r="E92" s="7">
        <v>-3.4473785170999998</v>
      </c>
      <c r="F92" s="7" t="s">
        <v>18</v>
      </c>
      <c r="H92" s="51"/>
      <c r="J92" s="51"/>
    </row>
    <row r="93" spans="1:10" x14ac:dyDescent="0.3">
      <c r="A93" s="26" t="s">
        <v>259</v>
      </c>
      <c r="B93" s="27" t="s">
        <v>258</v>
      </c>
      <c r="C93" s="9">
        <v>0.62557825301204817</v>
      </c>
      <c r="D93" s="9">
        <v>27.045200999999988</v>
      </c>
      <c r="E93" s="9">
        <v>-0.14180499999999999</v>
      </c>
      <c r="F93" s="9" t="s">
        <v>14</v>
      </c>
      <c r="H93" s="51"/>
      <c r="J93" s="51"/>
    </row>
    <row r="94" spans="1:10" x14ac:dyDescent="0.3">
      <c r="A94" s="6" t="s">
        <v>229</v>
      </c>
      <c r="B94" s="8" t="s">
        <v>150</v>
      </c>
      <c r="C94" s="7">
        <v>0.60524320060240966</v>
      </c>
      <c r="D94" s="7">
        <v>2.6922845</v>
      </c>
      <c r="E94" s="7">
        <v>-0.3110385</v>
      </c>
      <c r="F94" s="7" t="s">
        <v>15</v>
      </c>
      <c r="H94" s="51"/>
      <c r="J94" s="51"/>
    </row>
    <row r="95" spans="1:10" x14ac:dyDescent="0.3">
      <c r="A95" s="26" t="s">
        <v>242</v>
      </c>
      <c r="B95" s="27" t="s">
        <v>160</v>
      </c>
      <c r="C95" s="9">
        <v>0.57702217759301799</v>
      </c>
      <c r="D95" s="9">
        <v>-11.7000325764</v>
      </c>
      <c r="E95" s="9">
        <v>-4.5947330800000005E-2</v>
      </c>
      <c r="F95" s="9" t="s">
        <v>18</v>
      </c>
      <c r="H95" s="51"/>
      <c r="J95" s="51"/>
    </row>
    <row r="96" spans="1:10" x14ac:dyDescent="0.3">
      <c r="A96" s="6" t="s">
        <v>244</v>
      </c>
      <c r="B96" s="8" t="s">
        <v>162</v>
      </c>
      <c r="C96" s="7">
        <v>0.57639956204819276</v>
      </c>
      <c r="D96" s="7">
        <v>-6.0539299</v>
      </c>
      <c r="E96" s="7">
        <v>9.4195000000000015E-2</v>
      </c>
      <c r="F96" s="7" t="s">
        <v>16</v>
      </c>
      <c r="H96" s="51"/>
      <c r="J96" s="51"/>
    </row>
    <row r="97" spans="1:10" x14ac:dyDescent="0.3">
      <c r="A97" s="26" t="s">
        <v>263</v>
      </c>
      <c r="B97" s="27" t="s">
        <v>264</v>
      </c>
      <c r="C97" s="9">
        <v>0.4899517102409639</v>
      </c>
      <c r="D97" s="9">
        <v>-7.466183</v>
      </c>
      <c r="E97" s="9">
        <v>0.64336950000000004</v>
      </c>
      <c r="F97" s="9" t="s">
        <v>246</v>
      </c>
      <c r="H97" s="51"/>
      <c r="J97" s="51"/>
    </row>
    <row r="98" spans="1:10" x14ac:dyDescent="0.3">
      <c r="A98" s="6" t="s">
        <v>281</v>
      </c>
      <c r="B98" s="8" t="s">
        <v>282</v>
      </c>
      <c r="C98" s="7">
        <v>0.47304545439759044</v>
      </c>
      <c r="D98" s="7">
        <v>1.4414819999999999</v>
      </c>
      <c r="E98" s="7">
        <v>0.53022899999999995</v>
      </c>
      <c r="F98" s="7" t="s">
        <v>246</v>
      </c>
      <c r="H98" s="51"/>
      <c r="J98" s="51"/>
    </row>
    <row r="99" spans="1:10" x14ac:dyDescent="0.3">
      <c r="A99" s="26" t="s">
        <v>237</v>
      </c>
      <c r="B99" s="27" t="s">
        <v>157</v>
      </c>
      <c r="C99" s="9">
        <v>0.46788935849397589</v>
      </c>
      <c r="D99" s="9">
        <v>4.4432605000000001</v>
      </c>
      <c r="E99" s="9">
        <v>-2.8497000000000001E-2</v>
      </c>
      <c r="F99" s="9" t="s">
        <v>18</v>
      </c>
      <c r="H99" s="51"/>
      <c r="J99" s="51"/>
    </row>
    <row r="100" spans="1:10" x14ac:dyDescent="0.3">
      <c r="A100" s="6" t="s">
        <v>232</v>
      </c>
      <c r="B100" s="8" t="s">
        <v>153</v>
      </c>
      <c r="C100" s="7">
        <v>0.46197754879518066</v>
      </c>
      <c r="D100" s="7">
        <v>-6.7808739999999998</v>
      </c>
      <c r="E100" s="7">
        <v>1.48395E-2</v>
      </c>
      <c r="F100" s="7" t="s">
        <v>12</v>
      </c>
      <c r="H100" s="51"/>
      <c r="J100" s="51"/>
    </row>
    <row r="101" spans="1:10" x14ac:dyDescent="0.3">
      <c r="A101" s="62" t="s">
        <v>267</v>
      </c>
      <c r="B101" s="63" t="s">
        <v>145</v>
      </c>
      <c r="C101" s="10">
        <v>0.45426629578313249</v>
      </c>
      <c r="D101" s="10">
        <v>8.100956</v>
      </c>
      <c r="E101" s="10">
        <v>0</v>
      </c>
      <c r="F101" s="10" t="s">
        <v>11</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251</v>
      </c>
    </row>
    <row r="107" spans="1:10" x14ac:dyDescent="0.3">
      <c r="A107" s="12" t="s">
        <v>250</v>
      </c>
    </row>
    <row r="108" spans="1:10" x14ac:dyDescent="0.3">
      <c r="A108" s="12" t="s">
        <v>268</v>
      </c>
    </row>
    <row r="109" spans="1:10" x14ac:dyDescent="0.3">
      <c r="A109" s="12" t="s">
        <v>77</v>
      </c>
    </row>
  </sheetData>
  <pageMargins left="0.7" right="0.7" top="0.75" bottom="0.75" header="0.3" footer="0.3"/>
  <pageSetup orientation="portrait" r:id="rId1"/>
  <ignoredErrors>
    <ignoredError sqref="B9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2023-09-04T03:52:04Z</dcterms:modified>
</cp:coreProperties>
</file>