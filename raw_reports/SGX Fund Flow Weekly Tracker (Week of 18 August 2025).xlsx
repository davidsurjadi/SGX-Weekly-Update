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1BC32826-304F-4286-A9FC-1E810973872F}"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<sst xmlns="http://schemas.openxmlformats.org/spreadsheetml/2006/main" count="139" uniqueCount="87">
  <si>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</si>
  <si>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</si>
  <si>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</si>
  <si>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</si>
  <si>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</si>
  <si>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</si>
  <si>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</si>
  <si>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</si>
  <si>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</si>
  <si>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</si>
  <si>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</si>
  <si>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</si>
  <si>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</si>
  <si>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</si>
  <si>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</si>
  <si>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</si>
  <si>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</si>
  <si>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</si>
  <si>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</si>
  <si>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</si>
  <si>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</si>
  <si>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</si>
  <si>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</si>
  <si>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</si>
  <si>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A17U</t>
  </si>
  <si>
    <t>DBS</t>
  </si>
  <si>
    <t>UOB</t>
  </si>
  <si>
    <t>SGX</t>
  </si>
  <si>
    <t>G13</t>
  </si>
  <si>
    <t>Genting Singapore</t>
  </si>
  <si>
    <t>S63</t>
  </si>
  <si>
    <t>ST Engineering</t>
  </si>
  <si>
    <t>F34</t>
  </si>
  <si>
    <t>U96</t>
  </si>
  <si>
    <t>V03</t>
  </si>
  <si>
    <t>Wilmar International</t>
  </si>
  <si>
    <t>Sembcorp Industries</t>
  </si>
  <si>
    <t>Venture Corporation</t>
  </si>
  <si>
    <t>Z74</t>
  </si>
  <si>
    <t>C07</t>
  </si>
  <si>
    <t>Singtel</t>
  </si>
  <si>
    <t>BS6</t>
  </si>
  <si>
    <t>C09</t>
  </si>
  <si>
    <t>C38U</t>
  </si>
  <si>
    <t>Yangzijiang Shipbuilding</t>
  </si>
  <si>
    <t>City Developments</t>
  </si>
  <si>
    <t>Contact Us</t>
  </si>
  <si>
    <t>Health
care</t>
  </si>
  <si>
    <t>Telcos</t>
  </si>
  <si>
    <t>https://www2.sgx.com/research-education/data-reports</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</si>
  <si>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</si>
  <si>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</si>
  <si>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</si>
  <si>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</si>
  <si>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</si>
  <si>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</si>
  <si>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CapitaLand Ascendas REIT</t>
  </si>
  <si>
    <t>T82U</t>
  </si>
  <si>
    <t>HMN</t>
  </si>
  <si>
    <t>C52</t>
  </si>
  <si>
    <t>J69U</t>
  </si>
  <si>
    <t>YF8</t>
  </si>
  <si>
    <t>AIY</t>
  </si>
  <si>
    <t>ComfortDelGro</t>
  </si>
  <si>
    <t>Source: SGX.</t>
  </si>
  <si>
    <t>1MZ</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</si>
  <si>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</si>
  <si>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</si>
  <si>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</si>
  <si>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Hong Leong Asia</t>
  </si>
  <si>
    <t>H22</t>
  </si>
  <si>
    <t>PropNex</t>
  </si>
  <si>
    <t>OYY</t>
  </si>
  <si>
    <t>iFast Corporation</t>
  </si>
  <si>
    <t>Yangzijiang Financial</t>
  </si>
  <si>
    <t>Suntec REIT</t>
  </si>
  <si>
    <t>Jardine Cycle &amp; Carriage</t>
  </si>
  <si>
    <t xml:space="preserve">Frasers Centrepoint Trust </t>
  </si>
  <si>
    <t>Great Eastern</t>
  </si>
  <si>
    <t>G07</t>
  </si>
  <si>
    <t>CapitaLand Ascott Trust</t>
  </si>
  <si>
    <t>KSH</t>
  </si>
  <si>
    <t>ER0</t>
  </si>
  <si>
    <t>Nam Cheong</t>
  </si>
  <si>
    <t>Week of 18 August 2025</t>
  </si>
  <si>
    <r>
      <t xml:space="preserve">Institutional investors net </t>
    </r>
    <r>
      <rPr>
        <b/>
        <sz val="11"/>
        <rFont val="Arial"/>
        <family val="2"/>
      </rPr>
      <t>sell</t>
    </r>
    <r>
      <rPr>
        <sz val="11"/>
        <rFont val="Arial"/>
        <family val="2"/>
      </rPr>
      <t xml:space="preserve"> (-S$17.5m) vs. (-S$385.5m) a week ago</t>
    </r>
  </si>
  <si>
    <r>
      <t xml:space="preserve">Retail investors net </t>
    </r>
    <r>
      <rPr>
        <b/>
        <sz val="11"/>
        <rFont val="Arial"/>
        <family val="2"/>
      </rPr>
      <t>sell</t>
    </r>
    <r>
      <rPr>
        <sz val="11"/>
        <rFont val="Arial"/>
        <family val="2"/>
      </rPr>
      <t xml:space="preserve"> (-S$0.9m) vs. (+S$329.4m)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</si>
</sst>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85</v>
      </c>
      <c r="I2" s="40"/>
    </row>
    <row r="3" spans="1:13" ht="15" x14ac:dyDescent="0.25">
      <c r="A3" s="52" t="s">
        <v>86</v>
      </c>
      <c r="I3" s="40"/>
    </row>
    <row r="5" spans="1:13" ht="29.25" customHeight="1" x14ac:dyDescent="0.2">
      <c r="A5" s="3" t="s">
        <v>0</v>
      </c>
      <c r="B5" s="3" t="s">
        <v>1</v>
      </c>
      <c r="C5" s="4" t="s">
        <v>84</v>
      </c>
      <c r="D5" s="43" t="s">
        <v>2</v>
      </c>
      <c r="E5" s="43" t="s">
        <v>1</v>
      </c>
      <c r="F5" s="44" t="str">
        <f>+C5</f>
        <v>Week of 18 August 2025</v>
      </c>
      <c r="I5" s="2"/>
    </row>
    <row r="6" spans="1:13" ht="15" x14ac:dyDescent="0.25">
      <c r="A6" s="28" t="s">
        <v>40</v>
      </c>
      <c r="B6" s="46" t="s">
        <v>38</v>
      </c>
      <c r="C6" s="5">
        <v>88.074847599999998</v>
      </c>
      <c r="D6" s="28" t="s">
        <v>31</v>
      </c>
      <c r="E6" s="46" t="s">
        <v>30</v>
      </c>
      <c r="F6" s="5">
        <v>-42.886206000000001</v>
      </c>
      <c r="G6" s="61"/>
      <c r="H6"/>
      <c r="I6" s="2"/>
      <c r="M6"/>
    </row>
    <row r="7" spans="1:13" ht="15" x14ac:dyDescent="0.25">
      <c r="A7" s="29" t="s">
        <v>76</v>
      </c>
      <c r="B7" s="9" t="s">
        <v>39</v>
      </c>
      <c r="C7" s="7">
        <v>31.27741</v>
      </c>
      <c r="D7" s="29" t="s">
        <v>36</v>
      </c>
      <c r="E7" s="9" t="s">
        <v>33</v>
      </c>
      <c r="F7" s="7">
        <v>-35.930667999999997</v>
      </c>
      <c r="G7" s="61"/>
      <c r="H7"/>
      <c r="I7" s="2"/>
      <c r="L7"/>
      <c r="M7"/>
    </row>
    <row r="8" spans="1:13" ht="15" x14ac:dyDescent="0.25">
      <c r="A8" s="30" t="s">
        <v>27</v>
      </c>
      <c r="B8" s="46" t="s">
        <v>23</v>
      </c>
      <c r="C8" s="5">
        <v>20.753488999999998</v>
      </c>
      <c r="D8" s="30" t="s">
        <v>56</v>
      </c>
      <c r="E8" s="46" t="s">
        <v>24</v>
      </c>
      <c r="F8" s="5">
        <v>-33.202845000000003</v>
      </c>
      <c r="G8" s="61"/>
      <c r="H8"/>
      <c r="I8" s="2"/>
      <c r="L8"/>
      <c r="M8"/>
    </row>
    <row r="9" spans="1:13" ht="15" x14ac:dyDescent="0.25">
      <c r="A9" s="29" t="s">
        <v>74</v>
      </c>
      <c r="B9" s="9" t="s">
        <v>61</v>
      </c>
      <c r="C9" s="7">
        <v>12.16229</v>
      </c>
      <c r="D9" s="29" t="s">
        <v>63</v>
      </c>
      <c r="E9" s="9" t="s">
        <v>59</v>
      </c>
      <c r="F9" s="7">
        <v>-29.892627999999998</v>
      </c>
      <c r="G9" s="61"/>
      <c r="H9"/>
      <c r="I9" s="2"/>
      <c r="L9"/>
      <c r="M9"/>
    </row>
    <row r="10" spans="1:13" ht="15" x14ac:dyDescent="0.25">
      <c r="A10" s="30" t="s">
        <v>45</v>
      </c>
      <c r="B10" s="46" t="s">
        <v>42</v>
      </c>
      <c r="C10" s="5">
        <v>10.376139</v>
      </c>
      <c r="D10" s="30" t="s">
        <v>26</v>
      </c>
      <c r="E10" s="46" t="s">
        <v>22</v>
      </c>
      <c r="F10" s="5">
        <v>-22.731721</v>
      </c>
      <c r="G10" s="61"/>
      <c r="H10"/>
      <c r="I10" s="2"/>
      <c r="L10"/>
      <c r="M10"/>
    </row>
    <row r="11" spans="1:13" ht="15" x14ac:dyDescent="0.25">
      <c r="A11" s="29" t="s">
        <v>37</v>
      </c>
      <c r="B11" s="9" t="s">
        <v>34</v>
      </c>
      <c r="C11" s="7">
        <v>9.0775620000000004</v>
      </c>
      <c r="D11" s="29" t="s">
        <v>73</v>
      </c>
      <c r="E11" s="9" t="s">
        <v>62</v>
      </c>
      <c r="F11" s="7">
        <v>-20.23121100000002</v>
      </c>
      <c r="G11" s="61"/>
      <c r="H11"/>
      <c r="I11" s="2"/>
      <c r="L11"/>
      <c r="M11"/>
    </row>
    <row r="12" spans="1:13" ht="15" x14ac:dyDescent="0.25">
      <c r="A12" s="30" t="s">
        <v>77</v>
      </c>
      <c r="B12" s="46" t="s">
        <v>60</v>
      </c>
      <c r="C12" s="5">
        <v>8.7168749999999999</v>
      </c>
      <c r="D12" s="30" t="s">
        <v>78</v>
      </c>
      <c r="E12" s="46" t="s">
        <v>79</v>
      </c>
      <c r="F12" s="5">
        <v>-12.385203000000001</v>
      </c>
      <c r="G12" s="61"/>
      <c r="H12"/>
      <c r="I12" s="2"/>
      <c r="L12"/>
      <c r="M12"/>
    </row>
    <row r="13" spans="1:13" ht="15" x14ac:dyDescent="0.25">
      <c r="A13" s="29" t="s">
        <v>50</v>
      </c>
      <c r="B13" s="9" t="s">
        <v>43</v>
      </c>
      <c r="C13" s="7">
        <v>7.4840369999999998</v>
      </c>
      <c r="D13" s="29" t="s">
        <v>80</v>
      </c>
      <c r="E13" s="9" t="s">
        <v>58</v>
      </c>
      <c r="F13" s="7">
        <v>-10.193998499999999</v>
      </c>
      <c r="G13" s="61"/>
      <c r="H13"/>
      <c r="I13" s="2"/>
      <c r="L13"/>
      <c r="M13"/>
    </row>
    <row r="14" spans="1:13" ht="15" x14ac:dyDescent="0.25">
      <c r="A14" s="30" t="s">
        <v>75</v>
      </c>
      <c r="B14" s="46" t="s">
        <v>57</v>
      </c>
      <c r="C14" s="5">
        <v>5.7092710000000002</v>
      </c>
      <c r="D14" s="30" t="s">
        <v>81</v>
      </c>
      <c r="E14" s="46" t="s">
        <v>82</v>
      </c>
      <c r="F14" s="5">
        <v>-8.7340865000000001</v>
      </c>
      <c r="G14" s="61"/>
      <c r="H14"/>
      <c r="I14" s="2"/>
      <c r="L14"/>
      <c r="M14"/>
    </row>
    <row r="15" spans="1:13" ht="15" x14ac:dyDescent="0.25">
      <c r="A15" s="31" t="s">
        <v>69</v>
      </c>
      <c r="B15" s="27" t="s">
        <v>70</v>
      </c>
      <c r="C15" s="8">
        <v>5.3600690000000002</v>
      </c>
      <c r="D15" s="31" t="s">
        <v>52</v>
      </c>
      <c r="E15" s="27" t="s">
        <v>51</v>
      </c>
      <c r="F15" s="8">
        <v>-7.5052304999999997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18 August 2025</v>
      </c>
      <c r="D18" s="45" t="s">
        <v>4</v>
      </c>
      <c r="E18" s="43" t="s">
        <v>1</v>
      </c>
      <c r="F18" s="44" t="str">
        <f>+C18</f>
        <v>Week of 18 August 2025</v>
      </c>
    </row>
    <row r="19" spans="1:9" ht="15" x14ac:dyDescent="0.25">
      <c r="A19" s="30" t="s">
        <v>36</v>
      </c>
      <c r="B19" s="46" t="s">
        <v>33</v>
      </c>
      <c r="C19" s="16">
        <v>42.842942999999998</v>
      </c>
      <c r="D19" s="30" t="s">
        <v>40</v>
      </c>
      <c r="E19" s="15" t="s">
        <v>38</v>
      </c>
      <c r="F19" s="5">
        <v>-69.383838900000001</v>
      </c>
      <c r="G19" s="61"/>
      <c r="I19" s="2"/>
    </row>
    <row r="20" spans="1:9" ht="15" x14ac:dyDescent="0.25">
      <c r="A20" s="29" t="s">
        <v>26</v>
      </c>
      <c r="B20" s="9" t="s">
        <v>22</v>
      </c>
      <c r="C20" s="7">
        <v>42.370539000000001</v>
      </c>
      <c r="D20" s="29" t="s">
        <v>76</v>
      </c>
      <c r="E20" s="17" t="s">
        <v>39</v>
      </c>
      <c r="F20" s="7">
        <v>-30.594038000000001</v>
      </c>
      <c r="G20" s="61"/>
      <c r="I20" s="2"/>
    </row>
    <row r="21" spans="1:9" ht="15" x14ac:dyDescent="0.25">
      <c r="A21" s="30" t="s">
        <v>73</v>
      </c>
      <c r="B21" s="46" t="s">
        <v>62</v>
      </c>
      <c r="C21" s="5">
        <v>31.651467</v>
      </c>
      <c r="D21" s="30" t="s">
        <v>25</v>
      </c>
      <c r="E21" s="6" t="s">
        <v>21</v>
      </c>
      <c r="F21" s="5">
        <v>-19.860921000000001</v>
      </c>
      <c r="G21" s="61"/>
      <c r="I21" s="2"/>
    </row>
    <row r="22" spans="1:9" ht="15" x14ac:dyDescent="0.25">
      <c r="A22" s="29" t="s">
        <v>63</v>
      </c>
      <c r="B22" s="9" t="s">
        <v>59</v>
      </c>
      <c r="C22" s="7">
        <v>28.904836</v>
      </c>
      <c r="D22" s="29" t="s">
        <v>27</v>
      </c>
      <c r="E22" s="17" t="s">
        <v>23</v>
      </c>
      <c r="F22" s="7">
        <v>-17.452255999999998</v>
      </c>
      <c r="G22" s="61"/>
      <c r="I22" s="2"/>
    </row>
    <row r="23" spans="1:9" ht="15" x14ac:dyDescent="0.25">
      <c r="A23" s="30" t="s">
        <v>31</v>
      </c>
      <c r="B23" s="46" t="s">
        <v>30</v>
      </c>
      <c r="C23" s="5">
        <v>25.903769</v>
      </c>
      <c r="D23" s="30" t="s">
        <v>44</v>
      </c>
      <c r="E23" s="6" t="s">
        <v>41</v>
      </c>
      <c r="F23" s="5">
        <v>-16.038063999999999</v>
      </c>
      <c r="G23" s="61"/>
      <c r="I23" s="2"/>
    </row>
    <row r="24" spans="1:9" ht="15" x14ac:dyDescent="0.25">
      <c r="A24" s="29" t="s">
        <v>78</v>
      </c>
      <c r="B24" s="9" t="s">
        <v>79</v>
      </c>
      <c r="C24" s="7">
        <v>16.930911999999999</v>
      </c>
      <c r="D24" s="29" t="s">
        <v>50</v>
      </c>
      <c r="E24" s="17" t="s">
        <v>43</v>
      </c>
      <c r="F24" s="7">
        <v>-13.726098</v>
      </c>
      <c r="G24" s="61"/>
      <c r="I24" s="2"/>
    </row>
    <row r="25" spans="1:9" ht="15" x14ac:dyDescent="0.25">
      <c r="A25" s="30" t="s">
        <v>29</v>
      </c>
      <c r="B25" s="46" t="s">
        <v>28</v>
      </c>
      <c r="C25" s="5">
        <v>14.588013</v>
      </c>
      <c r="D25" s="30" t="s">
        <v>69</v>
      </c>
      <c r="E25" s="6" t="s">
        <v>70</v>
      </c>
      <c r="F25" s="5">
        <v>-10.600631</v>
      </c>
      <c r="G25" s="61"/>
      <c r="I25" s="2"/>
    </row>
    <row r="26" spans="1:9" ht="15" x14ac:dyDescent="0.25">
      <c r="A26" s="29" t="s">
        <v>56</v>
      </c>
      <c r="B26" s="9" t="s">
        <v>24</v>
      </c>
      <c r="C26" s="7">
        <v>11.558287999999999</v>
      </c>
      <c r="D26" s="29" t="s">
        <v>71</v>
      </c>
      <c r="E26" s="17" t="s">
        <v>72</v>
      </c>
      <c r="F26" s="7">
        <v>-7.9581020000000002</v>
      </c>
      <c r="G26" s="61"/>
      <c r="I26" s="2"/>
    </row>
    <row r="27" spans="1:9" ht="15" x14ac:dyDescent="0.25">
      <c r="A27" s="30" t="s">
        <v>35</v>
      </c>
      <c r="B27" s="46" t="s">
        <v>32</v>
      </c>
      <c r="C27" s="5">
        <v>10.864812000000001</v>
      </c>
      <c r="D27" s="30" t="s">
        <v>83</v>
      </c>
      <c r="E27" s="6" t="s">
        <v>65</v>
      </c>
      <c r="F27" s="5">
        <v>-7.7366270000000004</v>
      </c>
      <c r="G27" s="61"/>
      <c r="I27" s="2"/>
    </row>
    <row r="28" spans="1:9" ht="15" x14ac:dyDescent="0.25">
      <c r="A28" s="27" t="s">
        <v>81</v>
      </c>
      <c r="B28" s="56" t="s">
        <v>82</v>
      </c>
      <c r="C28" s="8">
        <v>8.7035269999999993</v>
      </c>
      <c r="D28" s="27" t="s">
        <v>75</v>
      </c>
      <c r="E28" s="56" t="s">
        <v>57</v>
      </c>
      <c r="F28" s="8">
        <v>-6.9540639999999998</v>
      </c>
      <c r="G28" s="61"/>
      <c r="I28" s="2"/>
    </row>
    <row r="29" spans="1:9" x14ac:dyDescent="0.2">
      <c r="A29" s="9"/>
      <c r="B29" s="9"/>
      <c r="C29" s="9"/>
      <c r="D29" s="9"/>
      <c r="E29" s="9"/>
      <c r="F29" s="9"/>
    </row>
    <row r="30" spans="1:9" x14ac:dyDescent="0.2">
      <c r="A30" s="10" t="s">
        <v>64</v>
      </c>
      <c r="B30" s="10"/>
      <c r="C30" s="9"/>
      <c r="D30" s="9"/>
      <c r="E30" s="9"/>
      <c r="F30" s="9"/>
    </row>
    <row r="31" spans="1:9" x14ac:dyDescent="0.2">
      <c r="A31" s="10" t="s">
        <v>53</v>
      </c>
      <c r="B31" s="10"/>
      <c r="C31" s="9"/>
      <c r="D31" s="9"/>
      <c r="E31" s="9"/>
      <c r="F31" s="9"/>
    </row>
    <row r="32" spans="1:9" x14ac:dyDescent="0.2">
      <c r="A32" s="10" t="s">
        <v>54</v>
      </c>
      <c r="B32" s="10"/>
      <c r="C32" s="9"/>
      <c r="D32" s="9"/>
      <c r="E32" s="9"/>
      <c r="F32" s="9"/>
    </row>
    <row r="33" spans="1:9" x14ac:dyDescent="0.2">
      <c r="A33" s="10" t="s">
        <v>6</v>
      </c>
      <c r="B33" s="10"/>
      <c r="C33" s="9"/>
      <c r="D33" s="9"/>
      <c r="E33" s="9"/>
      <c r="F33" s="9"/>
    </row>
    <row r="34" spans="1:9" x14ac:dyDescent="0.2">
      <c r="A34" s="57" t="s">
        <v>49</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46</v>
      </c>
      <c r="B37" s="19"/>
      <c r="C37" s="20"/>
      <c r="D37" s="20"/>
      <c r="E37" s="19"/>
      <c r="F37" s="19"/>
      <c r="I37" s="32"/>
    </row>
    <row r="38" spans="1:9" customFormat="1" ht="15" x14ac:dyDescent="0.25">
      <c r="A38" s="21" t="s">
        <v>67</v>
      </c>
      <c r="B38" s="19"/>
      <c r="C38" s="20"/>
      <c r="D38" s="20"/>
      <c r="E38" s="19"/>
      <c r="F38" s="19"/>
      <c r="I38" s="32"/>
    </row>
    <row r="39" spans="1:9" s="25" customFormat="1" ht="19.350000000000001" customHeight="1" x14ac:dyDescent="0.25">
      <c r="A39" s="22" t="s">
        <v>66</v>
      </c>
      <c r="B39" s="23"/>
      <c r="C39" s="24"/>
      <c r="D39" s="24"/>
      <c r="E39" s="23"/>
      <c r="F39" s="23"/>
      <c r="I39" s="35"/>
    </row>
    <row r="40" spans="1:9" ht="169.35" customHeight="1" x14ac:dyDescent="0.2">
      <c r="A40" s="67" t="s">
        <v>68</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47</v>
      </c>
      <c r="H2" s="12" t="s">
        <v>14</v>
      </c>
      <c r="I2" s="12" t="s">
        <v>15</v>
      </c>
      <c r="J2" s="12" t="s">
        <v>16</v>
      </c>
      <c r="K2" s="12" t="s">
        <v>17</v>
      </c>
      <c r="L2" s="12" t="s">
        <v>18</v>
      </c>
      <c r="M2" s="12" t="s">
        <v>48</v>
      </c>
      <c r="N2" s="12" t="s">
        <v>19</v>
      </c>
    </row>
    <row r="3" spans="1:15" ht="15" x14ac:dyDescent="0.25">
      <c r="A3" s="38">
        <f>SUM(C3:N3)</f>
        <v>-494.55529928219983</v>
      </c>
      <c r="B3" s="11">
        <v>45866</v>
      </c>
      <c r="C3" s="53">
        <v>11.032689540659998</v>
      </c>
      <c r="D3" s="53">
        <v>-24.474140758499999</v>
      </c>
      <c r="E3" s="53">
        <v>3.0730870000000001</v>
      </c>
      <c r="F3" s="53">
        <v>-299.64948004410002</v>
      </c>
      <c r="G3" s="53">
        <v>6.6538696285000007</v>
      </c>
      <c r="H3" s="53">
        <v>-183.72913156779984</v>
      </c>
      <c r="I3" s="53">
        <v>3.7203024999999994</v>
      </c>
      <c r="J3" s="53">
        <v>20.619339254800003</v>
      </c>
      <c r="K3" s="53">
        <v>-30.63737668576</v>
      </c>
      <c r="L3" s="53">
        <v>71.095379949999995</v>
      </c>
      <c r="M3" s="53">
        <v>-58.436980000000005</v>
      </c>
      <c r="N3" s="53">
        <v>-13.822858100000001</v>
      </c>
    </row>
    <row r="4" spans="1:15" ht="15" x14ac:dyDescent="0.25">
      <c r="A4" s="38">
        <f>SUM(C4:N4)</f>
        <v>-256.75181396254999</v>
      </c>
      <c r="B4" s="54">
        <v>45873</v>
      </c>
      <c r="C4" s="14">
        <v>5.0321948964299974</v>
      </c>
      <c r="D4" s="14">
        <v>-7.9298862355000006</v>
      </c>
      <c r="E4" s="14">
        <v>1.7721000999999996</v>
      </c>
      <c r="F4" s="14">
        <v>-172.68787759999998</v>
      </c>
      <c r="G4" s="14">
        <v>5.3007558647000002</v>
      </c>
      <c r="H4" s="14">
        <v>-77.375194775969987</v>
      </c>
      <c r="I4" s="14">
        <v>3.0748764</v>
      </c>
      <c r="J4" s="14">
        <v>22.674230010099997</v>
      </c>
      <c r="K4" s="14">
        <v>-46.295272922309991</v>
      </c>
      <c r="L4" s="14">
        <v>54.691304099999996</v>
      </c>
      <c r="M4" s="14">
        <v>8.3421516000000029</v>
      </c>
      <c r="N4" s="14">
        <v>-53.351195399999995</v>
      </c>
    </row>
    <row r="5" spans="1:15" ht="15" x14ac:dyDescent="0.25">
      <c r="A5" s="38">
        <f>SUM(C5:N5)</f>
        <v>-385.46985346731998</v>
      </c>
      <c r="B5" s="42">
        <v>45880</v>
      </c>
      <c r="C5" s="53">
        <v>10.220010625519999</v>
      </c>
      <c r="D5" s="53">
        <v>-23.605466790800001</v>
      </c>
      <c r="E5" s="53">
        <v>0.63840449999999938</v>
      </c>
      <c r="F5" s="53">
        <v>-211.71079129999998</v>
      </c>
      <c r="G5" s="53">
        <v>5.4081189791000002</v>
      </c>
      <c r="H5" s="53">
        <v>-61.279271949749997</v>
      </c>
      <c r="I5" s="53">
        <v>5.1663586999999991</v>
      </c>
      <c r="J5" s="53">
        <v>70.454406627500035</v>
      </c>
      <c r="K5" s="53">
        <v>-45.265509208890002</v>
      </c>
      <c r="L5" s="53">
        <v>15.541188149999993</v>
      </c>
      <c r="M5" s="53">
        <v>2.9601177000000014</v>
      </c>
      <c r="N5" s="53">
        <v>-153.99741950000001</v>
      </c>
    </row>
    <row r="6" spans="1:15" ht="15" x14ac:dyDescent="0.25">
      <c r="A6" s="38">
        <f>SUM(C6:N6)</f>
        <v>-17.48282659322004</v>
      </c>
      <c r="B6" s="66">
        <v>45887</v>
      </c>
      <c r="C6" s="14">
        <v>34.467293421190007</v>
      </c>
      <c r="D6" s="14">
        <v>-7.1407261479999997</v>
      </c>
      <c r="E6" s="14">
        <v>-0.93826510000000007</v>
      </c>
      <c r="F6" s="14">
        <v>-18.953870600000009</v>
      </c>
      <c r="G6" s="14">
        <v>7.0357763777000004</v>
      </c>
      <c r="H6" s="14">
        <v>-66.913409574450014</v>
      </c>
      <c r="I6" s="14">
        <v>5.1594899000000005</v>
      </c>
      <c r="J6" s="14">
        <v>22.957136633999998</v>
      </c>
      <c r="K6" s="14">
        <v>-34.379465103659996</v>
      </c>
      <c r="L6" s="14">
        <v>-8.2958454000000152</v>
      </c>
      <c r="M6" s="14">
        <v>84.512800299999995</v>
      </c>
      <c r="N6" s="14">
        <v>-34.993741299999996</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53</v>
      </c>
      <c r="C9" s="10"/>
      <c r="D9" s="10"/>
    </row>
    <row r="10" spans="1:15" x14ac:dyDescent="0.2">
      <c r="B10" s="10" t="s">
        <v>6</v>
      </c>
      <c r="C10" s="10"/>
      <c r="D10" s="10"/>
    </row>
    <row r="11" spans="1:15" x14ac:dyDescent="0.2">
      <c r="B11" s="10" t="s">
        <v>49</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47</v>
      </c>
      <c r="H2" s="12" t="s">
        <v>14</v>
      </c>
      <c r="I2" s="12" t="s">
        <v>15</v>
      </c>
      <c r="J2" s="12" t="s">
        <v>16</v>
      </c>
      <c r="K2" s="12" t="s">
        <v>17</v>
      </c>
      <c r="L2" s="12" t="s">
        <v>18</v>
      </c>
      <c r="M2" s="12" t="s">
        <v>48</v>
      </c>
      <c r="N2" s="12" t="s">
        <v>19</v>
      </c>
    </row>
    <row r="3" spans="1:20" ht="15" x14ac:dyDescent="0.25">
      <c r="A3" s="48">
        <f>SUM(C3:N3)</f>
        <v>380.79944382196999</v>
      </c>
      <c r="B3" s="11">
        <v>45866</v>
      </c>
      <c r="C3" s="55">
        <v>3.587549492680004</v>
      </c>
      <c r="D3" s="55">
        <v>25.754627170699997</v>
      </c>
      <c r="E3" s="55">
        <v>-2.8828904000000013</v>
      </c>
      <c r="F3" s="55">
        <v>239.34499354409999</v>
      </c>
      <c r="G3" s="55">
        <v>-3.1241734470000004</v>
      </c>
      <c r="H3" s="55">
        <v>224.95865107716006</v>
      </c>
      <c r="I3" s="55">
        <v>-4.2491622999999992</v>
      </c>
      <c r="J3" s="55">
        <v>-26.645861350899999</v>
      </c>
      <c r="K3" s="55">
        <v>16.87696443522999</v>
      </c>
      <c r="L3" s="55">
        <v>-120.73824149999999</v>
      </c>
      <c r="M3" s="55">
        <v>28.6410087</v>
      </c>
      <c r="N3" s="55">
        <v>-0.72402159999999982</v>
      </c>
      <c r="P3" s="13"/>
    </row>
    <row r="4" spans="1:20" ht="15" x14ac:dyDescent="0.25">
      <c r="A4" s="48">
        <f>SUM(C4:N4)</f>
        <v>144.27162653541001</v>
      </c>
      <c r="B4" s="47">
        <v>45873</v>
      </c>
      <c r="C4" s="60">
        <v>1.1328593020199997</v>
      </c>
      <c r="D4" s="60">
        <v>5.6673089101999992</v>
      </c>
      <c r="E4" s="60">
        <v>-3.3503176999999993</v>
      </c>
      <c r="F4" s="60">
        <v>117.75873999999997</v>
      </c>
      <c r="G4" s="60">
        <v>0.21159316980000006</v>
      </c>
      <c r="H4" s="60">
        <v>33.078262450700031</v>
      </c>
      <c r="I4" s="60">
        <v>-2.5305008999999998</v>
      </c>
      <c r="J4" s="60">
        <v>-20.757788869800006</v>
      </c>
      <c r="K4" s="60">
        <v>16.250012972490008</v>
      </c>
      <c r="L4" s="60">
        <v>-62.771050699999989</v>
      </c>
      <c r="M4" s="60">
        <v>-15.9628605</v>
      </c>
      <c r="N4" s="60">
        <v>75.545368400000001</v>
      </c>
      <c r="P4" s="13"/>
    </row>
    <row r="5" spans="1:20" ht="15" x14ac:dyDescent="0.25">
      <c r="A5" s="48">
        <f>SUM(C5:N5)</f>
        <v>329.44776890562002</v>
      </c>
      <c r="B5" s="58">
        <v>45880</v>
      </c>
      <c r="C5" s="55">
        <v>-7.78067364243</v>
      </c>
      <c r="D5" s="55">
        <v>27.5074733117</v>
      </c>
      <c r="E5" s="55">
        <v>-0.23861369999999985</v>
      </c>
      <c r="F5" s="55">
        <v>181.7395247</v>
      </c>
      <c r="G5" s="55">
        <v>-3.6546649000000007</v>
      </c>
      <c r="H5" s="55">
        <v>106.86159596370001</v>
      </c>
      <c r="I5" s="55">
        <v>-7.3582404000000006</v>
      </c>
      <c r="J5" s="55">
        <v>-87.787496777900003</v>
      </c>
      <c r="K5" s="55">
        <v>22.928824850549997</v>
      </c>
      <c r="L5" s="55">
        <v>-20.785999</v>
      </c>
      <c r="M5" s="55">
        <v>-34.357693700000006</v>
      </c>
      <c r="N5" s="55">
        <v>152.37373220000003</v>
      </c>
      <c r="P5" s="13"/>
    </row>
    <row r="6" spans="1:20" ht="15" x14ac:dyDescent="0.25">
      <c r="A6" s="48">
        <f>SUM(C6:N6)</f>
        <v>-0.92268792765000285</v>
      </c>
      <c r="B6" s="58">
        <v>45887</v>
      </c>
      <c r="C6" s="55">
        <v>-33.931280354149997</v>
      </c>
      <c r="D6" s="55">
        <v>14.817744483099998</v>
      </c>
      <c r="E6" s="55">
        <v>0.7844159000000005</v>
      </c>
      <c r="F6" s="55">
        <v>21.872128099999998</v>
      </c>
      <c r="G6" s="55">
        <v>-5.7032390226</v>
      </c>
      <c r="H6" s="55">
        <v>28.508375582500015</v>
      </c>
      <c r="I6" s="55">
        <v>-5.0198078999999991</v>
      </c>
      <c r="J6" s="55">
        <v>-15.186822639200003</v>
      </c>
      <c r="K6" s="55">
        <v>-11.154041277300001</v>
      </c>
      <c r="L6" s="55">
        <v>27.470817999999991</v>
      </c>
      <c r="M6" s="55">
        <v>-64.4779537</v>
      </c>
      <c r="N6" s="55">
        <v>41.096974899999999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55</v>
      </c>
      <c r="C9" s="10"/>
      <c r="D9" s="10"/>
    </row>
    <row r="10" spans="1:20" x14ac:dyDescent="0.2">
      <c r="B10" s="10" t="s">
        <v>6</v>
      </c>
      <c r="C10" s="10"/>
      <c r="D10" s="10"/>
    </row>
    <row r="11" spans="1:20" x14ac:dyDescent="0.2">
      <c r="B11" s="10" t="s">
        <v>49</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2025-08-25T02:19:03Z</dcterms:modified>
</cp:coreProperties>
</file>