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3F78E275-BE29-45CE-8765-5CA412A024FE}"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<sst xmlns="http://schemas.openxmlformats.org/spreadsheetml/2006/main" count="139" uniqueCount="85">
  <si>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</si>
  <si>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</si>
  <si>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</si>
  <si>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</si>
  <si>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</si>
  <si>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</si>
  <si>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</si>
  <si>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</si>
  <si>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</si>
  <si>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</si>
  <si>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</si>
  <si>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</si>
  <si>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</si>
  <si>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</si>
  <si>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</si>
  <si>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</si>
  <si>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</si>
  <si>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</si>
  <si>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</si>
  <si>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</si>
  <si>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</si>
  <si>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</si>
  <si>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</si>
  <si>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</si>
  <si>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</si>
  <si>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DBS</t>
  </si>
  <si>
    <t>OCBC</t>
  </si>
  <si>
    <t>UOB</t>
  </si>
  <si>
    <t>SGX</t>
  </si>
  <si>
    <t>C6L</t>
  </si>
  <si>
    <t>S63</t>
  </si>
  <si>
    <t>F34</t>
  </si>
  <si>
    <t>U96</t>
  </si>
  <si>
    <t>Z74</t>
  </si>
  <si>
    <t>C38U</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</si>
  <si>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</si>
  <si>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</si>
  <si>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</si>
  <si>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</si>
  <si>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</si>
  <si>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</si>
  <si>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</si>
  <si>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</si>
  <si>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</si>
  <si>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</si>
  <si>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</si>
  <si>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Yangzijiang Shipbuilding</t>
  </si>
  <si>
    <t>BS6</t>
  </si>
  <si>
    <t>SingPost</t>
  </si>
  <si>
    <t>S08</t>
  </si>
  <si>
    <t>9CI</t>
  </si>
  <si>
    <t>YF8</t>
  </si>
  <si>
    <t>Yangzijiang Financial</t>
  </si>
  <si>
    <t>ST Engineering</t>
  </si>
  <si>
    <t>CapitaLand Integrated Commercial Trust</t>
  </si>
  <si>
    <t>Singtel</t>
  </si>
  <si>
    <t>SIA</t>
  </si>
  <si>
    <t>CapitaLand Investment</t>
  </si>
  <si>
    <t>Wilmar International</t>
  </si>
  <si>
    <t>Sembcorp Industries</t>
  </si>
  <si>
    <t xml:space="preserve">AEM </t>
  </si>
  <si>
    <t>AWX</t>
  </si>
  <si>
    <t>Hongkong Land</t>
  </si>
  <si>
    <t>H78</t>
  </si>
  <si>
    <t>Seatrium</t>
  </si>
  <si>
    <t>5E2</t>
  </si>
  <si>
    <t>Keppel</t>
  </si>
  <si>
    <t>BN4</t>
  </si>
  <si>
    <t>Venture Corporation</t>
  </si>
  <si>
    <t>V03</t>
  </si>
  <si>
    <t>UOB Kay Hian</t>
  </si>
  <si>
    <t>U10</t>
  </si>
  <si>
    <t>Jardine Matheson</t>
  </si>
  <si>
    <t>J36</t>
  </si>
  <si>
    <t>9A4U</t>
  </si>
  <si>
    <t>CNMC Goldmine</t>
  </si>
  <si>
    <t>5TP</t>
  </si>
  <si>
    <t>SATS</t>
  </si>
  <si>
    <t>S58</t>
  </si>
  <si>
    <t>SIA Engineering</t>
  </si>
  <si>
    <t>S59</t>
  </si>
  <si>
    <t>Week of 15 September 2025</t>
  </si>
  <si>
    <r>
      <t xml:space="preserve">Institutional investors net </t>
    </r>
    <r>
      <rPr>
        <b/>
        <sz val="11"/>
        <rFont val="Arial"/>
        <family val="2"/>
      </rPr>
      <t>sell</t>
    </r>
    <r>
      <rPr>
        <sz val="11"/>
        <rFont val="Arial"/>
        <family val="2"/>
      </rPr>
      <t xml:space="preserve"> (-S$584.5m) vs. (-S$9.1m) a week ago</t>
    </r>
  </si>
  <si>
    <r>
      <t xml:space="preserve">Retail investors net </t>
    </r>
    <r>
      <rPr>
        <b/>
        <sz val="11"/>
        <rFont val="Arial"/>
        <family val="2"/>
      </rPr>
      <t>buy</t>
    </r>
    <r>
      <rPr>
        <sz val="11"/>
        <rFont val="Arial"/>
        <family val="2"/>
      </rPr>
      <t xml:space="preserve"> (+S$363.8m) vs. (+S$0.5m) a week ago</t>
    </r>
  </si>
  <si>
    <t>ESR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</si>
</sst>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81</v>
      </c>
      <c r="C1" s="59"/>
    </row>
    <row r="2" spans="1:13" ht="15" x14ac:dyDescent="0.25">
      <c r="A2" s="52" t="s">
        <v>82</v>
      </c>
      <c r="I2" s="40"/>
    </row>
    <row r="3" spans="1:13" ht="15" x14ac:dyDescent="0.25">
      <c r="A3" s="52" t="s">
        <v>83</v>
      </c>
      <c r="I3" s="40"/>
    </row>
    <row r="5" spans="1:13" ht="29.25" customHeight="1" x14ac:dyDescent="0.2">
      <c r="A5" s="3" t="s">
        <v>0</v>
      </c>
      <c r="B5" s="3" t="s">
        <v>1</v>
      </c>
      <c r="C5" s="4" t="s">
        <v>81</v>
      </c>
      <c r="D5" s="43" t="s">
        <v>2</v>
      </c>
      <c r="E5" s="43" t="s">
        <v>1</v>
      </c>
      <c r="F5" s="44" t="str">
        <f>+C5</f>
        <v>Week of 15 September 2025</v>
      </c>
      <c r="I5" s="2"/>
    </row>
    <row r="6" spans="1:13" ht="15" x14ac:dyDescent="0.25">
      <c r="A6" s="28" t="s">
        <v>53</v>
      </c>
      <c r="B6" s="46" t="s">
        <v>30</v>
      </c>
      <c r="C6" s="5">
        <v>32.786760999999998</v>
      </c>
      <c r="D6" s="28" t="s">
        <v>25</v>
      </c>
      <c r="E6" s="46" t="s">
        <v>21</v>
      </c>
      <c r="F6" s="5">
        <v>-265.08881100000002</v>
      </c>
      <c r="G6" s="61"/>
      <c r="H6"/>
      <c r="I6" s="2"/>
      <c r="M6"/>
    </row>
    <row r="7" spans="1:13" ht="15" x14ac:dyDescent="0.25">
      <c r="A7" s="29" t="s">
        <v>60</v>
      </c>
      <c r="B7" s="9" t="s">
        <v>61</v>
      </c>
      <c r="C7" s="7">
        <v>15.749639999999999</v>
      </c>
      <c r="D7" s="29" t="s">
        <v>27</v>
      </c>
      <c r="E7" s="9" t="s">
        <v>23</v>
      </c>
      <c r="F7" s="7">
        <v>-138.10225299999999</v>
      </c>
      <c r="G7" s="61"/>
      <c r="H7"/>
      <c r="I7" s="2"/>
      <c r="L7"/>
      <c r="M7"/>
    </row>
    <row r="8" spans="1:13" ht="15" x14ac:dyDescent="0.25">
      <c r="A8" s="30" t="s">
        <v>62</v>
      </c>
      <c r="B8" s="46" t="s">
        <v>63</v>
      </c>
      <c r="C8" s="5">
        <v>13.09825413490001</v>
      </c>
      <c r="D8" s="30" t="s">
        <v>26</v>
      </c>
      <c r="E8" s="46" t="s">
        <v>22</v>
      </c>
      <c r="F8" s="5">
        <v>-77.556196</v>
      </c>
      <c r="G8" s="61"/>
      <c r="H8"/>
      <c r="I8" s="2"/>
      <c r="L8"/>
      <c r="M8"/>
    </row>
    <row r="9" spans="1:13" ht="15" x14ac:dyDescent="0.25">
      <c r="A9" s="29" t="s">
        <v>64</v>
      </c>
      <c r="B9" s="9" t="s">
        <v>65</v>
      </c>
      <c r="C9" s="7">
        <v>11.913892000000001</v>
      </c>
      <c r="D9" s="29" t="s">
        <v>57</v>
      </c>
      <c r="E9" s="9" t="s">
        <v>50</v>
      </c>
      <c r="F9" s="7">
        <v>-42.830537999999997</v>
      </c>
      <c r="G9" s="61"/>
      <c r="H9"/>
      <c r="I9" s="2"/>
      <c r="L9"/>
      <c r="M9"/>
    </row>
    <row r="10" spans="1:13" ht="15" x14ac:dyDescent="0.25">
      <c r="A10" s="30" t="s">
        <v>52</v>
      </c>
      <c r="B10" s="46" t="s">
        <v>51</v>
      </c>
      <c r="C10" s="5">
        <v>8.6308199999999999</v>
      </c>
      <c r="D10" s="30" t="s">
        <v>72</v>
      </c>
      <c r="E10" s="46" t="s">
        <v>73</v>
      </c>
      <c r="F10" s="5">
        <v>-26.86672187229998</v>
      </c>
      <c r="G10" s="61"/>
      <c r="H10"/>
      <c r="I10" s="2"/>
      <c r="L10"/>
      <c r="M10"/>
    </row>
    <row r="11" spans="1:13" ht="15" x14ac:dyDescent="0.25">
      <c r="A11" s="29" t="s">
        <v>66</v>
      </c>
      <c r="B11" s="9" t="s">
        <v>67</v>
      </c>
      <c r="C11" s="7">
        <v>7.9077820000000001</v>
      </c>
      <c r="D11" s="29" t="s">
        <v>59</v>
      </c>
      <c r="E11" s="9" t="s">
        <v>32</v>
      </c>
      <c r="F11" s="7">
        <v>-22.510612999999999</v>
      </c>
      <c r="G11" s="61"/>
      <c r="H11"/>
      <c r="I11" s="2"/>
      <c r="L11"/>
      <c r="M11"/>
    </row>
    <row r="12" spans="1:13" ht="15" x14ac:dyDescent="0.25">
      <c r="A12" s="30" t="s">
        <v>68</v>
      </c>
      <c r="B12" s="46" t="s">
        <v>69</v>
      </c>
      <c r="C12" s="5">
        <v>6.7399829999999996</v>
      </c>
      <c r="D12" s="30" t="s">
        <v>84</v>
      </c>
      <c r="E12" s="46" t="s">
        <v>74</v>
      </c>
      <c r="F12" s="5">
        <v>-16.257473000000001</v>
      </c>
      <c r="G12" s="61"/>
      <c r="H12"/>
      <c r="I12" s="2"/>
      <c r="L12"/>
      <c r="M12"/>
    </row>
    <row r="13" spans="1:13" ht="15" x14ac:dyDescent="0.25">
      <c r="A13" s="29" t="s">
        <v>46</v>
      </c>
      <c r="B13" s="9" t="s">
        <v>47</v>
      </c>
      <c r="C13" s="7">
        <v>5.8588500000000003</v>
      </c>
      <c r="D13" s="29" t="s">
        <v>56</v>
      </c>
      <c r="E13" s="9" t="s">
        <v>29</v>
      </c>
      <c r="F13" s="7">
        <v>-12.854835</v>
      </c>
      <c r="G13" s="61"/>
      <c r="H13"/>
      <c r="I13" s="2"/>
      <c r="L13"/>
      <c r="M13"/>
    </row>
    <row r="14" spans="1:13" ht="15" x14ac:dyDescent="0.25">
      <c r="A14" s="30" t="s">
        <v>55</v>
      </c>
      <c r="B14" s="46" t="s">
        <v>33</v>
      </c>
      <c r="C14" s="5">
        <v>5.1175102999999966</v>
      </c>
      <c r="D14" s="30" t="s">
        <v>54</v>
      </c>
      <c r="E14" s="46" t="s">
        <v>34</v>
      </c>
      <c r="F14" s="5">
        <v>-11.680536</v>
      </c>
      <c r="G14" s="61"/>
      <c r="H14"/>
      <c r="I14" s="2"/>
      <c r="L14"/>
      <c r="M14"/>
    </row>
    <row r="15" spans="1:13" ht="15" x14ac:dyDescent="0.25">
      <c r="A15" s="31" t="s">
        <v>70</v>
      </c>
      <c r="B15" s="27" t="s">
        <v>71</v>
      </c>
      <c r="C15" s="8">
        <v>4.1191310000000003</v>
      </c>
      <c r="D15" s="31" t="s">
        <v>58</v>
      </c>
      <c r="E15" s="27" t="s">
        <v>31</v>
      </c>
      <c r="F15" s="8">
        <v>-11.622904</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15 September 2025</v>
      </c>
      <c r="D18" s="45" t="s">
        <v>4</v>
      </c>
      <c r="E18" s="43" t="s">
        <v>1</v>
      </c>
      <c r="F18" s="44" t="str">
        <f>+C18</f>
        <v>Week of 15 September 2025</v>
      </c>
    </row>
    <row r="19" spans="1:9" ht="15" x14ac:dyDescent="0.25">
      <c r="A19" s="30" t="s">
        <v>25</v>
      </c>
      <c r="B19" s="46" t="s">
        <v>21</v>
      </c>
      <c r="C19" s="16">
        <v>195.983148</v>
      </c>
      <c r="D19" s="30" t="s">
        <v>46</v>
      </c>
      <c r="E19" s="15" t="s">
        <v>47</v>
      </c>
      <c r="F19" s="5">
        <v>-49.564103000000003</v>
      </c>
      <c r="G19" s="61"/>
      <c r="I19" s="2"/>
    </row>
    <row r="20" spans="1:9" ht="15" x14ac:dyDescent="0.25">
      <c r="A20" s="29" t="s">
        <v>27</v>
      </c>
      <c r="B20" s="9" t="s">
        <v>23</v>
      </c>
      <c r="C20" s="7">
        <v>117.06580599999999</v>
      </c>
      <c r="D20" s="29" t="s">
        <v>55</v>
      </c>
      <c r="E20" s="17" t="s">
        <v>33</v>
      </c>
      <c r="F20" s="7">
        <v>-32.554329600000003</v>
      </c>
      <c r="G20" s="61"/>
      <c r="I20" s="2"/>
    </row>
    <row r="21" spans="1:9" ht="15" x14ac:dyDescent="0.25">
      <c r="A21" s="30" t="s">
        <v>26</v>
      </c>
      <c r="B21" s="46" t="s">
        <v>22</v>
      </c>
      <c r="C21" s="5">
        <v>79.057010000000005</v>
      </c>
      <c r="D21" s="30" t="s">
        <v>53</v>
      </c>
      <c r="E21" s="6" t="s">
        <v>30</v>
      </c>
      <c r="F21" s="5">
        <v>-23.049181999999998</v>
      </c>
      <c r="G21" s="61"/>
      <c r="I21" s="2"/>
    </row>
    <row r="22" spans="1:9" ht="15" x14ac:dyDescent="0.25">
      <c r="A22" s="29" t="s">
        <v>57</v>
      </c>
      <c r="B22" s="9" t="s">
        <v>50</v>
      </c>
      <c r="C22" s="7">
        <v>39.754233999999997</v>
      </c>
      <c r="D22" s="29" t="s">
        <v>64</v>
      </c>
      <c r="E22" s="17" t="s">
        <v>65</v>
      </c>
      <c r="F22" s="7">
        <v>-22.732130999999999</v>
      </c>
      <c r="G22" s="61"/>
      <c r="I22" s="2"/>
    </row>
    <row r="23" spans="1:9" ht="15" x14ac:dyDescent="0.25">
      <c r="A23" s="30" t="s">
        <v>59</v>
      </c>
      <c r="B23" s="46" t="s">
        <v>32</v>
      </c>
      <c r="C23" s="5">
        <v>31.40532</v>
      </c>
      <c r="D23" s="30" t="s">
        <v>60</v>
      </c>
      <c r="E23" s="6" t="s">
        <v>61</v>
      </c>
      <c r="F23" s="5">
        <v>-21.133116000000001</v>
      </c>
      <c r="G23" s="61"/>
      <c r="I23" s="2"/>
    </row>
    <row r="24" spans="1:9" ht="15" x14ac:dyDescent="0.25">
      <c r="A24" s="29" t="s">
        <v>54</v>
      </c>
      <c r="B24" s="9" t="s">
        <v>34</v>
      </c>
      <c r="C24" s="7">
        <v>12.698305</v>
      </c>
      <c r="D24" s="29" t="s">
        <v>66</v>
      </c>
      <c r="E24" s="17" t="s">
        <v>67</v>
      </c>
      <c r="F24" s="7">
        <v>-19.131309000000002</v>
      </c>
      <c r="G24" s="61"/>
      <c r="I24" s="2"/>
    </row>
    <row r="25" spans="1:9" ht="15" x14ac:dyDescent="0.25">
      <c r="A25" s="30" t="s">
        <v>56</v>
      </c>
      <c r="B25" s="46" t="s">
        <v>29</v>
      </c>
      <c r="C25" s="5">
        <v>11.856612</v>
      </c>
      <c r="D25" s="30" t="s">
        <v>68</v>
      </c>
      <c r="E25" s="6" t="s">
        <v>69</v>
      </c>
      <c r="F25" s="5">
        <v>-12.327287</v>
      </c>
      <c r="G25" s="61"/>
      <c r="I25" s="2"/>
    </row>
    <row r="26" spans="1:9" ht="15" x14ac:dyDescent="0.25">
      <c r="A26" s="29" t="s">
        <v>58</v>
      </c>
      <c r="B26" s="9" t="s">
        <v>31</v>
      </c>
      <c r="C26" s="7">
        <v>11.293983000000001</v>
      </c>
      <c r="D26" s="29" t="s">
        <v>28</v>
      </c>
      <c r="E26" s="17" t="s">
        <v>24</v>
      </c>
      <c r="F26" s="7">
        <v>-8.2283279999999994</v>
      </c>
      <c r="G26" s="61"/>
      <c r="I26" s="2"/>
    </row>
    <row r="27" spans="1:9" ht="15" x14ac:dyDescent="0.25">
      <c r="A27" s="30" t="s">
        <v>48</v>
      </c>
      <c r="B27" s="46" t="s">
        <v>49</v>
      </c>
      <c r="C27" s="5">
        <v>9.189959</v>
      </c>
      <c r="D27" s="30" t="s">
        <v>77</v>
      </c>
      <c r="E27" s="6" t="s">
        <v>78</v>
      </c>
      <c r="F27" s="5">
        <v>-7.0518289999999997</v>
      </c>
      <c r="G27" s="61"/>
      <c r="I27" s="2"/>
    </row>
    <row r="28" spans="1:9" ht="15" x14ac:dyDescent="0.25">
      <c r="A28" s="27" t="s">
        <v>75</v>
      </c>
      <c r="B28" s="56" t="s">
        <v>76</v>
      </c>
      <c r="C28" s="8">
        <v>9.0733315000000001</v>
      </c>
      <c r="D28" s="27" t="s">
        <v>79</v>
      </c>
      <c r="E28" s="56" t="s">
        <v>80</v>
      </c>
      <c r="F28" s="8">
        <v>-6.2169819999999998</v>
      </c>
      <c r="G28" s="61"/>
      <c r="I28" s="2"/>
    </row>
    <row r="29" spans="1:9" x14ac:dyDescent="0.2">
      <c r="A29" s="9"/>
      <c r="B29" s="9"/>
      <c r="C29" s="9"/>
      <c r="D29" s="9"/>
      <c r="E29" s="9"/>
      <c r="F29" s="9"/>
    </row>
    <row r="30" spans="1:9" x14ac:dyDescent="0.2">
      <c r="A30" s="10" t="s">
        <v>42</v>
      </c>
      <c r="B30" s="10"/>
      <c r="C30" s="9"/>
      <c r="D30" s="9"/>
      <c r="E30" s="9"/>
      <c r="F30" s="9"/>
    </row>
    <row r="31" spans="1:9" x14ac:dyDescent="0.2">
      <c r="A31" s="10" t="s">
        <v>39</v>
      </c>
      <c r="B31" s="10"/>
      <c r="C31" s="9"/>
      <c r="D31" s="9"/>
      <c r="E31" s="9"/>
      <c r="F31" s="9"/>
    </row>
    <row r="32" spans="1:9" x14ac:dyDescent="0.2">
      <c r="A32" s="10" t="s">
        <v>40</v>
      </c>
      <c r="B32" s="10"/>
      <c r="C32" s="9"/>
      <c r="D32" s="9"/>
      <c r="E32" s="9"/>
      <c r="F32" s="9"/>
    </row>
    <row r="33" spans="1:9" x14ac:dyDescent="0.2">
      <c r="A33" s="10" t="s">
        <v>6</v>
      </c>
      <c r="B33" s="10"/>
      <c r="C33" s="9"/>
      <c r="D33" s="9"/>
      <c r="E33" s="9"/>
      <c r="F33" s="9"/>
    </row>
    <row r="34" spans="1:9" x14ac:dyDescent="0.2">
      <c r="A34" s="57" t="s">
        <v>38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35</v>
      </c>
      <c r="B37" s="19"/>
      <c r="C37" s="20"/>
      <c r="D37" s="20"/>
      <c r="E37" s="19"/>
      <c r="F37" s="19"/>
      <c r="I37" s="32"/>
    </row>
    <row r="38" spans="1:9" customFormat="1" ht="15" x14ac:dyDescent="0.25">
      <c r="A38" s="21" t="s">
        <v>44</v>
      </c>
      <c r="B38" s="19"/>
      <c r="C38" s="20"/>
      <c r="D38" s="20"/>
      <c r="E38" s="19"/>
      <c r="F38" s="19"/>
      <c r="I38" s="32"/>
    </row>
    <row r="39" spans="1:9" s="25" customFormat="1" ht="19.350000000000001" customHeight="1" x14ac:dyDescent="0.25">
      <c r="A39" s="22" t="s">
        <v>43</v>
      </c>
      <c r="B39" s="23"/>
      <c r="C39" s="24"/>
      <c r="D39" s="24"/>
      <c r="E39" s="23"/>
      <c r="F39" s="23"/>
      <c r="I39" s="35"/>
    </row>
    <row r="40" spans="1:9" ht="169.35" customHeight="1" x14ac:dyDescent="0.2">
      <c r="A40" s="68" t="s">
        <v>45</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9 E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36</v>
      </c>
      <c r="H2" s="12" t="s">
        <v>14</v>
      </c>
      <c r="I2" s="12" t="s">
        <v>15</v>
      </c>
      <c r="J2" s="12" t="s">
        <v>16</v>
      </c>
      <c r="K2" s="12" t="s">
        <v>17</v>
      </c>
      <c r="L2" s="12" t="s">
        <v>18</v>
      </c>
      <c r="M2" s="12" t="s">
        <v>37</v>
      </c>
      <c r="N2" s="12" t="s">
        <v>19</v>
      </c>
    </row>
    <row r="3" spans="1:15" ht="15" x14ac:dyDescent="0.25">
      <c r="A3" s="38">
        <f>SUM(C3:N3)</f>
        <v>21.608352041909992</v>
      </c>
      <c r="B3" s="54">
        <v>45894</v>
      </c>
      <c r="C3" s="14">
        <v>-8.2061671565500003</v>
      </c>
      <c r="D3" s="14">
        <v>-8.0509177799999989</v>
      </c>
      <c r="E3" s="14">
        <v>7.0774784999999989</v>
      </c>
      <c r="F3" s="14">
        <v>-81.377677500000004</v>
      </c>
      <c r="G3" s="14">
        <v>4.3657248175000003</v>
      </c>
      <c r="H3" s="14">
        <v>11.7954931041</v>
      </c>
      <c r="I3" s="14">
        <v>11.554399339999996</v>
      </c>
      <c r="J3" s="14">
        <v>37.024860260900006</v>
      </c>
      <c r="K3" s="14">
        <v>12.559508905960001</v>
      </c>
      <c r="L3" s="14">
        <v>2.3236188499999999</v>
      </c>
      <c r="M3" s="14">
        <v>52.134597800000002</v>
      </c>
      <c r="N3" s="14">
        <v>-19.5925671</v>
      </c>
    </row>
    <row r="4" spans="1:15" ht="15" x14ac:dyDescent="0.25">
      <c r="A4" s="38">
        <f>SUM(C4:N4)</f>
        <v>49.117796199989982</v>
      </c>
      <c r="B4" s="42">
        <v>45901</v>
      </c>
      <c r="C4" s="53">
        <v>6.5343758050899998</v>
      </c>
      <c r="D4" s="53">
        <v>-8.9379178351000022</v>
      </c>
      <c r="E4" s="53">
        <v>3.0219586999999999</v>
      </c>
      <c r="F4" s="53">
        <v>22.673909200000001</v>
      </c>
      <c r="G4" s="53">
        <v>8.2785293362000001</v>
      </c>
      <c r="H4" s="53">
        <v>17.261637958199991</v>
      </c>
      <c r="I4" s="53">
        <v>7.1486261999999998</v>
      </c>
      <c r="J4" s="53">
        <v>10.8484377038</v>
      </c>
      <c r="K4" s="53">
        <v>-25.1329987182</v>
      </c>
      <c r="L4" s="53">
        <v>1.3371594499999999</v>
      </c>
      <c r="M4" s="53">
        <v>14.8996388</v>
      </c>
      <c r="N4" s="53">
        <v>-8.8155604000000007</v>
      </c>
    </row>
    <row r="5" spans="1:15" ht="15" x14ac:dyDescent="0.25">
      <c r="A5" s="67">
        <f>SUM(C5:N5)</f>
        <v>-9.0931371775599921</v>
      </c>
      <c r="B5" s="66">
        <v>45908</v>
      </c>
      <c r="C5" s="14">
        <v>14.818012712619996</v>
      </c>
      <c r="D5" s="14">
        <v>-15.9382178352</v>
      </c>
      <c r="E5" s="14">
        <v>4.5042276000000001</v>
      </c>
      <c r="F5" s="14">
        <v>-21.849940699999998</v>
      </c>
      <c r="G5" s="14">
        <v>4.6758307338999989</v>
      </c>
      <c r="H5" s="14">
        <v>-7.0989257300999915</v>
      </c>
      <c r="I5" s="14">
        <v>3.6157813000000001</v>
      </c>
      <c r="J5" s="14">
        <v>31.727212705499994</v>
      </c>
      <c r="K5" s="14">
        <v>8.2207752357200032</v>
      </c>
      <c r="L5" s="14">
        <v>1.9710955999999977</v>
      </c>
      <c r="M5" s="14">
        <v>-25.674814999999999</v>
      </c>
      <c r="N5" s="14">
        <v>-8.0641737999999989</v>
      </c>
    </row>
    <row r="6" spans="1:15" ht="15" x14ac:dyDescent="0.25">
      <c r="A6" s="67">
        <f>SUM(C6:N6)</f>
        <v>-584.51226728188988</v>
      </c>
      <c r="B6" s="66">
        <v>45915</v>
      </c>
      <c r="C6" s="14">
        <v>3.0232049073799994</v>
      </c>
      <c r="D6" s="14">
        <v>-20.430388992800005</v>
      </c>
      <c r="E6" s="14">
        <v>0.79172970000000042</v>
      </c>
      <c r="F6" s="14">
        <v>-513.19150430000002</v>
      </c>
      <c r="G6" s="14">
        <v>2.2893632401999997</v>
      </c>
      <c r="H6" s="14">
        <v>3.1835975634000193</v>
      </c>
      <c r="I6" s="14">
        <v>-3.2663691000000026</v>
      </c>
      <c r="J6" s="14">
        <v>6.6448679349000148</v>
      </c>
      <c r="K6" s="14">
        <v>-55.507462984969997</v>
      </c>
      <c r="L6" s="14">
        <v>14.493828349999998</v>
      </c>
      <c r="M6" s="14">
        <v>-7.571730000000354E-2</v>
      </c>
      <c r="N6" s="14">
        <v>-22.4674163</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39</v>
      </c>
      <c r="C9" s="10"/>
      <c r="D9" s="10"/>
    </row>
    <row r="10" spans="1:15" x14ac:dyDescent="0.2">
      <c r="B10" s="10" t="s">
        <v>6</v>
      </c>
      <c r="C10" s="10"/>
      <c r="D10" s="10"/>
    </row>
    <row r="11" spans="1:15" x14ac:dyDescent="0.2">
      <c r="B11" s="10" t="s">
        <v>38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36</v>
      </c>
      <c r="H2" s="12" t="s">
        <v>14</v>
      </c>
      <c r="I2" s="12" t="s">
        <v>15</v>
      </c>
      <c r="J2" s="12" t="s">
        <v>16</v>
      </c>
      <c r="K2" s="12" t="s">
        <v>17</v>
      </c>
      <c r="L2" s="12" t="s">
        <v>18</v>
      </c>
      <c r="M2" s="12" t="s">
        <v>37</v>
      </c>
      <c r="N2" s="12" t="s">
        <v>19</v>
      </c>
    </row>
    <row r="3" spans="1:20" ht="15" x14ac:dyDescent="0.25">
      <c r="A3" s="48">
        <f>SUM(C3:N3)</f>
        <v>33.748582961859988</v>
      </c>
      <c r="B3" s="47">
        <v>45894</v>
      </c>
      <c r="C3" s="60">
        <v>6.0481843499800014</v>
      </c>
      <c r="D3" s="60">
        <v>9.5605252533999998</v>
      </c>
      <c r="E3" s="60">
        <v>-5.4947105000000009</v>
      </c>
      <c r="F3" s="60">
        <v>100.37093279999999</v>
      </c>
      <c r="G3" s="60">
        <v>-1.7402263894000001</v>
      </c>
      <c r="H3" s="60">
        <v>-14.481282988</v>
      </c>
      <c r="I3" s="60">
        <v>-10.33639404</v>
      </c>
      <c r="J3" s="60">
        <v>-25.6179793829</v>
      </c>
      <c r="K3" s="60">
        <v>-22.307829491219998</v>
      </c>
      <c r="L3" s="60">
        <v>-1.6406468500000011</v>
      </c>
      <c r="M3" s="60">
        <v>-32.855229399999999</v>
      </c>
      <c r="N3" s="60">
        <v>32.243239600000003</v>
      </c>
      <c r="P3" s="13"/>
    </row>
    <row r="4" spans="1:20" ht="15" x14ac:dyDescent="0.25">
      <c r="A4" s="48">
        <f>SUM(C4:N4)</f>
        <v>-88.611698402360005</v>
      </c>
      <c r="B4" s="58">
        <v>45901</v>
      </c>
      <c r="C4" s="55">
        <v>-18.255036823929998</v>
      </c>
      <c r="D4" s="55">
        <v>0.37304181990000013</v>
      </c>
      <c r="E4" s="55">
        <v>-6.7445842000000003</v>
      </c>
      <c r="F4" s="55">
        <v>-51.243123400000002</v>
      </c>
      <c r="G4" s="55">
        <v>-6.5078516816</v>
      </c>
      <c r="H4" s="55">
        <v>-43.375412315499993</v>
      </c>
      <c r="I4" s="55">
        <v>-7.3093200999999999</v>
      </c>
      <c r="J4" s="55">
        <v>6.433294935800002</v>
      </c>
      <c r="K4" s="55">
        <v>31.399226362970001</v>
      </c>
      <c r="L4" s="55">
        <v>5.9209581999999994</v>
      </c>
      <c r="M4" s="55">
        <v>-22.389242800000002</v>
      </c>
      <c r="N4" s="55">
        <v>23.0863516</v>
      </c>
      <c r="P4" s="13"/>
    </row>
    <row r="5" spans="1:20" ht="15" x14ac:dyDescent="0.25">
      <c r="A5" s="48">
        <f>SUM(C5:N5)</f>
        <v>0.4925093367199942</v>
      </c>
      <c r="B5" s="58">
        <v>45908</v>
      </c>
      <c r="C5" s="55">
        <v>-15.403954918869998</v>
      </c>
      <c r="D5" s="55">
        <v>10.191249676599998</v>
      </c>
      <c r="E5" s="55">
        <v>-5.7041227999999995</v>
      </c>
      <c r="F5" s="55">
        <v>31.635701500000003</v>
      </c>
      <c r="G5" s="55">
        <v>-4.1819966158000001</v>
      </c>
      <c r="H5" s="55">
        <v>22.028267038649982</v>
      </c>
      <c r="I5" s="55">
        <v>-3.3489035000000005</v>
      </c>
      <c r="J5" s="55">
        <v>-38.491680954399996</v>
      </c>
      <c r="K5" s="55">
        <v>-17.647061939459999</v>
      </c>
      <c r="L5" s="55">
        <v>-13.128778950000001</v>
      </c>
      <c r="M5" s="55">
        <v>18.471965999999998</v>
      </c>
      <c r="N5" s="55">
        <v>16.071824800000002</v>
      </c>
      <c r="P5" s="13"/>
    </row>
    <row r="6" spans="1:20" ht="15" x14ac:dyDescent="0.25">
      <c r="A6" s="48">
        <f>SUM(C6:N6)</f>
        <v>363.83258184918992</v>
      </c>
      <c r="B6" s="58">
        <v>45915</v>
      </c>
      <c r="C6" s="55">
        <v>-13.987082777239998</v>
      </c>
      <c r="D6" s="55">
        <v>18.344199390000007</v>
      </c>
      <c r="E6" s="55">
        <v>1.7198844999999998</v>
      </c>
      <c r="F6" s="55">
        <v>426.07452399999994</v>
      </c>
      <c r="G6" s="55">
        <v>-2.2961725373999995</v>
      </c>
      <c r="H6" s="55">
        <v>-100.22194328239998</v>
      </c>
      <c r="I6" s="55">
        <v>8.2372326999999945</v>
      </c>
      <c r="J6" s="55">
        <v>13.485364574199998</v>
      </c>
      <c r="K6" s="55">
        <v>49.283204282029999</v>
      </c>
      <c r="L6" s="55">
        <v>-37.374404599999998</v>
      </c>
      <c r="M6" s="55">
        <v>-31.586093000000002</v>
      </c>
      <c r="N6" s="55">
        <v>32.153868599999996</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41</v>
      </c>
      <c r="C9" s="10"/>
      <c r="D9" s="10"/>
    </row>
    <row r="10" spans="1:20" x14ac:dyDescent="0.2">
      <c r="B10" s="10" t="s">
        <v>6</v>
      </c>
      <c r="C10" s="10"/>
      <c r="D10" s="10"/>
    </row>
    <row r="11" spans="1:20" x14ac:dyDescent="0.2">
      <c r="B11" s="10" t="s">
        <v>38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2025-09-22T01:43:30Z</dcterms:modified>
</cp:coreProperties>
</file>