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3CF72CB0-2906-4ABD-81AC-2004B5E73225}" xr6:coauthVersionLast="47" xr6:coauthVersionMax="47" xr10:uidLastSave="{00000000-0000-0000-0000-000000000000}"/>
  <bookViews>
    <workbookView xWindow="-90" yWindow="-16320" windowWidth="29040" windowHeight="1584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 i="2" l="1"/>
  <c r="A4" i="2"/>
  <c r="A3" i="2"/>
  <c r="A6" i="2"/>
  <c r="K29" i="1"/>
  <c r="F5" i="1" l="1"/>
  <c r="A1" i="5"/>
  <c r="D32" i="4" l="1"/>
  <c r="C32" i="4"/>
  <c r="A6" i="3"/>
  <c r="A5" i="3"/>
  <c r="A4" i="3"/>
  <c r="A3" i="3"/>
  <c r="A1" i="4" l="1"/>
  <c r="C18" i="1" l="1"/>
  <c r="F18" i="1" s="1"/>
</calcChain>
</file>

<file path=xl/sharedStrings.xml><?xml version="1.0" encoding="utf-8"?>
<sst xmlns="http://schemas.openxmlformats.org/spreadsheetml/2006/main" count="517" uniqueCount="287">
  <si>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</si>
  <si>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</si>
  <si>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</si>
  <si>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</si>
  <si>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</si>
  <si>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</si>
  <si>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</si>
  <si>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</si>
  <si>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</si>
  <si>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</si>
  <si>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</si>
  <si>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</si>
  <si>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</si>
  <si>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</si>
  <si>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</si>
  <si>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</si>
  <si>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</si>
  <si>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</si>
  <si>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</si>
  <si>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</si>
  <si>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</si>
  <si>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</si>
  <si>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</si>
  <si>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</si>
  <si>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</si>
  <si>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</si>
  <si>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</si>
  <si>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</si>
  <si>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</si>
  <si>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</si>
  <si>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</si>
  <si>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</si>
  <si>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</si>
  <si>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</si>
  <si>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</si>
  <si>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</si>
  <si>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</si>
  <si>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</si>
  <si>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</si>
  <si>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</si>
  <si>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</si>
  <si>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</si>
  <si>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</si>
  <si>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</si>
  <si>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</si>
  <si>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</si>
  <si>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</si>
  <si>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</si>
  <si>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</si>
  <si>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</si>
  <si>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</si>
  <si>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</si>
  <si>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</si>
  <si>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</si>
  <si>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</si>
  <si>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</si>
  <si>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</si>
  <si>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</si>
  <si>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</si>
  <si>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</si>
  <si>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</si>
  <si>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</si>
  <si>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</si>
  <si>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</si>
  <si>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</si>
  <si>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</si>
  <si>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</si>
  <si>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</si>
  <si>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</si>
  <si>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</si>
  <si>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</si>
  <si>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</si>
  <si>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</si>
  <si>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</si>
  <si>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</si>
  <si>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</si>
  <si>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</si>
  <si>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</si>
  <si>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</si>
  <si>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</si>
  <si>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</si>
  <si>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</si>
  <si>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</si>
  <si>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</si>
  <si>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</si>
  <si>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</si>
  <si>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</si>
  <si>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</si>
  <si>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</si>
  <si>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</si>
  <si>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</si>
  <si>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</si>
  <si>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</si>
  <si>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</si>
  <si>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</si>
  <si>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</si>
  <si>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</si>
  <si>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</si>
  <si>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</si>
  <si>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</si>
  <si>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</si>
  <si>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</si>
  <si>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</si>
  <si>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</si>
  <si>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</si>
  <si>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</si>
  <si>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</si>
  <si>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</si>
  <si>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</si>
  <si>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</si>
  <si>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</si>
  <si>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</si>
  <si>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</si>
  <si>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</si>
  <si>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</si>
  <si>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</si>
  <si>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</si>
  <si>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</si>
  <si>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</si>
  <si>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</si>
  <si>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</si>
  <si>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</si>
  <si>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</si>
  <si>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</si>
  <si>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</si>
  <si>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</si>
  <si>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</si>
  <si>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</si>
  <si>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</si>
  <si>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</si>
  <si>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</si>
  <si>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</si>
  <si>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</si>
  <si>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</si>
  <si>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</si>
  <si>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</si>
  <si>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</si>
  <si>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</si>
  <si>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</si>
  <si>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</si>
  <si>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</si>
  <si>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</si>
  <si>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</si>
  <si>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</si>
  <si>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</si>
  <si>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</si>
  <si>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</si>
  <si>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</si>
  <si>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</si>
  <si>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</si>
  <si>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</si>
  <si>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</si>
  <si>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</si>
  <si>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</si>
  <si>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</si>
  <si>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</si>
  <si>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</si>
  <si>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</si>
  <si>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</si>
  <si>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</si>
  <si>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</si>
  <si>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</si>
  <si>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</si>
  <si>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</si>
  <si>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</si>
  <si>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</si>
  <si>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</si>
  <si>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</si>
  <si>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</si>
  <si>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</si>
  <si>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</si>
  <si>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</si>
  <si>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</si>
  <si>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</si>
  <si>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</si>
  <si>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</si>
  <si>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</si>
  <si>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</si>
  <si>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</si>
  <si>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</si>
  <si>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</si>
  <si>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</si>
  <si>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</si>
  <si>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</si>
  <si>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</si>
  <si>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</si>
  <si>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</si>
  <si>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</si>
  <si>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</si>
  <si>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</si>
  <si>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</si>
  <si>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</si>
  <si>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</si>
  <si>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</si>
  <si>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</si>
  <si>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</si>
  <si>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</si>
  <si>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</si>
  <si>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</si>
  <si>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</si>
  <si>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</si>
  <si>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</si>
  <si>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</si>
  <si>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</si>
  <si>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</si>
  <si>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</si>
  <si>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</si>
  <si>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</si>
  <si>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</si>
  <si>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</si>
  <si>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</si>
  <si>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</si>
  <si>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</si>
  <si>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</si>
  <si>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</si>
  <si>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</si>
  <si>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</si>
  <si>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</si>
  <si>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</si>
  <si>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</si>
  <si>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</si>
  <si>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</si>
  <si>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</si>
  <si>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</si>
  <si>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</si>
  <si>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</si>
  <si>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</si>
  <si>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</si>
  <si>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</si>
  <si>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</si>
  <si>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</si>
  <si>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</si>
  <si>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</si>
  <si>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</si>
  <si>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</si>
  <si>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</si>
  <si>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Beng Kuang^</t>
  </si>
  <si>
    <t>Best World</t>
  </si>
  <si>
    <t>Haw Par</t>
  </si>
  <si>
    <t>Delfi</t>
  </si>
  <si>
    <t>Yoma Strategic</t>
  </si>
  <si>
    <t>SIA Engineering</t>
  </si>
  <si>
    <t>Source: SGX.</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</si>
  <si>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</si>
  <si>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</si>
  <si>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</si>
  <si>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</si>
  <si>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Great Eastern</t>
  </si>
  <si>
    <t>G07</t>
  </si>
  <si>
    <t>5E2</t>
  </si>
  <si>
    <t>Japfa</t>
  </si>
  <si>
    <t>UD2</t>
  </si>
  <si>
    <t>558</t>
  </si>
  <si>
    <t>Mapletree Pan Asia Commercial Trust</t>
  </si>
  <si>
    <t>1MZ</t>
  </si>
  <si>
    <t>NamCheong</t>
  </si>
  <si>
    <t>S7P</t>
  </si>
  <si>
    <t>Soilbuild Const</t>
  </si>
  <si>
    <t>sgx.com/research</t>
  </si>
  <si>
    <t>To sign up for daily market updates or for more information, please contact research@SGX.com.</t>
  </si>
  <si>
    <t>5CP</t>
  </si>
  <si>
    <t>Silverlake Axis</t>
  </si>
  <si>
    <t>Sasseur Reit</t>
  </si>
  <si>
    <t>CRPU</t>
  </si>
  <si>
    <t>Centurion</t>
  </si>
  <si>
    <t>OU8</t>
  </si>
  <si>
    <t xml:space="preserve">Wilmar International </t>
  </si>
  <si>
    <t xml:space="preserve">Genting Singapore </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</si>
  <si>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</si>
  <si>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 xml:space="preserve">CapitaLand Investment </t>
  </si>
  <si>
    <t xml:space="preserve">Seatrium </t>
  </si>
  <si>
    <t xml:space="preserve">Venture Corporation </t>
  </si>
  <si>
    <t>NSL</t>
  </si>
  <si>
    <t>N02</t>
  </si>
  <si>
    <t>iFast Corporation</t>
  </si>
  <si>
    <t xml:space="preserve">Seatrium Ltd (from 7 May 2024) </t>
  </si>
  <si>
    <t>Week of 7 October 2024</t>
  </si>
  <si>
    <r>
      <t xml:space="preserve">Institutional investors net </t>
    </r>
    <r>
      <rPr>
        <b/>
        <sz val="11"/>
        <rFont val="Arial"/>
        <family val="2"/>
      </rPr>
      <t>buy</t>
    </r>
    <r>
      <rPr>
        <sz val="11"/>
        <rFont val="Arial"/>
        <family val="2"/>
      </rPr>
      <t xml:space="preserve"> (+S$25.5m) vs. (+S$238.8m) a week ago</t>
    </r>
  </si>
  <si>
    <r>
      <t xml:space="preserve">Retail investors net </t>
    </r>
    <r>
      <rPr>
        <b/>
        <sz val="11"/>
        <rFont val="Arial"/>
        <family val="2"/>
      </rPr>
      <t>buy</t>
    </r>
    <r>
      <rPr>
        <sz val="11"/>
        <rFont val="Arial"/>
        <family val="2"/>
      </rPr>
      <t xml:space="preserve"> (+S$98.9m) vs. (-S$167.6m) a week ago</t>
    </r>
  </si>
  <si>
    <t xml:space="preserve">Jardine Matheson Holdings </t>
  </si>
  <si>
    <t xml:space="preserve">Sembcorp Industries </t>
  </si>
  <si>
    <t xml:space="preserve">Jardine Cycle &amp; Carriage </t>
  </si>
  <si>
    <t xml:space="preserve">Sheng Siong Group </t>
  </si>
  <si>
    <t>Dyna-Mac Holdings</t>
  </si>
  <si>
    <t xml:space="preserve">City Developments </t>
  </si>
  <si>
    <t xml:space="preserve">Yanlord Land Group </t>
  </si>
  <si>
    <t>Keppel DC REIT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</si>
</sst>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9">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
      <left/>
      <right/>
      <top style="thin">
        <color indexed="64"/>
      </top>
      <bottom/>
      <diagonal/>
    </border>
  </borders>
  <cellStyleXfs count="2">
    <xf numFmtId="0" fontId="0" fillId="0" borderId="0"/>
    <xf numFmtId="43" fontId="1" fillId="0" borderId="0" applyFont="0" applyFill="0" applyBorder="0" applyAlignment="0" applyProtection="0"/>
  </cellStyleXfs>
  <cellXfs count="92">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0" fontId="14" fillId="0" borderId="0" xfId="0" applyFont="1" applyAlignment="1">
      <alignment vertical="center"/>
    </xf>
    <xf numFmtId="0" fontId="14" fillId="5" borderId="18" xfId="0" applyFont="1" applyFill="1" applyBorder="1" applyAlignment="1">
      <alignment vertical="center"/>
    </xf>
    <xf numFmtId="0" fontId="14" fillId="5" borderId="0" xfId="0" applyFont="1" applyFill="1" applyAlignment="1">
      <alignment vertical="center"/>
    </xf>
    <xf numFmtId="0" fontId="14" fillId="0" borderId="12" xfId="0" applyFont="1" applyBorder="1" applyAlignment="1">
      <alignment vertical="center"/>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13.5546875" style="2" customWidth="1"/>
    <col min="9" max="9" width="17" style="40"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276</v>
      </c>
    </row>
    <row r="2" spans="1:13" x14ac:dyDescent="0.25">
      <c r="A2" s="69" t="s">
        <v>277</v>
      </c>
      <c r="I2" s="50"/>
    </row>
    <row r="3" spans="1:13" x14ac:dyDescent="0.25">
      <c r="A3" s="69" t="s">
        <v>278</v>
      </c>
      <c r="I3" s="50"/>
    </row>
    <row r="5" spans="1:13" ht="29.25" customHeight="1" x14ac:dyDescent="0.25">
      <c r="A5" s="3" t="s">
        <v>0</v>
      </c>
      <c r="B5" s="3" t="s">
        <v>1</v>
      </c>
      <c r="C5" s="4" t="s">
        <v>276</v>
      </c>
      <c r="D5" s="60" t="s">
        <v>2</v>
      </c>
      <c r="E5" s="60" t="s">
        <v>1</v>
      </c>
      <c r="F5" s="61" t="str">
        <f>+C5</f>
        <v>Week of 7 October 2024</v>
      </c>
      <c r="I5" s="2"/>
    </row>
    <row r="6" spans="1:13" ht="14.4" x14ac:dyDescent="0.3">
      <c r="A6" s="34" t="s">
        <v>26</v>
      </c>
      <c r="B6" s="63" t="s">
        <v>21</v>
      </c>
      <c r="C6" s="6">
        <v>110.770422</v>
      </c>
      <c r="D6" s="34" t="s">
        <v>49</v>
      </c>
      <c r="E6" s="63" t="s">
        <v>47</v>
      </c>
      <c r="F6" s="6">
        <v>-68.100180199999997</v>
      </c>
      <c r="M6"/>
    </row>
    <row r="7" spans="1:13" ht="14.4" x14ac:dyDescent="0.3">
      <c r="A7" s="35" t="s">
        <v>64</v>
      </c>
      <c r="B7" s="10" t="s">
        <v>55</v>
      </c>
      <c r="C7" s="8">
        <v>18.6980325593</v>
      </c>
      <c r="D7" s="35" t="s">
        <v>61</v>
      </c>
      <c r="E7" s="10" t="s">
        <v>53</v>
      </c>
      <c r="F7" s="8">
        <v>-34.038299000000002</v>
      </c>
      <c r="L7"/>
      <c r="M7"/>
    </row>
    <row r="8" spans="1:13" ht="14.4" x14ac:dyDescent="0.3">
      <c r="A8" s="36" t="s">
        <v>266</v>
      </c>
      <c r="B8" s="63" t="s">
        <v>41</v>
      </c>
      <c r="C8" s="6">
        <v>17.697261000000001</v>
      </c>
      <c r="D8" s="36" t="s">
        <v>87</v>
      </c>
      <c r="E8" s="63" t="s">
        <v>25</v>
      </c>
      <c r="F8" s="6">
        <v>-19.145364499999999</v>
      </c>
      <c r="L8"/>
      <c r="M8"/>
    </row>
    <row r="9" spans="1:13" ht="14.4" x14ac:dyDescent="0.3">
      <c r="A9" s="35" t="s">
        <v>274</v>
      </c>
      <c r="B9" s="10" t="s">
        <v>123</v>
      </c>
      <c r="C9" s="8">
        <v>16.533849</v>
      </c>
      <c r="D9" s="35" t="s">
        <v>269</v>
      </c>
      <c r="E9" s="10" t="s">
        <v>83</v>
      </c>
      <c r="F9" s="8">
        <v>-14.341526999999999</v>
      </c>
      <c r="L9"/>
      <c r="M9"/>
    </row>
    <row r="10" spans="1:13" ht="14.4" x14ac:dyDescent="0.3">
      <c r="A10" s="36" t="s">
        <v>270</v>
      </c>
      <c r="B10" s="63" t="s">
        <v>249</v>
      </c>
      <c r="C10" s="6">
        <v>16.117495999999999</v>
      </c>
      <c r="D10" s="36" t="s">
        <v>279</v>
      </c>
      <c r="E10" s="63" t="s">
        <v>52</v>
      </c>
      <c r="F10" s="6">
        <v>-12.85342596350001</v>
      </c>
      <c r="L10"/>
      <c r="M10"/>
    </row>
    <row r="11" spans="1:13" ht="14.4" x14ac:dyDescent="0.3">
      <c r="A11" s="35" t="s">
        <v>29</v>
      </c>
      <c r="B11" s="10" t="s">
        <v>24</v>
      </c>
      <c r="C11" s="8">
        <v>10.341678</v>
      </c>
      <c r="D11" s="35" t="s">
        <v>77</v>
      </c>
      <c r="E11" s="10" t="s">
        <v>56</v>
      </c>
      <c r="F11" s="8">
        <v>-11.616441</v>
      </c>
      <c r="L11"/>
      <c r="M11"/>
    </row>
    <row r="12" spans="1:13" ht="14.4" x14ac:dyDescent="0.3">
      <c r="A12" s="36" t="s">
        <v>280</v>
      </c>
      <c r="B12" s="63" t="s">
        <v>42</v>
      </c>
      <c r="C12" s="6">
        <v>10.330219</v>
      </c>
      <c r="D12" s="36" t="s">
        <v>253</v>
      </c>
      <c r="E12" s="63" t="s">
        <v>58</v>
      </c>
      <c r="F12" s="6">
        <v>-8.0581340000000008</v>
      </c>
      <c r="L12"/>
      <c r="M12"/>
    </row>
    <row r="13" spans="1:13" ht="14.4" x14ac:dyDescent="0.3">
      <c r="A13" s="35" t="s">
        <v>267</v>
      </c>
      <c r="B13" s="10" t="s">
        <v>35</v>
      </c>
      <c r="C13" s="8">
        <v>9.5747820000000008</v>
      </c>
      <c r="D13" s="35" t="s">
        <v>271</v>
      </c>
      <c r="E13" s="10" t="s">
        <v>43</v>
      </c>
      <c r="F13" s="8">
        <v>-7.6389120000000004</v>
      </c>
      <c r="L13"/>
      <c r="M13"/>
    </row>
    <row r="14" spans="1:13" ht="14.4" x14ac:dyDescent="0.3">
      <c r="A14" s="36" t="s">
        <v>283</v>
      </c>
      <c r="B14" s="63" t="s">
        <v>128</v>
      </c>
      <c r="C14" s="6">
        <v>8.9646074999999996</v>
      </c>
      <c r="D14" s="36" t="s">
        <v>139</v>
      </c>
      <c r="E14" s="63" t="s">
        <v>105</v>
      </c>
      <c r="F14" s="6">
        <v>-7.4968219999999999</v>
      </c>
      <c r="L14"/>
      <c r="M14"/>
    </row>
    <row r="15" spans="1:13" ht="14.4" x14ac:dyDescent="0.3">
      <c r="A15" s="37" t="s">
        <v>79</v>
      </c>
      <c r="B15" s="33" t="s">
        <v>78</v>
      </c>
      <c r="C15" s="9">
        <v>7.700531999999999</v>
      </c>
      <c r="D15" s="37" t="s">
        <v>148</v>
      </c>
      <c r="E15" s="33" t="s">
        <v>32</v>
      </c>
      <c r="F15" s="9">
        <v>-7.231039</v>
      </c>
      <c r="L15"/>
      <c r="M15"/>
    </row>
    <row r="16" spans="1:13" ht="15" x14ac:dyDescent="0.25">
      <c r="A16" s="10"/>
      <c r="B16" s="10"/>
      <c r="C16" s="10"/>
      <c r="D16" s="31"/>
      <c r="E16" s="10"/>
      <c r="F16" s="10"/>
    </row>
    <row r="17" spans="1:11" x14ac:dyDescent="0.25">
      <c r="A17" s="10"/>
      <c r="B17" s="10"/>
      <c r="C17" s="10"/>
      <c r="D17" s="10"/>
      <c r="E17" s="10"/>
      <c r="F17" s="10"/>
    </row>
    <row r="18" spans="1:11" ht="28.5" customHeight="1" x14ac:dyDescent="0.25">
      <c r="A18" s="39" t="s">
        <v>3</v>
      </c>
      <c r="B18" s="3" t="s">
        <v>1</v>
      </c>
      <c r="C18" s="4" t="str">
        <f>C5</f>
        <v>Week of 7 October 2024</v>
      </c>
      <c r="D18" s="62" t="s">
        <v>4</v>
      </c>
      <c r="E18" s="60" t="s">
        <v>1</v>
      </c>
      <c r="F18" s="61" t="str">
        <f>+C18</f>
        <v>Week of 7 October 2024</v>
      </c>
    </row>
    <row r="19" spans="1:11" x14ac:dyDescent="0.25">
      <c r="A19" s="36" t="s">
        <v>87</v>
      </c>
      <c r="B19" s="63" t="s">
        <v>25</v>
      </c>
      <c r="C19" s="20">
        <v>22.0288425</v>
      </c>
      <c r="D19" s="81" t="s">
        <v>26</v>
      </c>
      <c r="E19" s="19" t="s">
        <v>21</v>
      </c>
      <c r="F19" s="6">
        <v>-59.932121000000002</v>
      </c>
      <c r="I19" s="2"/>
    </row>
    <row r="20" spans="1:11" x14ac:dyDescent="0.25">
      <c r="A20" s="35" t="s">
        <v>33</v>
      </c>
      <c r="B20" s="10" t="s">
        <v>31</v>
      </c>
      <c r="C20" s="8">
        <v>21.017223000000001</v>
      </c>
      <c r="D20" s="80" t="s">
        <v>270</v>
      </c>
      <c r="E20" s="22" t="s">
        <v>249</v>
      </c>
      <c r="F20" s="8">
        <v>-22.059308000000001</v>
      </c>
      <c r="I20" s="2"/>
    </row>
    <row r="21" spans="1:11" x14ac:dyDescent="0.25">
      <c r="A21" s="36" t="s">
        <v>284</v>
      </c>
      <c r="B21" s="63" t="s">
        <v>54</v>
      </c>
      <c r="C21" s="6">
        <v>18.450420999999999</v>
      </c>
      <c r="D21" s="82" t="s">
        <v>274</v>
      </c>
      <c r="E21" s="7" t="s">
        <v>123</v>
      </c>
      <c r="F21" s="6">
        <v>-18.095808000000002</v>
      </c>
      <c r="I21" s="2"/>
    </row>
    <row r="22" spans="1:11" x14ac:dyDescent="0.25">
      <c r="A22" s="35" t="s">
        <v>269</v>
      </c>
      <c r="B22" s="10" t="s">
        <v>83</v>
      </c>
      <c r="C22" s="8">
        <v>13.562905000000001</v>
      </c>
      <c r="D22" s="80" t="s">
        <v>29</v>
      </c>
      <c r="E22" s="22" t="s">
        <v>24</v>
      </c>
      <c r="F22" s="8">
        <v>-12.000182000000001</v>
      </c>
      <c r="I22" s="2"/>
    </row>
    <row r="23" spans="1:11" x14ac:dyDescent="0.25">
      <c r="A23" s="36" t="s">
        <v>40</v>
      </c>
      <c r="B23" s="63" t="s">
        <v>38</v>
      </c>
      <c r="C23" s="6">
        <v>13.217632999999999</v>
      </c>
      <c r="D23" s="82" t="s">
        <v>286</v>
      </c>
      <c r="E23" s="7" t="s">
        <v>76</v>
      </c>
      <c r="F23" s="6">
        <v>-8.2693429999999992</v>
      </c>
      <c r="I23" s="2"/>
    </row>
    <row r="24" spans="1:11" x14ac:dyDescent="0.25">
      <c r="A24" s="35" t="s">
        <v>148</v>
      </c>
      <c r="B24" s="10" t="s">
        <v>32</v>
      </c>
      <c r="C24" s="8">
        <v>11.133808</v>
      </c>
      <c r="D24" s="80" t="s">
        <v>280</v>
      </c>
      <c r="E24" s="22" t="s">
        <v>42</v>
      </c>
      <c r="F24" s="8">
        <v>-7.8078479999999999</v>
      </c>
      <c r="I24" s="2"/>
    </row>
    <row r="25" spans="1:11" x14ac:dyDescent="0.25">
      <c r="A25" s="36" t="s">
        <v>34</v>
      </c>
      <c r="B25" s="63" t="s">
        <v>30</v>
      </c>
      <c r="C25" s="6">
        <v>9.8075650000000003</v>
      </c>
      <c r="D25" s="82" t="s">
        <v>64</v>
      </c>
      <c r="E25" s="7" t="s">
        <v>55</v>
      </c>
      <c r="F25" s="6">
        <v>-6.9134251384000009</v>
      </c>
      <c r="I25" s="2"/>
    </row>
    <row r="26" spans="1:11" x14ac:dyDescent="0.25">
      <c r="A26" s="35" t="s">
        <v>271</v>
      </c>
      <c r="B26" s="10" t="s">
        <v>43</v>
      </c>
      <c r="C26" s="8">
        <v>9.7090370000000004</v>
      </c>
      <c r="D26" s="80" t="s">
        <v>281</v>
      </c>
      <c r="E26" s="22" t="s">
        <v>48</v>
      </c>
      <c r="F26" s="8">
        <v>-4.6130170000000001</v>
      </c>
      <c r="I26" s="2"/>
    </row>
    <row r="27" spans="1:11" x14ac:dyDescent="0.25">
      <c r="A27" s="36" t="s">
        <v>79</v>
      </c>
      <c r="B27" s="63" t="s">
        <v>78</v>
      </c>
      <c r="C27" s="6">
        <v>9.3659189999999999</v>
      </c>
      <c r="D27" s="36" t="s">
        <v>282</v>
      </c>
      <c r="E27" s="7" t="s">
        <v>90</v>
      </c>
      <c r="F27" s="6">
        <v>-3.618592</v>
      </c>
      <c r="I27" s="2"/>
    </row>
    <row r="28" spans="1:11" x14ac:dyDescent="0.25">
      <c r="A28" s="37" t="s">
        <v>285</v>
      </c>
      <c r="B28" s="33" t="s">
        <v>132</v>
      </c>
      <c r="C28" s="9">
        <v>7.7231715000000003</v>
      </c>
      <c r="D28" s="83" t="s">
        <v>283</v>
      </c>
      <c r="E28" s="76" t="s">
        <v>128</v>
      </c>
      <c r="F28" s="9">
        <v>-3.496912</v>
      </c>
      <c r="I28" s="2"/>
    </row>
    <row r="29" spans="1:11" x14ac:dyDescent="0.25">
      <c r="A29" s="10"/>
      <c r="B29" s="10"/>
      <c r="C29" s="10"/>
      <c r="D29" s="10"/>
      <c r="E29" s="10"/>
      <c r="F29" s="10"/>
      <c r="K29" s="2" t="str">
        <f t="shared" ref="K29" si="0">PROPER(D29)</f>
        <v/>
      </c>
    </row>
    <row r="30" spans="1:11" ht="14.4" x14ac:dyDescent="0.3">
      <c r="A30" s="11" t="s">
        <v>242</v>
      </c>
      <c r="B30" s="11"/>
      <c r="C30" s="10"/>
      <c r="D30" s="10"/>
      <c r="E30" s="10"/>
      <c r="F30" s="10"/>
    </row>
    <row r="31" spans="1:11" ht="14.4" x14ac:dyDescent="0.3">
      <c r="A31" s="11" t="s">
        <v>80</v>
      </c>
      <c r="B31" s="11"/>
      <c r="C31" s="10"/>
      <c r="D31" s="10"/>
      <c r="E31" s="10"/>
      <c r="F31" s="10"/>
    </row>
    <row r="32" spans="1:11" ht="14.4" x14ac:dyDescent="0.3">
      <c r="A32" s="11" t="s">
        <v>243</v>
      </c>
      <c r="B32" s="11"/>
      <c r="C32" s="10"/>
      <c r="D32" s="10"/>
      <c r="E32" s="10"/>
      <c r="F32" s="10"/>
    </row>
    <row r="33" spans="1:9" ht="14.4" x14ac:dyDescent="0.3">
      <c r="A33" s="11" t="s">
        <v>6</v>
      </c>
      <c r="B33" s="11"/>
      <c r="C33" s="10"/>
      <c r="D33" s="10"/>
      <c r="E33" s="10"/>
      <c r="F33" s="10"/>
    </row>
    <row r="34" spans="1:9" ht="14.4" x14ac:dyDescent="0.3">
      <c r="A34" s="79" t="s">
        <v>73</v>
      </c>
      <c r="B34" s="11"/>
      <c r="C34" s="10"/>
      <c r="D34" s="10"/>
      <c r="E34" s="10"/>
      <c r="F34" s="10"/>
      <c r="G34" s="66"/>
    </row>
    <row r="35" spans="1:9" ht="14.4" x14ac:dyDescent="0.3">
      <c r="A35" s="11"/>
      <c r="B35" s="11"/>
      <c r="C35" s="10"/>
      <c r="D35" s="10"/>
      <c r="E35" s="10"/>
      <c r="F35" s="10"/>
    </row>
    <row r="36" spans="1:9" ht="14.4" x14ac:dyDescent="0.3">
      <c r="A36" s="11"/>
      <c r="B36" s="11"/>
      <c r="C36" s="10"/>
      <c r="D36" s="10"/>
      <c r="E36" s="10"/>
      <c r="F36" s="10"/>
    </row>
    <row r="37" spans="1:9" customFormat="1" ht="15.6" x14ac:dyDescent="0.3">
      <c r="A37" s="23" t="s">
        <v>68</v>
      </c>
      <c r="B37" s="24"/>
      <c r="C37" s="25"/>
      <c r="D37" s="25"/>
      <c r="E37" s="24"/>
      <c r="F37" s="24"/>
      <c r="I37" s="38"/>
    </row>
    <row r="38" spans="1:9" customFormat="1" ht="14.4" x14ac:dyDescent="0.3">
      <c r="A38" s="26" t="s">
        <v>259</v>
      </c>
      <c r="B38" s="24"/>
      <c r="C38" s="25"/>
      <c r="D38" s="25"/>
      <c r="E38" s="24"/>
      <c r="F38" s="24"/>
      <c r="I38" s="38"/>
    </row>
    <row r="39" spans="1:9" s="30" customFormat="1" ht="19.350000000000001" customHeight="1" x14ac:dyDescent="0.3">
      <c r="A39" s="27" t="s">
        <v>258</v>
      </c>
      <c r="B39" s="28"/>
      <c r="C39" s="29"/>
      <c r="D39" s="29"/>
      <c r="E39" s="28"/>
      <c r="F39" s="28"/>
      <c r="I39" s="41"/>
    </row>
    <row r="40" spans="1:9" ht="169.35" customHeight="1" x14ac:dyDescent="0.25">
      <c r="A40" s="84" t="s">
        <v>268</v>
      </c>
      <c r="B40" s="84"/>
      <c r="C40" s="84"/>
      <c r="D40" s="84"/>
      <c r="E40" s="84"/>
      <c r="F40" s="84"/>
    </row>
    <row r="41" spans="1:9" x14ac:dyDescent="0.25">
      <c r="A41" s="10"/>
      <c r="B41" s="10"/>
      <c r="C41" s="10"/>
      <c r="D41" s="10"/>
      <c r="E41" s="10"/>
      <c r="F41" s="10"/>
    </row>
    <row r="42" spans="1:9" x14ac:dyDescent="0.25">
      <c r="A42" s="10"/>
      <c r="B42" s="10"/>
      <c r="C42" s="10"/>
      <c r="D42" s="10"/>
      <c r="E42" s="10"/>
      <c r="F42" s="10"/>
    </row>
    <row r="43" spans="1:9" x14ac:dyDescent="0.25">
      <c r="A43" s="10"/>
      <c r="B43" s="10"/>
      <c r="C43" s="10"/>
      <c r="D43" s="10"/>
      <c r="E43" s="10"/>
      <c r="F43" s="10"/>
    </row>
    <row r="44" spans="1:9" x14ac:dyDescent="0.25">
      <c r="A44" s="10"/>
      <c r="B44" s="10"/>
      <c r="C44" s="10"/>
      <c r="D44" s="10"/>
      <c r="E44" s="10"/>
      <c r="F44" s="10"/>
    </row>
    <row r="45" spans="1:9" x14ac:dyDescent="0.25">
      <c r="A45" s="10"/>
      <c r="B45" s="10"/>
      <c r="C45" s="10"/>
      <c r="D45" s="10"/>
      <c r="E45" s="10"/>
      <c r="F45" s="10"/>
    </row>
    <row r="46" spans="1:9" x14ac:dyDescent="0.25">
      <c r="A46" s="10"/>
      <c r="B46" s="10"/>
      <c r="C46" s="10"/>
      <c r="D46" s="10"/>
      <c r="E46" s="10"/>
      <c r="F46" s="10"/>
    </row>
    <row r="47" spans="1:9" x14ac:dyDescent="0.25">
      <c r="A47" s="10"/>
      <c r="B47" s="10"/>
      <c r="C47" s="10"/>
      <c r="D47" s="10"/>
      <c r="E47" s="10"/>
      <c r="F47" s="10"/>
    </row>
    <row r="48" spans="1:9" x14ac:dyDescent="0.25">
      <c r="A48" s="10"/>
      <c r="B48" s="10"/>
      <c r="C48" s="10"/>
      <c r="D48" s="10"/>
      <c r="E48" s="10"/>
      <c r="F48" s="10"/>
    </row>
    <row r="49" spans="1:6" x14ac:dyDescent="0.25">
      <c r="A49" s="10"/>
      <c r="B49" s="10"/>
      <c r="C49" s="10"/>
      <c r="D49" s="10"/>
      <c r="E49" s="10"/>
      <c r="F49" s="10"/>
    </row>
    <row r="50" spans="1:6" x14ac:dyDescent="0.25">
      <c r="A50" s="12"/>
      <c r="B50" s="12"/>
      <c r="C50" s="12"/>
      <c r="D50" s="12"/>
      <c r="E50" s="12"/>
      <c r="F50" s="12"/>
    </row>
    <row r="51" spans="1:6" x14ac:dyDescent="0.25">
      <c r="A51" s="12"/>
      <c r="B51" s="12"/>
      <c r="C51" s="12"/>
      <c r="D51" s="12"/>
      <c r="E51" s="12"/>
      <c r="F51" s="12"/>
    </row>
    <row r="52" spans="1:6" x14ac:dyDescent="0.25">
      <c r="A52" s="12"/>
      <c r="B52" s="12"/>
      <c r="C52" s="12"/>
      <c r="D52" s="12"/>
      <c r="E52" s="12"/>
      <c r="F52" s="12"/>
    </row>
    <row r="53" spans="1:6" x14ac:dyDescent="0.25">
      <c r="A53" s="12"/>
      <c r="B53" s="12"/>
      <c r="C53" s="12"/>
      <c r="D53" s="12"/>
      <c r="E53" s="12"/>
      <c r="F53" s="12"/>
    </row>
    <row r="54" spans="1:6" x14ac:dyDescent="0.25">
      <c r="A54" s="12"/>
      <c r="B54" s="12"/>
      <c r="C54" s="12"/>
      <c r="D54" s="12"/>
      <c r="E54" s="12"/>
      <c r="F54" s="12"/>
    </row>
    <row r="55" spans="1:6" x14ac:dyDescent="0.25">
      <c r="A55" s="12"/>
      <c r="B55" s="12"/>
      <c r="C55" s="12"/>
      <c r="D55" s="12"/>
      <c r="E55" s="12"/>
      <c r="F55" s="12"/>
    </row>
    <row r="56" spans="1:6" x14ac:dyDescent="0.25">
      <c r="A56" s="12"/>
      <c r="B56" s="12"/>
      <c r="C56" s="12"/>
      <c r="D56" s="12"/>
      <c r="E56" s="12"/>
      <c r="F56" s="12"/>
    </row>
    <row r="57" spans="1:6" x14ac:dyDescent="0.25">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10 E2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4140625" defaultRowHeight="13.8" x14ac:dyDescent="0.25"/>
  <cols>
    <col min="1" max="1" width="9.44140625" style="2"/>
    <col min="2" max="2" width="16.44140625" style="2" customWidth="1"/>
    <col min="3" max="4" width="11.44140625" style="2" customWidth="1"/>
    <col min="5" max="5" width="10.5546875" style="2" customWidth="1"/>
    <col min="6" max="6" width="10" style="2" bestFit="1" customWidth="1"/>
    <col min="7" max="7" width="7.5546875" style="2" bestFit="1" customWidth="1"/>
    <col min="8" max="8" width="11.5546875" style="2" customWidth="1"/>
    <col min="9" max="9" width="12.44140625" style="2" bestFit="1" customWidth="1"/>
    <col min="10" max="11" width="7.5546875" style="2" bestFit="1" customWidth="1"/>
    <col min="12" max="12" width="13.5546875" style="2" customWidth="1"/>
    <col min="13" max="13" width="7.5546875" style="2" customWidth="1"/>
    <col min="14" max="14" width="8.5546875" style="2" customWidth="1"/>
    <col min="15" max="16384" width="9.44140625" style="2"/>
  </cols>
  <sheetData>
    <row r="1" spans="1:15" ht="17.25" customHeight="1" x14ac:dyDescent="0.25">
      <c r="A1" s="85" t="s">
        <v>7</v>
      </c>
      <c r="B1" s="13"/>
      <c r="C1" s="87" t="s">
        <v>8</v>
      </c>
      <c r="D1" s="88"/>
      <c r="E1" s="88"/>
      <c r="F1" s="88"/>
      <c r="G1" s="88"/>
      <c r="H1" s="88"/>
      <c r="I1" s="88"/>
      <c r="J1" s="88"/>
      <c r="K1" s="88"/>
      <c r="L1" s="88"/>
      <c r="M1" s="88"/>
      <c r="N1" s="89"/>
    </row>
    <row r="2" spans="1:15" ht="55.2" x14ac:dyDescent="0.25">
      <c r="A2" s="86"/>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25">
      <c r="A3" s="44">
        <f>SUM(C3:N3)</f>
        <v>361.41233199214997</v>
      </c>
      <c r="B3" s="71">
        <v>45551</v>
      </c>
      <c r="C3" s="15">
        <v>-3.6167976337299996</v>
      </c>
      <c r="D3" s="15">
        <v>-10.683264080099999</v>
      </c>
      <c r="E3" s="15">
        <v>0.57096060000000026</v>
      </c>
      <c r="F3" s="15">
        <v>272.78653009999999</v>
      </c>
      <c r="G3" s="15">
        <v>-0.95187777459999945</v>
      </c>
      <c r="H3" s="15">
        <v>97.585005001490018</v>
      </c>
      <c r="I3" s="15">
        <v>2.9515736999999995</v>
      </c>
      <c r="J3" s="15">
        <v>-14.528606932099999</v>
      </c>
      <c r="K3" s="15">
        <v>-125.22553398881</v>
      </c>
      <c r="L3" s="15">
        <v>-2.3070768000000004</v>
      </c>
      <c r="M3" s="15">
        <v>118.8972493</v>
      </c>
      <c r="N3" s="15">
        <v>25.9341705</v>
      </c>
    </row>
    <row r="4" spans="1:15" x14ac:dyDescent="0.25">
      <c r="A4" s="44">
        <f>SUM(C4:N4)</f>
        <v>-242.11250134324004</v>
      </c>
      <c r="B4" s="12">
        <v>45558</v>
      </c>
      <c r="C4" s="70">
        <v>3.2855905503099998</v>
      </c>
      <c r="D4" s="70">
        <v>3.7810477172999981</v>
      </c>
      <c r="E4" s="70">
        <v>2.4007727999999999</v>
      </c>
      <c r="F4" s="70">
        <v>-182.06727930000002</v>
      </c>
      <c r="G4" s="70">
        <v>-6.914287668300001</v>
      </c>
      <c r="H4" s="70">
        <v>-51.449444447259985</v>
      </c>
      <c r="I4" s="70">
        <v>0.84545689999999984</v>
      </c>
      <c r="J4" s="70">
        <v>-7.472570157999999</v>
      </c>
      <c r="K4" s="70">
        <v>103.12008316270997</v>
      </c>
      <c r="L4" s="70">
        <v>0.39070790000000022</v>
      </c>
      <c r="M4" s="70">
        <v>-130.67926649999998</v>
      </c>
      <c r="N4" s="70">
        <v>22.646687699999998</v>
      </c>
    </row>
    <row r="5" spans="1:15" x14ac:dyDescent="0.25">
      <c r="A5" s="44">
        <f>SUM(C5:N5)</f>
        <v>238.76614737414002</v>
      </c>
      <c r="B5" s="71">
        <v>45565</v>
      </c>
      <c r="C5" s="15">
        <v>25.209282964290004</v>
      </c>
      <c r="D5" s="15">
        <v>-12.2565188601</v>
      </c>
      <c r="E5" s="15">
        <v>3.7425486999999995</v>
      </c>
      <c r="F5" s="15">
        <v>23.14602469999998</v>
      </c>
      <c r="G5" s="15">
        <v>-0.25081433349999993</v>
      </c>
      <c r="H5" s="15">
        <v>166.67518639301002</v>
      </c>
      <c r="I5" s="15">
        <v>-3.7034397999999999</v>
      </c>
      <c r="J5" s="15">
        <v>15.502276154099999</v>
      </c>
      <c r="K5" s="15">
        <v>38.029876356340012</v>
      </c>
      <c r="L5" s="15">
        <v>2.8579928999999997</v>
      </c>
      <c r="M5" s="15">
        <v>-17.860573299999999</v>
      </c>
      <c r="N5" s="15">
        <v>-2.3256945</v>
      </c>
    </row>
    <row r="6" spans="1:15" ht="14.4" x14ac:dyDescent="0.3">
      <c r="A6" s="44">
        <f>SUM(C6:N6)</f>
        <v>25.48037102483999</v>
      </c>
      <c r="B6" s="12">
        <v>45572</v>
      </c>
      <c r="C6" s="70">
        <v>13.916706534620005</v>
      </c>
      <c r="D6" s="70">
        <v>29.280717559899998</v>
      </c>
      <c r="E6" s="70">
        <v>8.6876536999999985</v>
      </c>
      <c r="F6" s="70">
        <v>101.7915562</v>
      </c>
      <c r="G6" s="70">
        <v>0.26340886239999994</v>
      </c>
      <c r="H6" s="70">
        <v>-42.206343406660011</v>
      </c>
      <c r="I6" s="70">
        <v>-0.76223419999999997</v>
      </c>
      <c r="J6" s="70">
        <v>13.757210259299999</v>
      </c>
      <c r="K6" s="70">
        <v>-39.449038384720005</v>
      </c>
      <c r="L6" s="70">
        <v>3.6160385000000068</v>
      </c>
      <c r="M6" s="70">
        <v>-73.66100689999999</v>
      </c>
      <c r="N6" s="70">
        <v>10.2457023</v>
      </c>
      <c r="O6"/>
    </row>
    <row r="7" spans="1:15" ht="14.4" x14ac:dyDescent="0.3">
      <c r="A7" s="68"/>
      <c r="B7" s="57"/>
      <c r="C7" s="72"/>
      <c r="D7" s="72"/>
      <c r="E7" s="72"/>
      <c r="F7" s="72"/>
      <c r="G7" s="72"/>
      <c r="H7" s="72"/>
      <c r="I7" s="72"/>
      <c r="J7" s="72"/>
      <c r="K7" s="72"/>
      <c r="L7" s="72"/>
      <c r="M7" s="72"/>
      <c r="N7" s="72"/>
    </row>
    <row r="8" spans="1:15" ht="14.4" x14ac:dyDescent="0.3">
      <c r="B8" s="11" t="s">
        <v>5</v>
      </c>
      <c r="C8" s="11"/>
      <c r="D8" s="11"/>
    </row>
    <row r="9" spans="1:15" ht="14.4" x14ac:dyDescent="0.3">
      <c r="B9" s="11" t="s">
        <v>80</v>
      </c>
      <c r="C9" s="11"/>
      <c r="D9" s="11"/>
    </row>
    <row r="10" spans="1:15" ht="14.4" x14ac:dyDescent="0.3">
      <c r="B10" s="11" t="s">
        <v>6</v>
      </c>
      <c r="C10" s="11"/>
      <c r="D10" s="11"/>
    </row>
    <row r="11" spans="1:15" ht="14.4" x14ac:dyDescent="0.3">
      <c r="B11" s="11" t="s">
        <v>73</v>
      </c>
      <c r="C11" s="12"/>
      <c r="D11" s="12"/>
    </row>
    <row r="12" spans="1:15" ht="14.4" x14ac:dyDescent="0.3">
      <c r="B12"/>
    </row>
    <row r="13" spans="1:15" ht="14.4" x14ac:dyDescent="0.3">
      <c r="C13" s="67"/>
      <c r="D13" s="67"/>
      <c r="E13" s="67"/>
      <c r="F13" s="67"/>
      <c r="G13" s="67"/>
      <c r="H13" s="67"/>
      <c r="I13" s="67"/>
      <c r="J13" s="67"/>
      <c r="K13" s="67"/>
      <c r="L13" s="67"/>
      <c r="M13" s="67"/>
      <c r="N13" s="67"/>
    </row>
    <row r="14" spans="1:15" ht="14.4" x14ac:dyDescent="0.3">
      <c r="B14" s="49"/>
      <c r="C14" s="49"/>
      <c r="D14" s="49"/>
      <c r="E14" s="49"/>
      <c r="F14" s="49"/>
      <c r="G14" s="49"/>
      <c r="H14" s="49"/>
      <c r="I14" s="49"/>
      <c r="J14" s="49"/>
      <c r="K14" s="49"/>
      <c r="L14" s="49"/>
      <c r="M14" s="49"/>
      <c r="N14"/>
      <c r="O14" s="43"/>
    </row>
    <row r="15" spans="1:15" ht="14.4" x14ac:dyDescent="0.3">
      <c r="C15" s="49"/>
      <c r="D15" s="49"/>
      <c r="E15" s="49"/>
      <c r="F15" s="49"/>
      <c r="G15" s="49"/>
      <c r="H15" s="49"/>
      <c r="I15" s="49"/>
      <c r="J15" s="49"/>
      <c r="K15" s="49"/>
      <c r="L15" s="49"/>
      <c r="M15" s="49"/>
      <c r="N15" s="49"/>
      <c r="O15" s="49"/>
    </row>
    <row r="16" spans="1:15" ht="14.4" x14ac:dyDescent="0.3">
      <c r="C16" s="43"/>
      <c r="D16" s="43"/>
      <c r="E16" s="43"/>
      <c r="F16" s="43"/>
      <c r="G16" s="43"/>
      <c r="H16" s="43"/>
      <c r="I16" s="43"/>
      <c r="J16" s="43"/>
      <c r="K16" s="43"/>
      <c r="L16" s="43"/>
      <c r="M16" s="43"/>
      <c r="N16" s="43"/>
      <c r="O16" s="43"/>
    </row>
    <row r="17" spans="3:15" ht="14.4" x14ac:dyDescent="0.3">
      <c r="C17" s="42"/>
      <c r="D17" s="42"/>
      <c r="E17" s="42"/>
      <c r="F17" s="42"/>
      <c r="G17" s="42"/>
      <c r="H17" s="42"/>
      <c r="I17" s="42"/>
      <c r="J17" s="42"/>
      <c r="K17" s="42"/>
      <c r="L17" s="42"/>
      <c r="M17" s="42"/>
      <c r="N17" s="42"/>
      <c r="O17" s="42"/>
    </row>
    <row r="18" spans="3:15" ht="14.4" x14ac:dyDescent="0.3">
      <c r="C18"/>
      <c r="D18"/>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4140625" defaultRowHeight="13.8" x14ac:dyDescent="0.25"/>
  <cols>
    <col min="1" max="1" width="9.44140625" style="2" customWidth="1"/>
    <col min="2" max="2" width="16.44140625" style="2" customWidth="1"/>
    <col min="3" max="4" width="11.44140625" style="2" bestFit="1" customWidth="1"/>
    <col min="5" max="5" width="10.5546875" style="2" bestFit="1" customWidth="1"/>
    <col min="6" max="6" width="10" style="2" bestFit="1" customWidth="1"/>
    <col min="7" max="7" width="7.5546875" style="2" bestFit="1" customWidth="1"/>
    <col min="8" max="8" width="11.5546875" style="2" bestFit="1" customWidth="1"/>
    <col min="9" max="9" width="12.44140625" style="2" bestFit="1" customWidth="1"/>
    <col min="10" max="11" width="7.5546875" style="2" bestFit="1" customWidth="1"/>
    <col min="12" max="12" width="13.5546875" style="2" customWidth="1"/>
    <col min="13" max="13" width="7.5546875" style="2" bestFit="1" customWidth="1"/>
    <col min="14" max="14" width="8.5546875" style="2" bestFit="1" customWidth="1"/>
    <col min="15" max="16384" width="9.44140625" style="2"/>
  </cols>
  <sheetData>
    <row r="1" spans="1:18" ht="17.25" customHeight="1" x14ac:dyDescent="0.25">
      <c r="A1" s="85" t="s">
        <v>7</v>
      </c>
      <c r="B1" s="13"/>
      <c r="C1" s="87" t="s">
        <v>8</v>
      </c>
      <c r="D1" s="88"/>
      <c r="E1" s="88"/>
      <c r="F1" s="88"/>
      <c r="G1" s="88"/>
      <c r="H1" s="88"/>
      <c r="I1" s="88"/>
      <c r="J1" s="88"/>
      <c r="K1" s="88"/>
      <c r="L1" s="88"/>
      <c r="M1" s="88"/>
      <c r="N1" s="89"/>
    </row>
    <row r="2" spans="1:18" ht="55.2" x14ac:dyDescent="0.25">
      <c r="A2" s="86"/>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25">
      <c r="A3" s="65">
        <f>SUM(C3:N3)</f>
        <v>-532.90444328361014</v>
      </c>
      <c r="B3" s="64">
        <v>45551</v>
      </c>
      <c r="C3" s="56">
        <v>-6.7504779066499996</v>
      </c>
      <c r="D3" s="56">
        <v>-0.79246723819999931</v>
      </c>
      <c r="E3" s="56">
        <v>-1.9802356999999997</v>
      </c>
      <c r="F3" s="56">
        <v>-389.37833090000004</v>
      </c>
      <c r="G3" s="56">
        <v>-1.6063528024999996</v>
      </c>
      <c r="H3" s="56">
        <v>-108.56912602737003</v>
      </c>
      <c r="I3" s="56">
        <v>0.30959619999999999</v>
      </c>
      <c r="J3" s="56">
        <v>12.281219553100001</v>
      </c>
      <c r="K3" s="56">
        <v>66.85371753800996</v>
      </c>
      <c r="L3" s="56">
        <v>-5.886774100000002</v>
      </c>
      <c r="M3" s="56">
        <v>-64.291403700000004</v>
      </c>
      <c r="N3" s="56">
        <v>-33.093808199999998</v>
      </c>
      <c r="P3" s="14"/>
    </row>
    <row r="4" spans="1:18" x14ac:dyDescent="0.25">
      <c r="A4" s="65">
        <f>SUM(C4:N4)</f>
        <v>-89.878298098020025</v>
      </c>
      <c r="B4" s="12">
        <v>45558</v>
      </c>
      <c r="C4" s="74">
        <v>-22.33646664139</v>
      </c>
      <c r="D4" s="74">
        <v>-23.090540718599996</v>
      </c>
      <c r="E4" s="74">
        <v>-3.7698711000000014</v>
      </c>
      <c r="F4" s="74">
        <v>-13.813603200000003</v>
      </c>
      <c r="G4" s="74">
        <v>6.5413660613000006</v>
      </c>
      <c r="H4" s="74">
        <v>18.139884338449995</v>
      </c>
      <c r="I4" s="74">
        <v>-0.17825279999999999</v>
      </c>
      <c r="J4" s="74">
        <v>4.1217289680000002</v>
      </c>
      <c r="K4" s="74">
        <v>-37.228733305780011</v>
      </c>
      <c r="L4" s="74">
        <v>-6.3666527000000031</v>
      </c>
      <c r="M4" s="74">
        <v>19.831786700000002</v>
      </c>
      <c r="N4" s="74">
        <v>-31.728943700000002</v>
      </c>
      <c r="P4" s="14"/>
    </row>
    <row r="5" spans="1:18" x14ac:dyDescent="0.25">
      <c r="A5" s="65">
        <f>SUM(C5:N5)</f>
        <v>-167.61482112674003</v>
      </c>
      <c r="B5" s="64">
        <v>45565</v>
      </c>
      <c r="C5" s="56">
        <v>-13.942945499149999</v>
      </c>
      <c r="D5" s="56">
        <v>8.6089647168000027</v>
      </c>
      <c r="E5" s="56">
        <v>-6.0740441999999994</v>
      </c>
      <c r="F5" s="56">
        <v>42.063998000000005</v>
      </c>
      <c r="G5" s="56">
        <v>0.68982875219999962</v>
      </c>
      <c r="H5" s="56">
        <v>-167.48584907013003</v>
      </c>
      <c r="I5" s="56">
        <v>3.4222087999999999</v>
      </c>
      <c r="J5" s="56">
        <v>-9.9906886403000019</v>
      </c>
      <c r="K5" s="56">
        <v>-10.17751298616</v>
      </c>
      <c r="L5" s="56">
        <v>-6.7956092999999989</v>
      </c>
      <c r="M5" s="56">
        <v>-2.8211069000000006</v>
      </c>
      <c r="N5" s="56">
        <v>-5.1120647999999997</v>
      </c>
      <c r="P5" s="14"/>
    </row>
    <row r="6" spans="1:18" x14ac:dyDescent="0.25">
      <c r="A6" s="65">
        <f>SUM(C6:N6)</f>
        <v>98.898956840009973</v>
      </c>
      <c r="B6" s="12">
        <v>45572</v>
      </c>
      <c r="C6" s="74">
        <v>0.63304702138999946</v>
      </c>
      <c r="D6" s="74">
        <v>-0.41690570759999801</v>
      </c>
      <c r="E6" s="74">
        <v>0.69936609999999932</v>
      </c>
      <c r="F6" s="74">
        <v>-48.818131200000003</v>
      </c>
      <c r="G6" s="74">
        <v>2.4038499473000003</v>
      </c>
      <c r="H6" s="74">
        <v>26.531181803789984</v>
      </c>
      <c r="I6" s="74">
        <v>1.9277492000000005</v>
      </c>
      <c r="J6" s="74">
        <v>25.050839661600001</v>
      </c>
      <c r="K6" s="74">
        <v>81.746492899529997</v>
      </c>
      <c r="L6" s="74">
        <v>3.494514713999997</v>
      </c>
      <c r="M6" s="74">
        <v>13.2607798</v>
      </c>
      <c r="N6" s="74">
        <v>-7.6138273999999999</v>
      </c>
      <c r="P6" s="14"/>
    </row>
    <row r="7" spans="1:18" ht="14.4" x14ac:dyDescent="0.3">
      <c r="A7" s="68"/>
      <c r="B7" s="51"/>
      <c r="C7" s="72"/>
      <c r="D7" s="72"/>
      <c r="E7" s="72"/>
      <c r="F7" s="72"/>
      <c r="G7" s="72"/>
      <c r="H7" s="72"/>
      <c r="I7" s="72"/>
      <c r="J7" s="72"/>
      <c r="K7" s="72"/>
      <c r="L7" s="72"/>
      <c r="M7" s="72"/>
      <c r="N7" s="72"/>
      <c r="P7" s="14"/>
    </row>
    <row r="8" spans="1:18" ht="14.4" x14ac:dyDescent="0.3">
      <c r="B8" s="11" t="s">
        <v>5</v>
      </c>
      <c r="C8" s="11"/>
      <c r="D8" s="11"/>
    </row>
    <row r="9" spans="1:18" ht="14.4" x14ac:dyDescent="0.3">
      <c r="B9" s="11" t="s">
        <v>82</v>
      </c>
      <c r="C9" s="11"/>
      <c r="D9" s="11"/>
    </row>
    <row r="10" spans="1:18" ht="14.4" x14ac:dyDescent="0.3">
      <c r="B10" s="11" t="s">
        <v>6</v>
      </c>
      <c r="C10" s="11"/>
      <c r="D10" s="11"/>
    </row>
    <row r="11" spans="1:18" ht="14.4" x14ac:dyDescent="0.3">
      <c r="B11" s="11" t="s">
        <v>73</v>
      </c>
      <c r="C11" s="12"/>
      <c r="D11" s="12"/>
    </row>
    <row r="12" spans="1:18" ht="14.4" x14ac:dyDescent="0.3">
      <c r="C12" s="49"/>
      <c r="D12" s="49"/>
      <c r="E12" s="49"/>
      <c r="F12" s="49"/>
      <c r="G12" s="49"/>
      <c r="H12" s="49"/>
      <c r="I12" s="49"/>
      <c r="J12" s="49"/>
      <c r="K12" s="49"/>
      <c r="L12" s="49"/>
      <c r="M12" s="49"/>
      <c r="N12" s="49"/>
    </row>
    <row r="13" spans="1:18" ht="14.4" x14ac:dyDescent="0.3">
      <c r="B13"/>
      <c r="C13" s="49"/>
      <c r="D13" s="49"/>
      <c r="E13" s="49"/>
      <c r="F13" s="49"/>
      <c r="G13" s="49"/>
      <c r="H13" s="49"/>
      <c r="I13" s="49"/>
      <c r="J13" s="49"/>
      <c r="K13" s="49"/>
      <c r="L13" s="49"/>
      <c r="M13" s="49"/>
      <c r="N13" s="49"/>
      <c r="O13" s="43"/>
      <c r="P13"/>
      <c r="Q13"/>
      <c r="R13"/>
    </row>
    <row r="14" spans="1:18" ht="14.4" x14ac:dyDescent="0.3">
      <c r="C14"/>
      <c r="D14"/>
      <c r="E14"/>
      <c r="F14"/>
      <c r="G14"/>
      <c r="H14"/>
      <c r="I14"/>
      <c r="J14"/>
      <c r="K14"/>
      <c r="L14"/>
      <c r="M14"/>
      <c r="N14"/>
      <c r="O14"/>
      <c r="P14"/>
      <c r="Q14"/>
      <c r="R14"/>
    </row>
    <row r="15" spans="1:18" ht="14.4" x14ac:dyDescent="0.3">
      <c r="C15" s="49"/>
      <c r="D15" s="49"/>
      <c r="E15" s="49"/>
      <c r="F15" s="49"/>
      <c r="G15" s="49"/>
      <c r="H15" s="49"/>
      <c r="I15" s="49"/>
      <c r="J15" s="49"/>
      <c r="K15" s="49"/>
      <c r="L15" s="49"/>
      <c r="M15" s="49"/>
      <c r="N15" s="49"/>
      <c r="O15"/>
    </row>
    <row r="16" spans="1:18" ht="14.4" x14ac:dyDescent="0.3">
      <c r="C16" s="42"/>
      <c r="D16" s="42"/>
      <c r="E16" s="42"/>
      <c r="F16" s="42"/>
      <c r="G16" s="42"/>
      <c r="H16" s="42"/>
      <c r="I16" s="42"/>
      <c r="J16" s="42"/>
      <c r="K16" s="42"/>
      <c r="L16" s="42"/>
      <c r="M16" s="42"/>
      <c r="N16" s="42"/>
    </row>
    <row r="17" spans="3:14" ht="14.4" x14ac:dyDescent="0.3">
      <c r="C17"/>
      <c r="D17"/>
      <c r="E17"/>
      <c r="F17"/>
      <c r="G17"/>
      <c r="H17"/>
      <c r="I17"/>
      <c r="J17"/>
      <c r="K17"/>
      <c r="L17"/>
      <c r="M17"/>
      <c r="N17"/>
    </row>
    <row r="18" spans="3:14" ht="14.4" x14ac:dyDescent="0.3">
      <c r="C18" s="43"/>
      <c r="D18" s="43"/>
      <c r="E18" s="43"/>
      <c r="F18" s="43"/>
      <c r="G18" s="43"/>
      <c r="H18" s="43"/>
      <c r="I18" s="43"/>
      <c r="J18" s="43"/>
      <c r="K18" s="43"/>
      <c r="L18" s="43"/>
      <c r="M18" s="43"/>
      <c r="N18" s="43"/>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5546875" customWidth="1"/>
    <col min="6" max="6" width="12.5546875" customWidth="1"/>
    <col min="7" max="7" width="14" customWidth="1"/>
    <col min="8" max="8" width="15.5546875" customWidth="1"/>
    <col min="12" max="12" width="16" customWidth="1"/>
  </cols>
  <sheetData>
    <row r="1" spans="1:5" ht="55.2" x14ac:dyDescent="0.3">
      <c r="A1" s="32" t="str">
        <f>CONCATENATE("STI Constituents - ",'Weekly Top 10'!$C$5)</f>
        <v>STI Constituents - Week of 7 October 2024</v>
      </c>
      <c r="B1" s="16" t="s">
        <v>1</v>
      </c>
      <c r="C1" s="17" t="s">
        <v>71</v>
      </c>
      <c r="D1" s="17" t="s">
        <v>72</v>
      </c>
    </row>
    <row r="2" spans="1:5" x14ac:dyDescent="0.3">
      <c r="A2" s="18" t="s">
        <v>87</v>
      </c>
      <c r="B2" s="19" t="s">
        <v>25</v>
      </c>
      <c r="C2" s="20">
        <v>-19.145364499999999</v>
      </c>
      <c r="D2" s="20">
        <v>22.0288425</v>
      </c>
      <c r="E2" s="38"/>
    </row>
    <row r="3" spans="1:5" x14ac:dyDescent="0.3">
      <c r="A3" s="21" t="s">
        <v>77</v>
      </c>
      <c r="B3" s="22" t="s">
        <v>56</v>
      </c>
      <c r="C3" s="8">
        <v>-11.616441</v>
      </c>
      <c r="D3" s="8">
        <v>7.5231750000000002</v>
      </c>
      <c r="E3" s="38"/>
    </row>
    <row r="4" spans="1:5" x14ac:dyDescent="0.3">
      <c r="A4" s="5" t="s">
        <v>84</v>
      </c>
      <c r="B4" s="7" t="s">
        <v>83</v>
      </c>
      <c r="C4" s="6">
        <v>-14.341526999999999</v>
      </c>
      <c r="D4" s="6">
        <v>13.562905000000001</v>
      </c>
      <c r="E4" s="38"/>
    </row>
    <row r="5" spans="1:5" x14ac:dyDescent="0.3">
      <c r="A5" s="21" t="s">
        <v>63</v>
      </c>
      <c r="B5" s="22" t="s">
        <v>54</v>
      </c>
      <c r="C5" s="8">
        <v>1.497765</v>
      </c>
      <c r="D5" s="8">
        <v>18.450420999999999</v>
      </c>
      <c r="E5" s="38"/>
    </row>
    <row r="6" spans="1:5" x14ac:dyDescent="0.3">
      <c r="A6" s="5" t="s">
        <v>26</v>
      </c>
      <c r="B6" s="7" t="s">
        <v>21</v>
      </c>
      <c r="C6" s="6">
        <v>110.770422</v>
      </c>
      <c r="D6" s="6">
        <v>-59.932121000000002</v>
      </c>
      <c r="E6" s="38"/>
    </row>
    <row r="7" spans="1:5" x14ac:dyDescent="0.3">
      <c r="A7" s="21" t="s">
        <v>85</v>
      </c>
      <c r="B7" s="22" t="s">
        <v>57</v>
      </c>
      <c r="C7" s="8">
        <v>0.72329035990000023</v>
      </c>
      <c r="D7" s="8">
        <v>0.76817439239999996</v>
      </c>
      <c r="E7" s="38"/>
    </row>
    <row r="8" spans="1:5" x14ac:dyDescent="0.3">
      <c r="A8" s="5" t="s">
        <v>244</v>
      </c>
      <c r="B8" s="7" t="s">
        <v>108</v>
      </c>
      <c r="C8" s="6">
        <v>-4.5453130000000002</v>
      </c>
      <c r="D8" s="6">
        <v>6.9281069999999998</v>
      </c>
      <c r="E8" s="38"/>
    </row>
    <row r="9" spans="1:5" x14ac:dyDescent="0.3">
      <c r="A9" s="21" t="s">
        <v>79</v>
      </c>
      <c r="B9" s="22" t="s">
        <v>78</v>
      </c>
      <c r="C9" s="8">
        <v>7.700531999999999</v>
      </c>
      <c r="D9" s="8">
        <v>9.3659189999999999</v>
      </c>
      <c r="E9" s="38"/>
    </row>
    <row r="10" spans="1:5" x14ac:dyDescent="0.3">
      <c r="A10" s="5" t="s">
        <v>36</v>
      </c>
      <c r="B10" s="7" t="s">
        <v>35</v>
      </c>
      <c r="C10" s="6">
        <v>9.5747820000000008</v>
      </c>
      <c r="D10" s="6">
        <v>-0.14415900000000001</v>
      </c>
      <c r="E10" s="38"/>
    </row>
    <row r="11" spans="1:5" x14ac:dyDescent="0.3">
      <c r="A11" s="21" t="s">
        <v>64</v>
      </c>
      <c r="B11" s="22" t="s">
        <v>55</v>
      </c>
      <c r="C11" s="8">
        <v>18.6980325593</v>
      </c>
      <c r="D11" s="8">
        <v>-6.9134251384000009</v>
      </c>
      <c r="E11" s="38"/>
    </row>
    <row r="12" spans="1:5" x14ac:dyDescent="0.3">
      <c r="A12" s="5" t="s">
        <v>50</v>
      </c>
      <c r="B12" s="7" t="s">
        <v>48</v>
      </c>
      <c r="C12" s="6">
        <v>6.3825750000000001</v>
      </c>
      <c r="D12" s="6">
        <v>-4.6130170000000001</v>
      </c>
      <c r="E12" s="38"/>
    </row>
    <row r="13" spans="1:5" x14ac:dyDescent="0.3">
      <c r="A13" s="21" t="s">
        <v>62</v>
      </c>
      <c r="B13" s="22" t="s">
        <v>52</v>
      </c>
      <c r="C13" s="8">
        <v>-12.85342596350001</v>
      </c>
      <c r="D13" s="8">
        <v>3.8787531199999998</v>
      </c>
      <c r="E13" s="38"/>
    </row>
    <row r="14" spans="1:5" x14ac:dyDescent="0.3">
      <c r="A14" s="5" t="s">
        <v>148</v>
      </c>
      <c r="B14" s="7" t="s">
        <v>32</v>
      </c>
      <c r="C14" s="6">
        <v>-7.231039</v>
      </c>
      <c r="D14" s="6">
        <v>11.133808</v>
      </c>
      <c r="E14" s="38"/>
    </row>
    <row r="15" spans="1:5" x14ac:dyDescent="0.3">
      <c r="A15" s="21" t="s">
        <v>75</v>
      </c>
      <c r="B15" s="22" t="s">
        <v>74</v>
      </c>
      <c r="C15" s="8">
        <v>-1.4316610000000001</v>
      </c>
      <c r="D15" s="8">
        <v>4.2580349999999996</v>
      </c>
      <c r="E15" s="38"/>
    </row>
    <row r="16" spans="1:5" x14ac:dyDescent="0.3">
      <c r="A16" s="5" t="s">
        <v>40</v>
      </c>
      <c r="B16" s="7" t="s">
        <v>38</v>
      </c>
      <c r="C16" s="6">
        <v>2.2317089999999999</v>
      </c>
      <c r="D16" s="6">
        <v>13.217632999999999</v>
      </c>
      <c r="E16" s="38"/>
    </row>
    <row r="17" spans="1:5" x14ac:dyDescent="0.3">
      <c r="A17" s="21" t="s">
        <v>253</v>
      </c>
      <c r="B17" s="22" t="s">
        <v>58</v>
      </c>
      <c r="C17" s="8">
        <v>-8.0581340000000008</v>
      </c>
      <c r="D17" s="8">
        <v>6.9717260000000003</v>
      </c>
      <c r="E17" s="38"/>
    </row>
    <row r="18" spans="1:5" x14ac:dyDescent="0.3">
      <c r="A18" s="5" t="s">
        <v>27</v>
      </c>
      <c r="B18" s="7" t="s">
        <v>22</v>
      </c>
      <c r="C18" s="6">
        <v>-5.6369790000000002</v>
      </c>
      <c r="D18" s="6">
        <v>6.601286</v>
      </c>
      <c r="E18" s="38"/>
    </row>
    <row r="19" spans="1:5" x14ac:dyDescent="0.3">
      <c r="A19" s="21" t="s">
        <v>34</v>
      </c>
      <c r="B19" s="22" t="s">
        <v>30</v>
      </c>
      <c r="C19" s="8">
        <v>-1.3343339999999999</v>
      </c>
      <c r="D19" s="8">
        <v>9.8075650000000003</v>
      </c>
      <c r="E19" s="38"/>
    </row>
    <row r="20" spans="1:5" x14ac:dyDescent="0.3">
      <c r="A20" s="5" t="s">
        <v>142</v>
      </c>
      <c r="B20" s="7" t="s">
        <v>249</v>
      </c>
      <c r="C20" s="6">
        <v>16.117495999999999</v>
      </c>
      <c r="D20" s="6">
        <v>-22.059308000000001</v>
      </c>
      <c r="E20" s="38"/>
    </row>
    <row r="21" spans="1:5" x14ac:dyDescent="0.3">
      <c r="A21" s="21" t="s">
        <v>45</v>
      </c>
      <c r="B21" s="22" t="s">
        <v>42</v>
      </c>
      <c r="C21" s="8">
        <v>10.330219</v>
      </c>
      <c r="D21" s="8">
        <v>-7.8078479999999999</v>
      </c>
      <c r="E21" s="38"/>
    </row>
    <row r="22" spans="1:5" x14ac:dyDescent="0.3">
      <c r="A22" s="5" t="s">
        <v>33</v>
      </c>
      <c r="B22" s="7" t="s">
        <v>31</v>
      </c>
      <c r="C22" s="6">
        <v>-6.7531429999999997</v>
      </c>
      <c r="D22" s="6">
        <v>21.017223000000001</v>
      </c>
      <c r="E22" s="38"/>
    </row>
    <row r="23" spans="1:5" x14ac:dyDescent="0.3">
      <c r="A23" s="21" t="s">
        <v>29</v>
      </c>
      <c r="B23" s="22" t="s">
        <v>24</v>
      </c>
      <c r="C23" s="8">
        <v>10.341678</v>
      </c>
      <c r="D23" s="8">
        <v>-12.000182000000001</v>
      </c>
      <c r="E23" s="38"/>
    </row>
    <row r="24" spans="1:5" x14ac:dyDescent="0.3">
      <c r="A24" s="5" t="s">
        <v>39</v>
      </c>
      <c r="B24" s="7" t="s">
        <v>37</v>
      </c>
      <c r="C24" s="6">
        <v>6.4584630000000001</v>
      </c>
      <c r="D24" s="6">
        <v>-0.95968600000000004</v>
      </c>
      <c r="E24" s="38"/>
    </row>
    <row r="25" spans="1:5" x14ac:dyDescent="0.3">
      <c r="A25" s="21" t="s">
        <v>49</v>
      </c>
      <c r="B25" s="22" t="s">
        <v>47</v>
      </c>
      <c r="C25" s="8">
        <v>-68.100180199999997</v>
      </c>
      <c r="D25" s="8">
        <v>6.5507849</v>
      </c>
      <c r="E25" s="38"/>
    </row>
    <row r="26" spans="1:5" x14ac:dyDescent="0.3">
      <c r="A26" s="5" t="s">
        <v>60</v>
      </c>
      <c r="B26" s="7" t="s">
        <v>51</v>
      </c>
      <c r="C26" s="6">
        <v>5.8335264999999996</v>
      </c>
      <c r="D26" s="6">
        <v>6.4856635000000002</v>
      </c>
      <c r="E26" s="38"/>
    </row>
    <row r="27" spans="1:5" x14ac:dyDescent="0.3">
      <c r="A27" s="21" t="s">
        <v>28</v>
      </c>
      <c r="B27" s="22" t="s">
        <v>23</v>
      </c>
      <c r="C27" s="8">
        <v>0.42833599999999999</v>
      </c>
      <c r="D27" s="8">
        <v>2.6917650000000002</v>
      </c>
      <c r="E27" s="38"/>
    </row>
    <row r="28" spans="1:5" x14ac:dyDescent="0.3">
      <c r="A28" s="5" t="s">
        <v>65</v>
      </c>
      <c r="B28" s="7" t="s">
        <v>59</v>
      </c>
      <c r="C28" s="6">
        <v>-0.74483100000000002</v>
      </c>
      <c r="D28" s="6">
        <v>6.0949809999999998</v>
      </c>
      <c r="E28" s="38"/>
    </row>
    <row r="29" spans="1:5" x14ac:dyDescent="0.3">
      <c r="A29" s="21" t="s">
        <v>46</v>
      </c>
      <c r="B29" s="22" t="s">
        <v>43</v>
      </c>
      <c r="C29" s="8">
        <v>-7.6389120000000004</v>
      </c>
      <c r="D29" s="8">
        <v>9.7090370000000004</v>
      </c>
      <c r="E29" s="38"/>
    </row>
    <row r="30" spans="1:5" x14ac:dyDescent="0.3">
      <c r="A30" s="5" t="s">
        <v>44</v>
      </c>
      <c r="B30" s="7" t="s">
        <v>41</v>
      </c>
      <c r="C30" s="6">
        <v>17.697261000000001</v>
      </c>
      <c r="D30" s="6">
        <v>-2.8510270000000002</v>
      </c>
      <c r="E30" s="38"/>
    </row>
    <row r="31" spans="1:5" ht="15" thickBot="1" x14ac:dyDescent="0.35">
      <c r="A31" s="21" t="s">
        <v>61</v>
      </c>
      <c r="B31" s="22" t="s">
        <v>53</v>
      </c>
      <c r="C31" s="8">
        <v>-34.038299000000002</v>
      </c>
      <c r="D31" s="8">
        <v>1.573129</v>
      </c>
      <c r="E31" s="38"/>
    </row>
    <row r="32" spans="1:5" ht="21" customHeight="1" thickBot="1" x14ac:dyDescent="0.35">
      <c r="A32" s="90" t="s">
        <v>66</v>
      </c>
      <c r="B32" s="91"/>
      <c r="C32" s="58">
        <f>SUM(C2:C31)</f>
        <v>21.316503755700005</v>
      </c>
      <c r="D32" s="59">
        <f>SUM(D2:D31)</f>
        <v>71.338160273999989</v>
      </c>
    </row>
    <row r="34" spans="1:5" x14ac:dyDescent="0.3">
      <c r="A34" s="11" t="s">
        <v>67</v>
      </c>
      <c r="B34" s="48"/>
      <c r="C34" s="48"/>
      <c r="D34" s="48"/>
      <c r="E34" s="48"/>
    </row>
    <row r="35" spans="1:5" x14ac:dyDescent="0.3">
      <c r="A35" s="11" t="s">
        <v>80</v>
      </c>
    </row>
    <row r="36" spans="1:5" x14ac:dyDescent="0.3">
      <c r="A36" s="11" t="s">
        <v>81</v>
      </c>
    </row>
    <row r="37" spans="1:5" x14ac:dyDescent="0.3">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4.4" x14ac:dyDescent="0.3"/>
  <cols>
    <col min="1" max="1" width="51.5546875" customWidth="1"/>
    <col min="2" max="2" width="8.5546875" customWidth="1"/>
    <col min="3" max="3" width="23" customWidth="1"/>
    <col min="4" max="4" width="24.44140625" customWidth="1"/>
    <col min="5" max="5" width="25" customWidth="1"/>
    <col min="6" max="6" width="31.5546875" bestFit="1" customWidth="1"/>
    <col min="7" max="7" width="14" customWidth="1"/>
    <col min="8" max="8" width="19.5546875" customWidth="1"/>
    <col min="9" max="9" width="27.44140625" customWidth="1"/>
    <col min="10" max="10" width="23.5546875" customWidth="1"/>
    <col min="11" max="11" width="20.5546875" customWidth="1"/>
    <col min="12" max="13" width="16.5546875"/>
  </cols>
  <sheetData>
    <row r="1" spans="1:17" ht="41.4" x14ac:dyDescent="0.3">
      <c r="A1" s="32" t="str">
        <f>CONCATENATE("100 Most Traded Stocks YTD - ",'Weekly Top 10'!$C$5)</f>
        <v>100 Most Traded Stocks YTD - Week of 7 October 2024</v>
      </c>
      <c r="B1" s="16" t="s">
        <v>1</v>
      </c>
      <c r="C1" s="47" t="s">
        <v>98</v>
      </c>
      <c r="D1" s="17" t="s">
        <v>97</v>
      </c>
      <c r="E1" s="17" t="s">
        <v>99</v>
      </c>
      <c r="F1" s="17" t="s">
        <v>100</v>
      </c>
      <c r="G1" s="52"/>
      <c r="H1" s="78"/>
      <c r="I1" s="78"/>
      <c r="J1" s="78"/>
      <c r="L1" s="78"/>
      <c r="M1" s="78"/>
    </row>
    <row r="2" spans="1:17" x14ac:dyDescent="0.3">
      <c r="A2" s="18" t="s">
        <v>26</v>
      </c>
      <c r="B2" s="19" t="s">
        <v>21</v>
      </c>
      <c r="C2" s="53">
        <v>158.0772152270051</v>
      </c>
      <c r="D2" s="53">
        <v>80.473686300000011</v>
      </c>
      <c r="E2" s="53">
        <v>110.770422</v>
      </c>
      <c r="F2" s="20" t="s">
        <v>13</v>
      </c>
      <c r="G2" s="52"/>
      <c r="O2" s="73"/>
      <c r="P2" s="73"/>
      <c r="Q2" s="73"/>
    </row>
    <row r="3" spans="1:17" x14ac:dyDescent="0.3">
      <c r="A3" s="21" t="s">
        <v>49</v>
      </c>
      <c r="B3" s="22" t="s">
        <v>47</v>
      </c>
      <c r="C3" s="54">
        <v>96.23365243587817</v>
      </c>
      <c r="D3" s="54">
        <v>769.32158160000006</v>
      </c>
      <c r="E3" s="54">
        <v>-68.100180199999997</v>
      </c>
      <c r="F3" s="8" t="s">
        <v>157</v>
      </c>
      <c r="G3" s="52"/>
      <c r="O3" s="73"/>
      <c r="P3" s="73"/>
      <c r="Q3" s="73"/>
    </row>
    <row r="4" spans="1:17" x14ac:dyDescent="0.3">
      <c r="A4" s="5" t="s">
        <v>28</v>
      </c>
      <c r="B4" s="7" t="s">
        <v>23</v>
      </c>
      <c r="C4" s="55">
        <v>83.933943987822346</v>
      </c>
      <c r="D4" s="55">
        <v>498.50019079999998</v>
      </c>
      <c r="E4" s="55">
        <v>0.42833599999999999</v>
      </c>
      <c r="F4" s="6" t="s">
        <v>13</v>
      </c>
      <c r="G4" s="52"/>
      <c r="O4" s="73"/>
      <c r="P4" s="73"/>
      <c r="Q4" s="73"/>
    </row>
    <row r="5" spans="1:17" x14ac:dyDescent="0.3">
      <c r="A5" s="21" t="s">
        <v>161</v>
      </c>
      <c r="B5" s="22" t="s">
        <v>22</v>
      </c>
      <c r="C5" s="54">
        <v>78.789143991253809</v>
      </c>
      <c r="D5" s="54">
        <v>244.10019309999998</v>
      </c>
      <c r="E5" s="54">
        <v>-5.636979000000002</v>
      </c>
      <c r="F5" s="8" t="s">
        <v>13</v>
      </c>
      <c r="G5" s="52"/>
      <c r="O5" s="73"/>
      <c r="P5" s="73"/>
      <c r="Q5" s="73"/>
    </row>
    <row r="6" spans="1:17" x14ac:dyDescent="0.3">
      <c r="A6" s="5" t="s">
        <v>275</v>
      </c>
      <c r="B6" s="7" t="s">
        <v>249</v>
      </c>
      <c r="C6" s="55">
        <v>60.833949573225233</v>
      </c>
      <c r="D6" s="55">
        <v>-97.641363999999996</v>
      </c>
      <c r="E6" s="55">
        <v>16.117495999999999</v>
      </c>
      <c r="F6" s="6" t="s">
        <v>14</v>
      </c>
      <c r="G6" s="52"/>
      <c r="O6" s="73"/>
      <c r="P6" s="73"/>
      <c r="Q6" s="73"/>
    </row>
    <row r="7" spans="1:17" x14ac:dyDescent="0.3">
      <c r="A7" s="21" t="s">
        <v>162</v>
      </c>
      <c r="B7" s="22" t="s">
        <v>56</v>
      </c>
      <c r="C7" s="54">
        <v>49.528541578832495</v>
      </c>
      <c r="D7" s="54">
        <v>-38.086817000000003</v>
      </c>
      <c r="E7" s="54">
        <v>-11.616441</v>
      </c>
      <c r="F7" s="8" t="s">
        <v>17</v>
      </c>
      <c r="G7" s="52"/>
      <c r="O7" s="73"/>
      <c r="P7" s="73"/>
      <c r="Q7" s="73"/>
    </row>
    <row r="8" spans="1:17" x14ac:dyDescent="0.3">
      <c r="A8" s="5" t="s">
        <v>164</v>
      </c>
      <c r="B8" s="7" t="s">
        <v>53</v>
      </c>
      <c r="C8" s="55">
        <v>47.175233893695435</v>
      </c>
      <c r="D8" s="55">
        <v>-16.700257199999999</v>
      </c>
      <c r="E8" s="55">
        <v>-34.038299000000002</v>
      </c>
      <c r="F8" s="6" t="s">
        <v>14</v>
      </c>
      <c r="G8" s="52"/>
      <c r="O8" s="73"/>
      <c r="P8" s="73"/>
      <c r="Q8" s="73"/>
    </row>
    <row r="9" spans="1:17" x14ac:dyDescent="0.3">
      <c r="A9" s="21" t="s">
        <v>33</v>
      </c>
      <c r="B9" s="22" t="s">
        <v>31</v>
      </c>
      <c r="C9" s="54">
        <v>37.951274665736044</v>
      </c>
      <c r="D9" s="54">
        <v>-511.20055400000001</v>
      </c>
      <c r="E9" s="54">
        <v>-6.7531429999999997</v>
      </c>
      <c r="F9" s="8" t="s">
        <v>14</v>
      </c>
      <c r="G9" s="52"/>
      <c r="O9" s="73"/>
      <c r="P9" s="73"/>
      <c r="Q9" s="73"/>
    </row>
    <row r="10" spans="1:17" x14ac:dyDescent="0.3">
      <c r="A10" s="5" t="s">
        <v>163</v>
      </c>
      <c r="B10" s="7" t="s">
        <v>25</v>
      </c>
      <c r="C10" s="55">
        <v>34.829069719644671</v>
      </c>
      <c r="D10" s="55">
        <v>-168.76405550000001</v>
      </c>
      <c r="E10" s="55">
        <v>-19.145364499999999</v>
      </c>
      <c r="F10" s="6" t="s">
        <v>17</v>
      </c>
      <c r="G10" s="52"/>
      <c r="O10" s="73"/>
      <c r="P10" s="73"/>
      <c r="Q10" s="73"/>
    </row>
    <row r="11" spans="1:17" x14ac:dyDescent="0.3">
      <c r="A11" s="21" t="s">
        <v>166</v>
      </c>
      <c r="B11" s="22" t="s">
        <v>38</v>
      </c>
      <c r="C11" s="54">
        <v>33.463371274416247</v>
      </c>
      <c r="D11" s="54">
        <v>-215.26477700000001</v>
      </c>
      <c r="E11" s="54">
        <v>2.2317089999999999</v>
      </c>
      <c r="F11" s="8" t="s">
        <v>17</v>
      </c>
      <c r="G11" s="52"/>
      <c r="O11" s="73"/>
      <c r="P11" s="73"/>
      <c r="Q11" s="73"/>
    </row>
    <row r="12" spans="1:17" x14ac:dyDescent="0.3">
      <c r="A12" s="5" t="s">
        <v>165</v>
      </c>
      <c r="B12" s="7" t="s">
        <v>83</v>
      </c>
      <c r="C12" s="55">
        <v>27.93046364771066</v>
      </c>
      <c r="D12" s="55">
        <v>-80.985342000000003</v>
      </c>
      <c r="E12" s="55">
        <v>-14.341526999999999</v>
      </c>
      <c r="F12" s="6" t="s">
        <v>13</v>
      </c>
      <c r="G12" s="52"/>
      <c r="O12" s="73"/>
      <c r="P12" s="73"/>
      <c r="Q12" s="73"/>
    </row>
    <row r="13" spans="1:17" x14ac:dyDescent="0.3">
      <c r="A13" s="21" t="s">
        <v>167</v>
      </c>
      <c r="B13" s="22" t="s">
        <v>35</v>
      </c>
      <c r="C13" s="54">
        <v>26.421285371685283</v>
      </c>
      <c r="D13" s="54">
        <v>-138.34758099999999</v>
      </c>
      <c r="E13" s="54">
        <v>9.5747820000000008</v>
      </c>
      <c r="F13" s="8" t="s">
        <v>10</v>
      </c>
      <c r="G13" s="52"/>
      <c r="O13" s="73"/>
      <c r="P13" s="73"/>
      <c r="Q13" s="73"/>
    </row>
    <row r="14" spans="1:17" x14ac:dyDescent="0.3">
      <c r="A14" s="5" t="s">
        <v>148</v>
      </c>
      <c r="B14" s="7" t="s">
        <v>32</v>
      </c>
      <c r="C14" s="55">
        <v>24.877901477517767</v>
      </c>
      <c r="D14" s="55">
        <v>-13.685724</v>
      </c>
      <c r="E14" s="55">
        <v>-7.231039</v>
      </c>
      <c r="F14" s="6" t="s">
        <v>14</v>
      </c>
      <c r="G14" s="52"/>
      <c r="O14" s="73"/>
      <c r="P14" s="73"/>
      <c r="Q14" s="73"/>
    </row>
    <row r="15" spans="1:17" x14ac:dyDescent="0.3">
      <c r="A15" s="21" t="s">
        <v>173</v>
      </c>
      <c r="B15" s="22" t="s">
        <v>58</v>
      </c>
      <c r="C15" s="54">
        <v>23.151452692791878</v>
      </c>
      <c r="D15" s="54">
        <v>-71.537664000000007</v>
      </c>
      <c r="E15" s="54">
        <v>-8.0581340000000008</v>
      </c>
      <c r="F15" s="8" t="s">
        <v>17</v>
      </c>
      <c r="G15" s="52"/>
      <c r="O15" s="73"/>
      <c r="P15" s="73"/>
      <c r="Q15" s="73"/>
    </row>
    <row r="16" spans="1:17" x14ac:dyDescent="0.3">
      <c r="A16" s="5" t="s">
        <v>29</v>
      </c>
      <c r="B16" s="7" t="s">
        <v>24</v>
      </c>
      <c r="C16" s="55">
        <v>21.06754890335025</v>
      </c>
      <c r="D16" s="55">
        <v>248.19079199999999</v>
      </c>
      <c r="E16" s="55">
        <v>10.341678</v>
      </c>
      <c r="F16" s="6" t="s">
        <v>13</v>
      </c>
      <c r="G16" s="52"/>
      <c r="O16" s="73"/>
      <c r="P16" s="73"/>
      <c r="Q16" s="73"/>
    </row>
    <row r="17" spans="1:17" x14ac:dyDescent="0.3">
      <c r="A17" s="21" t="s">
        <v>175</v>
      </c>
      <c r="B17" s="22" t="s">
        <v>48</v>
      </c>
      <c r="C17" s="54">
        <v>18.847413292436553</v>
      </c>
      <c r="D17" s="54">
        <v>-43.909193000000002</v>
      </c>
      <c r="E17" s="54">
        <v>6.3825750000000001</v>
      </c>
      <c r="F17" s="8" t="s">
        <v>10</v>
      </c>
      <c r="G17" s="52"/>
      <c r="O17" s="73"/>
      <c r="P17" s="73"/>
      <c r="Q17" s="73"/>
    </row>
    <row r="18" spans="1:17" x14ac:dyDescent="0.3">
      <c r="A18" s="5" t="s">
        <v>39</v>
      </c>
      <c r="B18" s="7" t="s">
        <v>37</v>
      </c>
      <c r="C18" s="55">
        <v>18.356272810314717</v>
      </c>
      <c r="D18" s="55">
        <v>206.06792300000001</v>
      </c>
      <c r="E18" s="55">
        <v>6.4584630000000001</v>
      </c>
      <c r="F18" s="6" t="s">
        <v>14</v>
      </c>
      <c r="G18" s="52"/>
      <c r="O18" s="73"/>
      <c r="P18" s="73"/>
      <c r="Q18" s="73"/>
    </row>
    <row r="19" spans="1:17" x14ac:dyDescent="0.3">
      <c r="A19" s="21" t="s">
        <v>171</v>
      </c>
      <c r="B19" s="22" t="s">
        <v>42</v>
      </c>
      <c r="C19" s="54">
        <v>17.736789485532999</v>
      </c>
      <c r="D19" s="54">
        <v>65.863053199999996</v>
      </c>
      <c r="E19" s="54">
        <v>10.330219</v>
      </c>
      <c r="F19" s="8" t="s">
        <v>19</v>
      </c>
      <c r="G19" s="52"/>
      <c r="O19" s="73"/>
      <c r="P19" s="73"/>
      <c r="Q19" s="73"/>
    </row>
    <row r="20" spans="1:17" x14ac:dyDescent="0.3">
      <c r="A20" s="5" t="s">
        <v>170</v>
      </c>
      <c r="B20" s="7" t="s">
        <v>41</v>
      </c>
      <c r="C20" s="55">
        <v>17.045332196451781</v>
      </c>
      <c r="D20" s="55">
        <v>-60.544767999999998</v>
      </c>
      <c r="E20" s="55">
        <v>17.697261000000001</v>
      </c>
      <c r="F20" s="6" t="s">
        <v>11</v>
      </c>
      <c r="G20" s="52"/>
      <c r="O20" s="73"/>
      <c r="P20" s="73"/>
      <c r="Q20" s="73"/>
    </row>
    <row r="21" spans="1:17" x14ac:dyDescent="0.3">
      <c r="A21" s="21" t="s">
        <v>177</v>
      </c>
      <c r="B21" s="22" t="s">
        <v>54</v>
      </c>
      <c r="C21" s="54">
        <v>16.456222324873099</v>
      </c>
      <c r="D21" s="54">
        <v>-238.80005159999999</v>
      </c>
      <c r="E21" s="54">
        <v>1.497765</v>
      </c>
      <c r="F21" s="8" t="s">
        <v>16</v>
      </c>
      <c r="G21" s="52"/>
      <c r="O21" s="73"/>
      <c r="P21" s="73"/>
      <c r="Q21" s="73"/>
    </row>
    <row r="22" spans="1:17" x14ac:dyDescent="0.3">
      <c r="A22" s="5" t="s">
        <v>174</v>
      </c>
      <c r="B22" s="7" t="s">
        <v>51</v>
      </c>
      <c r="C22" s="55">
        <v>16.163678914720808</v>
      </c>
      <c r="D22" s="55">
        <v>50.699001500000008</v>
      </c>
      <c r="E22" s="55">
        <v>5.8335264999999996</v>
      </c>
      <c r="F22" s="6" t="s">
        <v>11</v>
      </c>
      <c r="G22" s="52"/>
      <c r="O22" s="73"/>
      <c r="P22" s="73"/>
      <c r="Q22" s="73"/>
    </row>
    <row r="23" spans="1:17" x14ac:dyDescent="0.3">
      <c r="A23" s="21" t="s">
        <v>34</v>
      </c>
      <c r="B23" s="22" t="s">
        <v>30</v>
      </c>
      <c r="C23" s="54">
        <v>15.49717796497462</v>
      </c>
      <c r="D23" s="54">
        <v>167.777343</v>
      </c>
      <c r="E23" s="54">
        <v>-1.3343339999999999</v>
      </c>
      <c r="F23" s="8" t="s">
        <v>14</v>
      </c>
      <c r="G23" s="52"/>
      <c r="O23" s="73"/>
      <c r="P23" s="73"/>
      <c r="Q23" s="73"/>
    </row>
    <row r="24" spans="1:17" x14ac:dyDescent="0.3">
      <c r="A24" s="5" t="s">
        <v>169</v>
      </c>
      <c r="B24" s="7" t="s">
        <v>52</v>
      </c>
      <c r="C24" s="55">
        <v>14.428146059976081</v>
      </c>
      <c r="D24" s="55">
        <v>-4.4661504293500069</v>
      </c>
      <c r="E24" s="55">
        <v>-12.853425963500001</v>
      </c>
      <c r="F24" s="6" t="s">
        <v>14</v>
      </c>
      <c r="G24" s="52"/>
      <c r="O24" s="73"/>
      <c r="P24" s="73"/>
      <c r="Q24" s="73"/>
    </row>
    <row r="25" spans="1:17" x14ac:dyDescent="0.3">
      <c r="A25" s="21" t="s">
        <v>172</v>
      </c>
      <c r="B25" s="22" t="s">
        <v>74</v>
      </c>
      <c r="C25" s="54">
        <v>14.164798908832491</v>
      </c>
      <c r="D25" s="54">
        <v>-79.876124000000004</v>
      </c>
      <c r="E25" s="54">
        <v>-1.4316610000000001</v>
      </c>
      <c r="F25" s="8" t="s">
        <v>17</v>
      </c>
      <c r="G25" s="52"/>
      <c r="O25" s="73"/>
      <c r="P25" s="73"/>
      <c r="Q25" s="73"/>
    </row>
    <row r="26" spans="1:17" x14ac:dyDescent="0.3">
      <c r="A26" s="5" t="s">
        <v>181</v>
      </c>
      <c r="B26" s="7" t="s">
        <v>78</v>
      </c>
      <c r="C26" s="55">
        <v>13.145084197766499</v>
      </c>
      <c r="D26" s="55">
        <v>-70.58229</v>
      </c>
      <c r="E26" s="55">
        <v>7.7005319999999982</v>
      </c>
      <c r="F26" s="6" t="s">
        <v>17</v>
      </c>
      <c r="G26" s="52"/>
      <c r="O26" s="73"/>
      <c r="P26" s="73"/>
      <c r="Q26" s="73"/>
    </row>
    <row r="27" spans="1:17" x14ac:dyDescent="0.3">
      <c r="A27" s="21" t="s">
        <v>168</v>
      </c>
      <c r="B27" s="22" t="s">
        <v>76</v>
      </c>
      <c r="C27" s="54">
        <v>11.09463214903553</v>
      </c>
      <c r="D27" s="54">
        <v>-4.1790330000000013</v>
      </c>
      <c r="E27" s="54">
        <v>6.6278930000000011</v>
      </c>
      <c r="F27" s="8" t="s">
        <v>17</v>
      </c>
      <c r="G27" s="52"/>
      <c r="O27" s="73"/>
      <c r="P27" s="73"/>
      <c r="Q27" s="73"/>
    </row>
    <row r="28" spans="1:17" x14ac:dyDescent="0.3">
      <c r="A28" s="5" t="s">
        <v>176</v>
      </c>
      <c r="B28" s="7" t="s">
        <v>59</v>
      </c>
      <c r="C28" s="55">
        <v>10.7797230764467</v>
      </c>
      <c r="D28" s="55">
        <v>-117.524404</v>
      </c>
      <c r="E28" s="55">
        <v>-0.74483100000000002</v>
      </c>
      <c r="F28" s="6" t="s">
        <v>16</v>
      </c>
      <c r="G28" s="52"/>
      <c r="O28" s="73"/>
      <c r="P28" s="73"/>
      <c r="Q28" s="73"/>
    </row>
    <row r="29" spans="1:17" x14ac:dyDescent="0.3">
      <c r="A29" s="21" t="s">
        <v>182</v>
      </c>
      <c r="B29" s="22" t="s">
        <v>55</v>
      </c>
      <c r="C29" s="54">
        <v>10.490721231607742</v>
      </c>
      <c r="D29" s="54">
        <v>23.189203872299998</v>
      </c>
      <c r="E29" s="54">
        <v>18.698032559300003</v>
      </c>
      <c r="F29" s="8" t="s">
        <v>16</v>
      </c>
      <c r="G29" s="52"/>
      <c r="O29" s="73"/>
      <c r="P29" s="73"/>
      <c r="Q29" s="73"/>
    </row>
    <row r="30" spans="1:17" x14ac:dyDescent="0.3">
      <c r="A30" s="5" t="s">
        <v>183</v>
      </c>
      <c r="B30" s="7" t="s">
        <v>88</v>
      </c>
      <c r="C30" s="55">
        <v>10.23491449137056</v>
      </c>
      <c r="D30" s="55">
        <v>66.803471000000002</v>
      </c>
      <c r="E30" s="55">
        <v>-3.04373</v>
      </c>
      <c r="F30" s="6" t="s">
        <v>17</v>
      </c>
      <c r="G30" s="52"/>
      <c r="O30" s="73"/>
      <c r="P30" s="73"/>
      <c r="Q30" s="73"/>
    </row>
    <row r="31" spans="1:17" x14ac:dyDescent="0.3">
      <c r="A31" s="21" t="s">
        <v>178</v>
      </c>
      <c r="B31" s="22" t="s">
        <v>43</v>
      </c>
      <c r="C31" s="54">
        <v>10.09405211150254</v>
      </c>
      <c r="D31" s="54">
        <v>68.429979179999989</v>
      </c>
      <c r="E31" s="54">
        <v>-7.6389120000000004</v>
      </c>
      <c r="F31" s="8" t="s">
        <v>158</v>
      </c>
      <c r="G31" s="52"/>
      <c r="O31" s="73"/>
      <c r="P31" s="73"/>
      <c r="Q31" s="73"/>
    </row>
    <row r="32" spans="1:17" x14ac:dyDescent="0.3">
      <c r="A32" s="5" t="s">
        <v>139</v>
      </c>
      <c r="B32" s="7" t="s">
        <v>105</v>
      </c>
      <c r="C32" s="55">
        <v>8.6965563233502543</v>
      </c>
      <c r="D32" s="55">
        <v>96.532713000000001</v>
      </c>
      <c r="E32" s="55">
        <v>-7.4968219999999999</v>
      </c>
      <c r="F32" s="6" t="s">
        <v>14</v>
      </c>
      <c r="G32" s="52"/>
      <c r="O32" s="73"/>
      <c r="P32" s="73"/>
      <c r="Q32" s="73"/>
    </row>
    <row r="33" spans="1:17" x14ac:dyDescent="0.3">
      <c r="A33" s="21" t="s">
        <v>180</v>
      </c>
      <c r="B33" s="22" t="s">
        <v>108</v>
      </c>
      <c r="C33" s="54">
        <v>7.9299006446700506</v>
      </c>
      <c r="D33" s="54">
        <v>-38.487245000000001</v>
      </c>
      <c r="E33" s="54">
        <v>-4.5453129999999993</v>
      </c>
      <c r="F33" s="8" t="s">
        <v>17</v>
      </c>
      <c r="G33" s="52"/>
      <c r="O33" s="73"/>
      <c r="P33" s="73"/>
      <c r="Q33" s="73"/>
    </row>
    <row r="34" spans="1:17" x14ac:dyDescent="0.3">
      <c r="A34" s="5" t="s">
        <v>179</v>
      </c>
      <c r="B34" s="7" t="s">
        <v>101</v>
      </c>
      <c r="C34" s="55">
        <v>6.8352042679796954</v>
      </c>
      <c r="D34" s="55">
        <v>-11.7093399</v>
      </c>
      <c r="E34" s="55">
        <v>2.8416610000000002</v>
      </c>
      <c r="F34" s="6" t="s">
        <v>17</v>
      </c>
      <c r="G34" s="52"/>
      <c r="O34" s="73"/>
      <c r="P34" s="73"/>
      <c r="Q34" s="73"/>
    </row>
    <row r="35" spans="1:17" x14ac:dyDescent="0.3">
      <c r="A35" s="21" t="s">
        <v>186</v>
      </c>
      <c r="B35" s="22" t="s">
        <v>109</v>
      </c>
      <c r="C35" s="54">
        <v>6.0632317954314727</v>
      </c>
      <c r="D35" s="54">
        <v>-5.3258809999999999</v>
      </c>
      <c r="E35" s="54">
        <v>-1.3871260000000001</v>
      </c>
      <c r="F35" s="8" t="s">
        <v>158</v>
      </c>
      <c r="G35" s="52"/>
      <c r="O35" s="73"/>
      <c r="P35" s="73"/>
      <c r="Q35" s="73"/>
    </row>
    <row r="36" spans="1:17" x14ac:dyDescent="0.3">
      <c r="A36" s="5" t="s">
        <v>185</v>
      </c>
      <c r="B36" s="7" t="s">
        <v>91</v>
      </c>
      <c r="C36" s="55">
        <v>5.3534867250000007</v>
      </c>
      <c r="D36" s="55">
        <v>-74.059130999999994</v>
      </c>
      <c r="E36" s="55">
        <v>-0.85624750000000005</v>
      </c>
      <c r="F36" s="6" t="s">
        <v>17</v>
      </c>
      <c r="G36" s="52"/>
      <c r="O36" s="73"/>
      <c r="P36" s="73"/>
      <c r="Q36" s="73"/>
    </row>
    <row r="37" spans="1:17" x14ac:dyDescent="0.3">
      <c r="A37" s="21" t="s">
        <v>187</v>
      </c>
      <c r="B37" s="22" t="s">
        <v>252</v>
      </c>
      <c r="C37" s="54">
        <v>5.2278931126903556</v>
      </c>
      <c r="D37" s="54">
        <v>-51.721924000000001</v>
      </c>
      <c r="E37" s="54">
        <v>-1.6746650000000001</v>
      </c>
      <c r="F37" s="8" t="s">
        <v>158</v>
      </c>
      <c r="G37" s="52"/>
      <c r="O37" s="73"/>
      <c r="P37" s="73"/>
      <c r="Q37" s="73"/>
    </row>
    <row r="38" spans="1:17" x14ac:dyDescent="0.3">
      <c r="A38" s="5" t="s">
        <v>184</v>
      </c>
      <c r="B38" s="7" t="s">
        <v>89</v>
      </c>
      <c r="C38" s="55">
        <v>5.1396314030533006</v>
      </c>
      <c r="D38" s="55">
        <v>-102.71652922400001</v>
      </c>
      <c r="E38" s="55">
        <v>-4.0677779999999997</v>
      </c>
      <c r="F38" s="6" t="s">
        <v>158</v>
      </c>
      <c r="G38" s="52"/>
      <c r="O38" s="73"/>
      <c r="P38" s="73"/>
      <c r="Q38" s="73"/>
    </row>
    <row r="39" spans="1:17" x14ac:dyDescent="0.3">
      <c r="A39" s="21" t="s">
        <v>209</v>
      </c>
      <c r="B39" s="22" t="s">
        <v>128</v>
      </c>
      <c r="C39" s="54">
        <v>4.7535704614213197</v>
      </c>
      <c r="D39" s="54">
        <v>54.3259355</v>
      </c>
      <c r="E39" s="54">
        <v>8.9646074999999996</v>
      </c>
      <c r="F39" s="8" t="s">
        <v>159</v>
      </c>
      <c r="G39" s="52"/>
      <c r="O39" s="73"/>
      <c r="P39" s="73"/>
      <c r="Q39" s="73"/>
    </row>
    <row r="40" spans="1:17" x14ac:dyDescent="0.3">
      <c r="A40" s="5" t="s">
        <v>190</v>
      </c>
      <c r="B40" s="7" t="s">
        <v>123</v>
      </c>
      <c r="C40" s="55">
        <v>3.9775774083756348</v>
      </c>
      <c r="D40" s="55">
        <v>36.589182000000001</v>
      </c>
      <c r="E40" s="55">
        <v>16.533849</v>
      </c>
      <c r="F40" s="6" t="s">
        <v>158</v>
      </c>
      <c r="G40" s="52"/>
      <c r="O40" s="73"/>
      <c r="P40" s="73"/>
      <c r="Q40" s="73"/>
    </row>
    <row r="41" spans="1:17" x14ac:dyDescent="0.3">
      <c r="A41" s="21" t="s">
        <v>204</v>
      </c>
      <c r="B41" s="22" t="s">
        <v>107</v>
      </c>
      <c r="C41" s="54">
        <v>3.6393026829441619</v>
      </c>
      <c r="D41" s="54">
        <v>-48.692569499999998</v>
      </c>
      <c r="E41" s="54">
        <v>3.2609219999999999</v>
      </c>
      <c r="F41" s="8" t="s">
        <v>11</v>
      </c>
      <c r="G41" s="52"/>
      <c r="O41" s="73"/>
      <c r="P41" s="73"/>
      <c r="Q41" s="73"/>
    </row>
    <row r="42" spans="1:17" x14ac:dyDescent="0.3">
      <c r="A42" s="5" t="s">
        <v>193</v>
      </c>
      <c r="B42" s="7" t="s">
        <v>115</v>
      </c>
      <c r="C42" s="55">
        <v>3.5579780753299501</v>
      </c>
      <c r="D42" s="55">
        <v>-15.946080800000001</v>
      </c>
      <c r="E42" s="55">
        <v>-2.7376042999999997</v>
      </c>
      <c r="F42" s="6" t="s">
        <v>157</v>
      </c>
      <c r="G42" s="52"/>
      <c r="O42" s="73"/>
      <c r="P42" s="73"/>
      <c r="Q42" s="73"/>
    </row>
    <row r="43" spans="1:17" x14ac:dyDescent="0.3">
      <c r="A43" s="21" t="s">
        <v>191</v>
      </c>
      <c r="B43" s="22" t="s">
        <v>110</v>
      </c>
      <c r="C43" s="54">
        <v>3.5339171862944161</v>
      </c>
      <c r="D43" s="54">
        <v>-20.009804500000001</v>
      </c>
      <c r="E43" s="54">
        <v>0.240648</v>
      </c>
      <c r="F43" s="8" t="s">
        <v>158</v>
      </c>
      <c r="G43" s="52"/>
      <c r="O43" s="73"/>
      <c r="P43" s="73"/>
      <c r="Q43" s="73"/>
    </row>
    <row r="44" spans="1:17" x14ac:dyDescent="0.3">
      <c r="A44" s="5" t="s">
        <v>192</v>
      </c>
      <c r="B44" s="7" t="s">
        <v>102</v>
      </c>
      <c r="C44" s="55">
        <v>3.314883924060914</v>
      </c>
      <c r="D44" s="55">
        <v>-10.1689875</v>
      </c>
      <c r="E44" s="55">
        <v>-1.8964215</v>
      </c>
      <c r="F44" s="6" t="s">
        <v>17</v>
      </c>
      <c r="G44" s="52"/>
      <c r="O44" s="73"/>
      <c r="P44" s="73"/>
      <c r="Q44" s="73"/>
    </row>
    <row r="45" spans="1:17" x14ac:dyDescent="0.3">
      <c r="A45" s="21" t="s">
        <v>197</v>
      </c>
      <c r="B45" s="22" t="s">
        <v>106</v>
      </c>
      <c r="C45" s="54">
        <v>2.9043242377157359</v>
      </c>
      <c r="D45" s="54">
        <v>-23.379600570000001</v>
      </c>
      <c r="E45" s="54">
        <v>-1.9357275</v>
      </c>
      <c r="F45" s="8" t="s">
        <v>17</v>
      </c>
      <c r="G45" s="52"/>
      <c r="O45" s="73"/>
      <c r="P45" s="73"/>
      <c r="Q45" s="73"/>
    </row>
    <row r="46" spans="1:17" x14ac:dyDescent="0.3">
      <c r="A46" s="5" t="s">
        <v>203</v>
      </c>
      <c r="B46" s="7" t="s">
        <v>103</v>
      </c>
      <c r="C46" s="55">
        <v>2.8260611485786802</v>
      </c>
      <c r="D46" s="55">
        <v>-28.711040000000001</v>
      </c>
      <c r="E46" s="55">
        <v>-8.1767500000000007E-2</v>
      </c>
      <c r="F46" s="6" t="s">
        <v>15</v>
      </c>
      <c r="G46" s="52"/>
      <c r="O46" s="73"/>
      <c r="P46" s="73"/>
      <c r="Q46" s="73"/>
    </row>
    <row r="47" spans="1:17" x14ac:dyDescent="0.3">
      <c r="A47" s="21" t="s">
        <v>189</v>
      </c>
      <c r="B47" s="22" t="s">
        <v>94</v>
      </c>
      <c r="C47" s="54">
        <v>2.7110894263959393</v>
      </c>
      <c r="D47" s="54">
        <v>7.8560515000000004</v>
      </c>
      <c r="E47" s="54">
        <v>-1.33595E-2</v>
      </c>
      <c r="F47" s="8" t="s">
        <v>14</v>
      </c>
      <c r="G47" s="52"/>
      <c r="O47" s="73"/>
      <c r="P47" s="73"/>
      <c r="Q47" s="73"/>
    </row>
    <row r="48" spans="1:17" x14ac:dyDescent="0.3">
      <c r="A48" s="5" t="s">
        <v>213</v>
      </c>
      <c r="B48" s="7" t="s">
        <v>130</v>
      </c>
      <c r="C48" s="55">
        <v>2.7072300838578678</v>
      </c>
      <c r="D48" s="55">
        <v>5.9889599999999996</v>
      </c>
      <c r="E48" s="55">
        <v>0.31226949999999998</v>
      </c>
      <c r="F48" s="6" t="s">
        <v>160</v>
      </c>
      <c r="G48" s="52"/>
      <c r="O48" s="73"/>
      <c r="P48" s="73"/>
      <c r="Q48" s="73"/>
    </row>
    <row r="49" spans="1:17" x14ac:dyDescent="0.3">
      <c r="A49" s="21" t="s">
        <v>194</v>
      </c>
      <c r="B49" s="22" t="s">
        <v>95</v>
      </c>
      <c r="C49" s="54">
        <v>2.5881316576649751</v>
      </c>
      <c r="D49" s="54">
        <v>-51.347661500000001</v>
      </c>
      <c r="E49" s="54">
        <v>-4.7137659999999997</v>
      </c>
      <c r="F49" s="8" t="s">
        <v>17</v>
      </c>
      <c r="G49" s="52"/>
      <c r="O49" s="73"/>
      <c r="P49" s="73"/>
      <c r="Q49" s="73"/>
    </row>
    <row r="50" spans="1:17" x14ac:dyDescent="0.3">
      <c r="A50" s="5" t="s">
        <v>188</v>
      </c>
      <c r="B50" s="7" t="s">
        <v>120</v>
      </c>
      <c r="C50" s="55">
        <v>2.4904490659898482</v>
      </c>
      <c r="D50" s="55">
        <v>0.64017900000000028</v>
      </c>
      <c r="E50" s="55">
        <v>-0.58771050000000002</v>
      </c>
      <c r="F50" s="6" t="s">
        <v>159</v>
      </c>
      <c r="G50" s="52"/>
      <c r="O50" s="73"/>
      <c r="P50" s="73"/>
      <c r="Q50" s="73"/>
    </row>
    <row r="51" spans="1:17" x14ac:dyDescent="0.3">
      <c r="A51" s="21" t="s">
        <v>196</v>
      </c>
      <c r="B51" s="22" t="s">
        <v>117</v>
      </c>
      <c r="C51" s="54">
        <v>2.4620340872233508</v>
      </c>
      <c r="D51" s="54">
        <v>-4.915197</v>
      </c>
      <c r="E51" s="54">
        <v>-0.1236779999999999</v>
      </c>
      <c r="F51" s="8" t="s">
        <v>17</v>
      </c>
      <c r="G51" s="52"/>
      <c r="O51" s="73"/>
      <c r="P51" s="73"/>
      <c r="Q51" s="73"/>
    </row>
    <row r="52" spans="1:17" x14ac:dyDescent="0.3">
      <c r="A52" s="5" t="s">
        <v>205</v>
      </c>
      <c r="B52" s="7" t="s">
        <v>118</v>
      </c>
      <c r="C52" s="55">
        <v>2.413044030575076</v>
      </c>
      <c r="D52" s="55">
        <v>-1.430287717049997</v>
      </c>
      <c r="E52" s="55">
        <v>0.36789116744999989</v>
      </c>
      <c r="F52" s="6" t="s">
        <v>17</v>
      </c>
      <c r="G52" s="52"/>
      <c r="O52" s="73"/>
      <c r="P52" s="73"/>
      <c r="Q52" s="73"/>
    </row>
    <row r="53" spans="1:17" x14ac:dyDescent="0.3">
      <c r="A53" s="21" t="s">
        <v>240</v>
      </c>
      <c r="B53" s="22" t="s">
        <v>151</v>
      </c>
      <c r="C53" s="54">
        <v>2.3574187917461931</v>
      </c>
      <c r="D53" s="54">
        <v>-3.0945155</v>
      </c>
      <c r="E53" s="54">
        <v>-1.3073843999999999</v>
      </c>
      <c r="F53" s="8" t="s">
        <v>16</v>
      </c>
      <c r="G53" s="52"/>
      <c r="O53" s="73"/>
      <c r="P53" s="73"/>
      <c r="Q53" s="73"/>
    </row>
    <row r="54" spans="1:17" x14ac:dyDescent="0.3">
      <c r="A54" s="5" t="s">
        <v>206</v>
      </c>
      <c r="B54" s="7" t="s">
        <v>90</v>
      </c>
      <c r="C54" s="55">
        <v>2.3227675218274109</v>
      </c>
      <c r="D54" s="55">
        <v>-31.015173000000001</v>
      </c>
      <c r="E54" s="55">
        <v>2.4324330000000001</v>
      </c>
      <c r="F54" s="6" t="s">
        <v>11</v>
      </c>
      <c r="G54" s="52"/>
      <c r="O54" s="73"/>
      <c r="P54" s="73"/>
      <c r="Q54" s="73"/>
    </row>
    <row r="55" spans="1:17" x14ac:dyDescent="0.3">
      <c r="A55" s="21" t="s">
        <v>201</v>
      </c>
      <c r="B55" s="22" t="s">
        <v>121</v>
      </c>
      <c r="C55" s="54">
        <v>2.3032586487309641</v>
      </c>
      <c r="D55" s="54">
        <v>-25.222314999999998</v>
      </c>
      <c r="E55" s="54">
        <v>-0.84731800000000002</v>
      </c>
      <c r="F55" s="8" t="s">
        <v>17</v>
      </c>
      <c r="G55" s="52"/>
      <c r="O55" s="73"/>
      <c r="P55" s="73"/>
      <c r="Q55" s="73"/>
    </row>
    <row r="56" spans="1:17" x14ac:dyDescent="0.3">
      <c r="A56" s="5" t="s">
        <v>202</v>
      </c>
      <c r="B56" s="7" t="s">
        <v>57</v>
      </c>
      <c r="C56" s="55">
        <v>2.3007171910674109</v>
      </c>
      <c r="D56" s="55">
        <v>-14.2451137324</v>
      </c>
      <c r="E56" s="55">
        <v>0.72329035990000001</v>
      </c>
      <c r="F56" s="6" t="s">
        <v>11</v>
      </c>
      <c r="G56" s="52"/>
      <c r="O56" s="73"/>
      <c r="P56" s="73"/>
      <c r="Q56" s="73"/>
    </row>
    <row r="57" spans="1:17" x14ac:dyDescent="0.3">
      <c r="A57" s="21" t="s">
        <v>208</v>
      </c>
      <c r="B57" s="22" t="s">
        <v>111</v>
      </c>
      <c r="C57" s="54">
        <v>2.2835893310659898</v>
      </c>
      <c r="D57" s="54">
        <v>27.792884000000001</v>
      </c>
      <c r="E57" s="54">
        <v>0.33814949999999999</v>
      </c>
      <c r="F57" s="8" t="s">
        <v>13</v>
      </c>
      <c r="G57" s="52"/>
      <c r="O57" s="73"/>
      <c r="P57" s="73"/>
      <c r="Q57" s="73"/>
    </row>
    <row r="58" spans="1:17" x14ac:dyDescent="0.3">
      <c r="A58" s="5" t="s">
        <v>224</v>
      </c>
      <c r="B58" s="7" t="s">
        <v>133</v>
      </c>
      <c r="C58" s="55">
        <v>2.1474034177664971</v>
      </c>
      <c r="D58" s="55">
        <v>8.0030610000000006</v>
      </c>
      <c r="E58" s="55">
        <v>3.498129</v>
      </c>
      <c r="F58" s="6" t="s">
        <v>14</v>
      </c>
      <c r="G58" s="52"/>
      <c r="O58" s="73"/>
      <c r="P58" s="73"/>
      <c r="Q58" s="73"/>
    </row>
    <row r="59" spans="1:17" x14ac:dyDescent="0.3">
      <c r="A59" s="21" t="s">
        <v>195</v>
      </c>
      <c r="B59" s="22" t="s">
        <v>104</v>
      </c>
      <c r="C59" s="54">
        <v>1.994198731472081</v>
      </c>
      <c r="D59" s="54">
        <v>-4.0643456000000002</v>
      </c>
      <c r="E59" s="54">
        <v>-8.4533400000000022E-2</v>
      </c>
      <c r="F59" s="8" t="s">
        <v>159</v>
      </c>
      <c r="G59" s="52"/>
      <c r="O59" s="73"/>
      <c r="P59" s="73"/>
      <c r="Q59" s="73"/>
    </row>
    <row r="60" spans="1:17" x14ac:dyDescent="0.3">
      <c r="A60" s="5" t="s">
        <v>214</v>
      </c>
      <c r="B60" s="7" t="s">
        <v>132</v>
      </c>
      <c r="C60" s="55">
        <v>1.954327315177665</v>
      </c>
      <c r="D60" s="55">
        <v>-15.5972805</v>
      </c>
      <c r="E60" s="55">
        <v>-5.7869155000000001</v>
      </c>
      <c r="F60" s="6" t="s">
        <v>16</v>
      </c>
      <c r="G60" s="52"/>
      <c r="O60" s="73"/>
      <c r="P60" s="73"/>
      <c r="Q60" s="73"/>
    </row>
    <row r="61" spans="1:17" x14ac:dyDescent="0.3">
      <c r="A61" s="21" t="s">
        <v>247</v>
      </c>
      <c r="B61" s="22" t="s">
        <v>248</v>
      </c>
      <c r="C61" s="54">
        <v>1.9501697131979701</v>
      </c>
      <c r="D61" s="54">
        <v>55.098126999999998</v>
      </c>
      <c r="E61" s="54">
        <v>0</v>
      </c>
      <c r="F61" s="8" t="s">
        <v>13</v>
      </c>
      <c r="G61" s="52"/>
      <c r="O61" s="73"/>
      <c r="P61" s="73"/>
      <c r="Q61" s="73"/>
    </row>
    <row r="62" spans="1:17" x14ac:dyDescent="0.3">
      <c r="A62" s="5" t="s">
        <v>221</v>
      </c>
      <c r="B62" s="7" t="s">
        <v>113</v>
      </c>
      <c r="C62" s="55">
        <v>1.860054398984772</v>
      </c>
      <c r="D62" s="55">
        <v>-74.884262500000006</v>
      </c>
      <c r="E62" s="55">
        <v>-1.8773999999999999E-2</v>
      </c>
      <c r="F62" s="6" t="s">
        <v>160</v>
      </c>
      <c r="G62" s="52"/>
      <c r="O62" s="73"/>
      <c r="P62" s="73"/>
      <c r="Q62" s="73"/>
    </row>
    <row r="63" spans="1:17" x14ac:dyDescent="0.3">
      <c r="A63" s="21" t="s">
        <v>199</v>
      </c>
      <c r="B63" s="22" t="s">
        <v>119</v>
      </c>
      <c r="C63" s="54">
        <v>1.7561360962436552</v>
      </c>
      <c r="D63" s="54">
        <v>-25.730388000000001</v>
      </c>
      <c r="E63" s="54">
        <v>-0.76519749999999997</v>
      </c>
      <c r="F63" s="8" t="s">
        <v>17</v>
      </c>
      <c r="G63" s="52"/>
      <c r="O63" s="73"/>
      <c r="P63" s="73"/>
      <c r="Q63" s="73"/>
    </row>
    <row r="64" spans="1:17" x14ac:dyDescent="0.3">
      <c r="A64" s="5" t="s">
        <v>222</v>
      </c>
      <c r="B64" s="7" t="s">
        <v>96</v>
      </c>
      <c r="C64" s="55">
        <v>1.7433092497461928</v>
      </c>
      <c r="D64" s="55">
        <v>-3.4391715</v>
      </c>
      <c r="E64" s="55">
        <v>-1.2615639999999999</v>
      </c>
      <c r="F64" s="6" t="s">
        <v>11</v>
      </c>
      <c r="G64" s="52"/>
      <c r="O64" s="73"/>
      <c r="P64" s="73"/>
      <c r="Q64" s="73"/>
    </row>
    <row r="65" spans="1:17" x14ac:dyDescent="0.3">
      <c r="A65" s="21" t="s">
        <v>200</v>
      </c>
      <c r="B65" s="22" t="s">
        <v>116</v>
      </c>
      <c r="C65" s="54">
        <v>1.586011058017005</v>
      </c>
      <c r="D65" s="54">
        <v>-9.8593317737100019</v>
      </c>
      <c r="E65" s="54">
        <v>-1.32711721038</v>
      </c>
      <c r="F65" s="8" t="s">
        <v>10</v>
      </c>
      <c r="G65" s="52"/>
      <c r="O65" s="73"/>
      <c r="P65" s="73"/>
      <c r="Q65" s="73"/>
    </row>
    <row r="66" spans="1:17" x14ac:dyDescent="0.3">
      <c r="A66" s="5" t="s">
        <v>211</v>
      </c>
      <c r="B66" s="7" t="s">
        <v>112</v>
      </c>
      <c r="C66" s="55">
        <v>1.5401458060913711</v>
      </c>
      <c r="D66" s="55">
        <v>4.9446659999999998</v>
      </c>
      <c r="E66" s="55">
        <v>0.27439000000000002</v>
      </c>
      <c r="F66" s="6" t="s">
        <v>11</v>
      </c>
      <c r="G66" s="52"/>
      <c r="O66" s="73"/>
      <c r="P66" s="73"/>
      <c r="Q66" s="73"/>
    </row>
    <row r="67" spans="1:17" x14ac:dyDescent="0.3">
      <c r="A67" s="21" t="s">
        <v>227</v>
      </c>
      <c r="B67" s="22" t="s">
        <v>131</v>
      </c>
      <c r="C67" s="54">
        <v>1.3691373665700002</v>
      </c>
      <c r="D67" s="54">
        <v>-8.8873320416200006</v>
      </c>
      <c r="E67" s="54">
        <v>0.63798964606000008</v>
      </c>
      <c r="F67" s="8" t="s">
        <v>17</v>
      </c>
      <c r="G67" s="52"/>
      <c r="O67" s="73"/>
      <c r="P67" s="73"/>
      <c r="Q67" s="73"/>
    </row>
    <row r="68" spans="1:17" x14ac:dyDescent="0.3">
      <c r="A68" s="5" t="s">
        <v>198</v>
      </c>
      <c r="B68" s="7" t="s">
        <v>149</v>
      </c>
      <c r="C68" s="55">
        <v>1.287238455837564</v>
      </c>
      <c r="D68" s="55">
        <v>-0.21265660000000031</v>
      </c>
      <c r="E68" s="55">
        <v>8.1237199999999996E-2</v>
      </c>
      <c r="F68" s="6" t="s">
        <v>14</v>
      </c>
      <c r="G68" s="52"/>
      <c r="O68" s="73"/>
      <c r="P68" s="73"/>
      <c r="Q68" s="73"/>
    </row>
    <row r="69" spans="1:17" x14ac:dyDescent="0.3">
      <c r="A69" s="21" t="s">
        <v>217</v>
      </c>
      <c r="B69" s="22" t="s">
        <v>127</v>
      </c>
      <c r="C69" s="54">
        <v>1.2301531707614211</v>
      </c>
      <c r="D69" s="54">
        <v>-8.0816850000000002</v>
      </c>
      <c r="E69" s="54">
        <v>-1.1168720000000001</v>
      </c>
      <c r="F69" s="8" t="s">
        <v>17</v>
      </c>
      <c r="G69" s="52"/>
      <c r="O69" s="73"/>
      <c r="P69" s="73"/>
      <c r="Q69" s="73"/>
    </row>
    <row r="70" spans="1:17" x14ac:dyDescent="0.3">
      <c r="A70" s="5" t="s">
        <v>212</v>
      </c>
      <c r="B70" s="7" t="s">
        <v>129</v>
      </c>
      <c r="C70" s="55">
        <v>1.2240842208121832</v>
      </c>
      <c r="D70" s="55">
        <v>9.1008340000000008</v>
      </c>
      <c r="E70" s="55">
        <v>-2.8424670000000001</v>
      </c>
      <c r="F70" s="6" t="s">
        <v>157</v>
      </c>
      <c r="G70" s="52"/>
      <c r="O70" s="73"/>
      <c r="P70" s="73"/>
      <c r="Q70" s="73"/>
    </row>
    <row r="71" spans="1:17" x14ac:dyDescent="0.3">
      <c r="A71" s="21" t="s">
        <v>272</v>
      </c>
      <c r="B71" s="22" t="s">
        <v>273</v>
      </c>
      <c r="C71" s="54">
        <v>1.1755582703045691</v>
      </c>
      <c r="D71" s="54">
        <v>0.57240650000000004</v>
      </c>
      <c r="E71" s="54">
        <v>6.45E-3</v>
      </c>
      <c r="F71" s="8" t="s">
        <v>15</v>
      </c>
      <c r="G71" s="52"/>
      <c r="O71" s="73"/>
      <c r="P71" s="73"/>
      <c r="Q71" s="73"/>
    </row>
    <row r="72" spans="1:17" x14ac:dyDescent="0.3">
      <c r="A72" s="5" t="s">
        <v>223</v>
      </c>
      <c r="B72" s="7" t="s">
        <v>125</v>
      </c>
      <c r="C72" s="55">
        <v>1.1571230888324868</v>
      </c>
      <c r="D72" s="55">
        <v>4.3494545000000002</v>
      </c>
      <c r="E72" s="55">
        <v>-0.29838949999999997</v>
      </c>
      <c r="F72" s="6" t="s">
        <v>160</v>
      </c>
      <c r="G72" s="52"/>
      <c r="O72" s="73"/>
      <c r="P72" s="73"/>
      <c r="Q72" s="73"/>
    </row>
    <row r="73" spans="1:17" x14ac:dyDescent="0.3">
      <c r="A73" s="21" t="s">
        <v>245</v>
      </c>
      <c r="B73" s="22" t="s">
        <v>246</v>
      </c>
      <c r="C73" s="54">
        <v>1.152398406091371</v>
      </c>
      <c r="D73" s="54">
        <v>4.6771394000000006</v>
      </c>
      <c r="E73" s="54">
        <v>-0.25112309999999999</v>
      </c>
      <c r="F73" s="8" t="s">
        <v>159</v>
      </c>
      <c r="G73" s="52"/>
      <c r="O73" s="73"/>
      <c r="P73" s="73"/>
      <c r="Q73" s="73"/>
    </row>
    <row r="74" spans="1:17" x14ac:dyDescent="0.3">
      <c r="A74" s="5" t="s">
        <v>207</v>
      </c>
      <c r="B74" s="7" t="s">
        <v>143</v>
      </c>
      <c r="C74" s="55">
        <v>1.1326757335025379</v>
      </c>
      <c r="D74" s="55">
        <v>0.48131740000000001</v>
      </c>
      <c r="E74" s="55">
        <v>7.347900000000001E-3</v>
      </c>
      <c r="F74" s="6" t="s">
        <v>160</v>
      </c>
      <c r="G74" s="52"/>
      <c r="O74" s="73"/>
      <c r="P74" s="73"/>
      <c r="Q74" s="73"/>
    </row>
    <row r="75" spans="1:17" x14ac:dyDescent="0.3">
      <c r="A75" s="21" t="s">
        <v>219</v>
      </c>
      <c r="B75" s="22" t="s">
        <v>93</v>
      </c>
      <c r="C75" s="54">
        <v>1.117402341615533</v>
      </c>
      <c r="D75" s="54">
        <v>-11.655976756999999</v>
      </c>
      <c r="E75" s="54">
        <v>0.82295014400000011</v>
      </c>
      <c r="F75" s="8" t="s">
        <v>17</v>
      </c>
      <c r="G75" s="52"/>
      <c r="O75" s="73"/>
      <c r="P75" s="73"/>
      <c r="Q75" s="73"/>
    </row>
    <row r="76" spans="1:17" x14ac:dyDescent="0.3">
      <c r="A76" s="5" t="s">
        <v>216</v>
      </c>
      <c r="B76" s="7" t="s">
        <v>92</v>
      </c>
      <c r="C76" s="55">
        <v>1.078115566111066</v>
      </c>
      <c r="D76" s="55">
        <v>-6.5914581788699991</v>
      </c>
      <c r="E76" s="55">
        <v>0.65521495683999997</v>
      </c>
      <c r="F76" s="6" t="s">
        <v>14</v>
      </c>
      <c r="G76" s="52"/>
      <c r="O76" s="73"/>
      <c r="P76" s="73"/>
      <c r="Q76" s="73"/>
    </row>
    <row r="77" spans="1:17" x14ac:dyDescent="0.3">
      <c r="A77" s="21" t="s">
        <v>235</v>
      </c>
      <c r="B77" s="22" t="s">
        <v>147</v>
      </c>
      <c r="C77" s="54">
        <v>1.0714347488578679</v>
      </c>
      <c r="D77" s="54">
        <v>-1.3944780000000001</v>
      </c>
      <c r="E77" s="54">
        <v>-0.4951525</v>
      </c>
      <c r="F77" s="8" t="s">
        <v>158</v>
      </c>
      <c r="G77" s="52"/>
      <c r="O77" s="73"/>
      <c r="P77" s="73"/>
      <c r="Q77" s="73"/>
    </row>
    <row r="78" spans="1:17" x14ac:dyDescent="0.3">
      <c r="A78" s="5" t="s">
        <v>237</v>
      </c>
      <c r="B78" s="7" t="s">
        <v>114</v>
      </c>
      <c r="C78" s="55">
        <v>1.042453802030457</v>
      </c>
      <c r="D78" s="55">
        <v>5.9155179999999987</v>
      </c>
      <c r="E78" s="55">
        <v>0</v>
      </c>
      <c r="F78" s="6" t="s">
        <v>10</v>
      </c>
      <c r="G78" s="52"/>
      <c r="O78" s="73"/>
      <c r="P78" s="73"/>
      <c r="Q78" s="73"/>
    </row>
    <row r="79" spans="1:17" x14ac:dyDescent="0.3">
      <c r="A79" s="21" t="s">
        <v>229</v>
      </c>
      <c r="B79" s="22" t="s">
        <v>126</v>
      </c>
      <c r="C79" s="54">
        <v>1.0348482614213201</v>
      </c>
      <c r="D79" s="54">
        <v>0.47263699999999997</v>
      </c>
      <c r="E79" s="54">
        <v>-0.45095099999999999</v>
      </c>
      <c r="F79" s="8" t="s">
        <v>17</v>
      </c>
      <c r="G79" s="52"/>
      <c r="O79" s="73"/>
      <c r="P79" s="73"/>
      <c r="Q79" s="73"/>
    </row>
    <row r="80" spans="1:17" x14ac:dyDescent="0.3">
      <c r="A80" s="5" t="s">
        <v>261</v>
      </c>
      <c r="B80" s="7" t="s">
        <v>260</v>
      </c>
      <c r="C80" s="55">
        <v>0.9777729670050761</v>
      </c>
      <c r="D80" s="55">
        <v>20.3076215</v>
      </c>
      <c r="E80" s="55">
        <v>2.1243295</v>
      </c>
      <c r="F80" s="6" t="s">
        <v>158</v>
      </c>
      <c r="G80" s="52"/>
      <c r="O80" s="73"/>
      <c r="P80" s="73"/>
      <c r="Q80" s="73"/>
    </row>
    <row r="81" spans="1:17" x14ac:dyDescent="0.3">
      <c r="A81" s="21" t="s">
        <v>220</v>
      </c>
      <c r="B81" s="22" t="s">
        <v>138</v>
      </c>
      <c r="C81" s="54">
        <v>0.91262126246206088</v>
      </c>
      <c r="D81" s="54">
        <v>-1.3311579791200001</v>
      </c>
      <c r="E81" s="54">
        <v>6.8933401799999933E-2</v>
      </c>
      <c r="F81" s="8" t="s">
        <v>17</v>
      </c>
      <c r="G81" s="52"/>
      <c r="O81" s="73"/>
      <c r="P81" s="73"/>
      <c r="Q81" s="73"/>
    </row>
    <row r="82" spans="1:17" x14ac:dyDescent="0.3">
      <c r="A82" s="5" t="s">
        <v>231</v>
      </c>
      <c r="B82" s="7" t="s">
        <v>145</v>
      </c>
      <c r="C82" s="55">
        <v>0.91081849441624363</v>
      </c>
      <c r="D82" s="55">
        <v>4.9927960000000002</v>
      </c>
      <c r="E82" s="55">
        <v>-2.2093000000000002E-2</v>
      </c>
      <c r="F82" s="6" t="s">
        <v>158</v>
      </c>
      <c r="G82" s="52"/>
      <c r="O82" s="73"/>
      <c r="P82" s="73"/>
      <c r="Q82" s="73"/>
    </row>
    <row r="83" spans="1:17" x14ac:dyDescent="0.3">
      <c r="A83" s="21" t="s">
        <v>234</v>
      </c>
      <c r="B83" s="22" t="s">
        <v>156</v>
      </c>
      <c r="C83" s="54">
        <v>0.89012581573604055</v>
      </c>
      <c r="D83" s="54">
        <v>1.324726800000001</v>
      </c>
      <c r="E83" s="54">
        <v>-0.40038200000000002</v>
      </c>
      <c r="F83" s="8" t="s">
        <v>14</v>
      </c>
      <c r="G83" s="52"/>
      <c r="O83" s="73"/>
      <c r="P83" s="73"/>
      <c r="Q83" s="73"/>
    </row>
    <row r="84" spans="1:17" x14ac:dyDescent="0.3">
      <c r="A84" s="5" t="s">
        <v>236</v>
      </c>
      <c r="B84" s="7" t="s">
        <v>152</v>
      </c>
      <c r="C84" s="55">
        <v>0.86047849898477169</v>
      </c>
      <c r="D84" s="55">
        <v>0.97054399999999996</v>
      </c>
      <c r="E84" s="55">
        <v>-2.1609999999999932E-3</v>
      </c>
      <c r="F84" s="6" t="s">
        <v>14</v>
      </c>
      <c r="G84" s="52"/>
      <c r="O84" s="73"/>
      <c r="P84" s="73"/>
      <c r="Q84" s="73"/>
    </row>
    <row r="85" spans="1:17" x14ac:dyDescent="0.3">
      <c r="A85" s="21" t="s">
        <v>218</v>
      </c>
      <c r="B85" s="22" t="s">
        <v>134</v>
      </c>
      <c r="C85" s="54">
        <v>0.80643375076142143</v>
      </c>
      <c r="D85" s="54">
        <v>-10.5302475</v>
      </c>
      <c r="E85" s="54">
        <v>-0.1095825</v>
      </c>
      <c r="F85" s="8" t="s">
        <v>17</v>
      </c>
      <c r="G85" s="52"/>
      <c r="O85" s="73"/>
      <c r="P85" s="73"/>
      <c r="Q85" s="73"/>
    </row>
    <row r="86" spans="1:17" x14ac:dyDescent="0.3">
      <c r="A86" s="5" t="s">
        <v>215</v>
      </c>
      <c r="B86" s="7" t="s">
        <v>150</v>
      </c>
      <c r="C86" s="55">
        <v>0.80584278730964465</v>
      </c>
      <c r="D86" s="55">
        <v>-0.8148495</v>
      </c>
      <c r="E86" s="55">
        <v>-1.43847E-2</v>
      </c>
      <c r="F86" s="6" t="s">
        <v>14</v>
      </c>
      <c r="G86" s="52"/>
      <c r="O86" s="73"/>
      <c r="P86" s="73"/>
      <c r="Q86" s="73"/>
    </row>
    <row r="87" spans="1:17" x14ac:dyDescent="0.3">
      <c r="A87" s="21" t="s">
        <v>210</v>
      </c>
      <c r="B87" s="22" t="s">
        <v>136</v>
      </c>
      <c r="C87" s="54">
        <v>0.80208188680203041</v>
      </c>
      <c r="D87" s="54">
        <v>-3.3095284999999999</v>
      </c>
      <c r="E87" s="54">
        <v>-0.15955900000000001</v>
      </c>
      <c r="F87" s="8" t="s">
        <v>11</v>
      </c>
      <c r="G87" s="52"/>
      <c r="O87" s="73"/>
      <c r="P87" s="73"/>
      <c r="Q87" s="73"/>
    </row>
    <row r="88" spans="1:17" x14ac:dyDescent="0.3">
      <c r="A88" s="5" t="s">
        <v>238</v>
      </c>
      <c r="B88" s="7" t="s">
        <v>154</v>
      </c>
      <c r="C88" s="55">
        <v>0.80118862294416249</v>
      </c>
      <c r="D88" s="55">
        <v>-14.347823999999999</v>
      </c>
      <c r="E88" s="55">
        <v>-0.27076899999999998</v>
      </c>
      <c r="F88" s="6" t="s">
        <v>160</v>
      </c>
      <c r="G88" s="52"/>
      <c r="O88" s="73"/>
      <c r="P88" s="73"/>
      <c r="Q88" s="73"/>
    </row>
    <row r="89" spans="1:17" x14ac:dyDescent="0.3">
      <c r="A89" s="21" t="s">
        <v>228</v>
      </c>
      <c r="B89" s="22" t="s">
        <v>135</v>
      </c>
      <c r="C89" s="54">
        <v>0.79229704436548232</v>
      </c>
      <c r="D89" s="54">
        <v>-8.4524574999999995</v>
      </c>
      <c r="E89" s="54">
        <v>0.80765500000000001</v>
      </c>
      <c r="F89" s="8" t="s">
        <v>17</v>
      </c>
      <c r="G89" s="52"/>
      <c r="O89" s="73"/>
      <c r="P89" s="73"/>
      <c r="Q89" s="73"/>
    </row>
    <row r="90" spans="1:17" x14ac:dyDescent="0.3">
      <c r="A90" s="5" t="s">
        <v>226</v>
      </c>
      <c r="B90" s="7" t="s">
        <v>144</v>
      </c>
      <c r="C90" s="55">
        <v>0.79223069187817263</v>
      </c>
      <c r="D90" s="55">
        <v>3.495603</v>
      </c>
      <c r="E90" s="55">
        <v>-5.4536500000000002E-2</v>
      </c>
      <c r="F90" s="6" t="s">
        <v>17</v>
      </c>
      <c r="G90" s="52"/>
      <c r="O90" s="73"/>
      <c r="P90" s="73"/>
      <c r="Q90" s="73"/>
    </row>
    <row r="91" spans="1:17" x14ac:dyDescent="0.3">
      <c r="A91" s="21" t="s">
        <v>225</v>
      </c>
      <c r="B91" s="22" t="s">
        <v>124</v>
      </c>
      <c r="C91" s="54">
        <v>0.74263105486436565</v>
      </c>
      <c r="D91" s="54">
        <v>5.3326242637900005</v>
      </c>
      <c r="E91" s="54">
        <v>1.3082137409200001</v>
      </c>
      <c r="F91" s="8" t="s">
        <v>17</v>
      </c>
      <c r="G91" s="52"/>
      <c r="O91" s="73"/>
      <c r="P91" s="73"/>
      <c r="Q91" s="73"/>
    </row>
    <row r="92" spans="1:17" x14ac:dyDescent="0.3">
      <c r="A92" s="5" t="s">
        <v>232</v>
      </c>
      <c r="B92" s="7" t="s">
        <v>122</v>
      </c>
      <c r="C92" s="55">
        <v>0.7421287675126903</v>
      </c>
      <c r="D92" s="55">
        <v>-1.0185245999999999</v>
      </c>
      <c r="E92" s="55">
        <v>0.48704629999999999</v>
      </c>
      <c r="F92" s="6" t="s">
        <v>159</v>
      </c>
      <c r="G92" s="52"/>
      <c r="O92" s="73"/>
      <c r="P92" s="73"/>
      <c r="Q92" s="73"/>
    </row>
    <row r="93" spans="1:17" x14ac:dyDescent="0.3">
      <c r="A93" s="21" t="s">
        <v>255</v>
      </c>
      <c r="B93" s="22" t="s">
        <v>254</v>
      </c>
      <c r="C93" s="54">
        <v>0.68907620437086092</v>
      </c>
      <c r="D93" s="54">
        <v>-5.7934679999999998</v>
      </c>
      <c r="E93" s="54">
        <v>-2.4615499999999998E-2</v>
      </c>
      <c r="F93" s="8" t="s">
        <v>14</v>
      </c>
      <c r="G93" s="52"/>
      <c r="O93" s="73"/>
      <c r="P93" s="73"/>
      <c r="Q93" s="73"/>
    </row>
    <row r="94" spans="1:17" x14ac:dyDescent="0.3">
      <c r="A94" s="5" t="s">
        <v>241</v>
      </c>
      <c r="B94" s="7" t="s">
        <v>155</v>
      </c>
      <c r="C94" s="55">
        <v>0.58403206345177661</v>
      </c>
      <c r="D94" s="55">
        <v>9.2897040000000004</v>
      </c>
      <c r="E94" s="55">
        <v>-6.2522999999999995E-2</v>
      </c>
      <c r="F94" s="6" t="s">
        <v>14</v>
      </c>
      <c r="G94" s="52"/>
      <c r="O94" s="73"/>
      <c r="P94" s="73"/>
      <c r="Q94" s="73"/>
    </row>
    <row r="95" spans="1:17" x14ac:dyDescent="0.3">
      <c r="A95" s="21" t="s">
        <v>230</v>
      </c>
      <c r="B95" s="22" t="s">
        <v>86</v>
      </c>
      <c r="C95" s="54">
        <v>0.55822877411167515</v>
      </c>
      <c r="D95" s="54">
        <v>7.8425999999999996E-2</v>
      </c>
      <c r="E95" s="54">
        <v>-2.8752E-2</v>
      </c>
      <c r="F95" s="8" t="s">
        <v>11</v>
      </c>
      <c r="G95" s="52"/>
      <c r="O95" s="73"/>
      <c r="P95" s="73"/>
      <c r="Q95" s="73"/>
    </row>
    <row r="96" spans="1:17" x14ac:dyDescent="0.3">
      <c r="A96" s="5" t="s">
        <v>262</v>
      </c>
      <c r="B96" s="7" t="s">
        <v>263</v>
      </c>
      <c r="C96" s="55">
        <v>0.55044522081218272</v>
      </c>
      <c r="D96" s="55">
        <v>-9.5088545</v>
      </c>
      <c r="E96" s="55">
        <v>-0.1151795</v>
      </c>
      <c r="F96" s="6" t="s">
        <v>17</v>
      </c>
      <c r="G96" s="52"/>
      <c r="O96" s="73"/>
      <c r="P96" s="73"/>
      <c r="Q96" s="73"/>
    </row>
    <row r="97" spans="1:17" x14ac:dyDescent="0.3">
      <c r="A97" s="21" t="s">
        <v>239</v>
      </c>
      <c r="B97" s="22" t="s">
        <v>137</v>
      </c>
      <c r="C97" s="54">
        <v>0.52772271167512697</v>
      </c>
      <c r="D97" s="54">
        <v>-10.484983</v>
      </c>
      <c r="E97" s="54">
        <v>0.52024049999999999</v>
      </c>
      <c r="F97" s="8" t="s">
        <v>11</v>
      </c>
      <c r="G97" s="52"/>
      <c r="O97" s="73"/>
      <c r="P97" s="73"/>
      <c r="Q97" s="73"/>
    </row>
    <row r="98" spans="1:17" x14ac:dyDescent="0.3">
      <c r="A98" s="5" t="s">
        <v>233</v>
      </c>
      <c r="B98" s="7" t="s">
        <v>153</v>
      </c>
      <c r="C98" s="55">
        <v>0.48627823248730961</v>
      </c>
      <c r="D98" s="55">
        <v>-0.95877299999999999</v>
      </c>
      <c r="E98" s="55">
        <v>0.68769449999999999</v>
      </c>
      <c r="F98" s="6" t="s">
        <v>14</v>
      </c>
      <c r="G98" s="52"/>
      <c r="O98" s="73"/>
      <c r="P98" s="73"/>
      <c r="Q98" s="73"/>
    </row>
    <row r="99" spans="1:17" x14ac:dyDescent="0.3">
      <c r="A99" s="21" t="s">
        <v>257</v>
      </c>
      <c r="B99" s="22" t="s">
        <v>256</v>
      </c>
      <c r="C99" s="54">
        <v>0.4666567324873096</v>
      </c>
      <c r="D99" s="54">
        <v>-1.2583335</v>
      </c>
      <c r="E99" s="54">
        <v>1.36957E-2</v>
      </c>
      <c r="F99" s="8" t="s">
        <v>14</v>
      </c>
      <c r="G99" s="52"/>
      <c r="O99" s="73"/>
      <c r="P99" s="73"/>
      <c r="Q99" s="73"/>
    </row>
    <row r="100" spans="1:17" x14ac:dyDescent="0.3">
      <c r="A100" s="5" t="s">
        <v>264</v>
      </c>
      <c r="B100" s="7" t="s">
        <v>265</v>
      </c>
      <c r="C100" s="55">
        <v>0.4657878654822335</v>
      </c>
      <c r="D100" s="55">
        <v>-9.4312944999999999</v>
      </c>
      <c r="E100" s="55">
        <v>1.081671</v>
      </c>
      <c r="F100" s="6" t="s">
        <v>16</v>
      </c>
      <c r="G100" s="52"/>
      <c r="O100" s="73"/>
      <c r="P100" s="73"/>
      <c r="Q100" s="73"/>
    </row>
    <row r="101" spans="1:17" x14ac:dyDescent="0.3">
      <c r="A101" s="75" t="s">
        <v>250</v>
      </c>
      <c r="B101" s="76" t="s">
        <v>251</v>
      </c>
      <c r="C101" s="77">
        <v>0.43619342182741122</v>
      </c>
      <c r="D101" s="77">
        <v>3.3072532000000003</v>
      </c>
      <c r="E101" s="77">
        <v>4.7674500000000002E-2</v>
      </c>
      <c r="F101" s="9" t="s">
        <v>11</v>
      </c>
      <c r="G101" s="52"/>
      <c r="O101" s="73"/>
      <c r="P101" s="73"/>
      <c r="Q101" s="73"/>
    </row>
    <row r="102" spans="1:17" x14ac:dyDescent="0.3">
      <c r="A102" s="45"/>
      <c r="B102" s="10"/>
      <c r="C102" s="10"/>
      <c r="D102" s="10"/>
      <c r="E102" s="10"/>
      <c r="F102" s="46"/>
    </row>
    <row r="105" spans="1:17" x14ac:dyDescent="0.3">
      <c r="A105" s="11" t="s">
        <v>80</v>
      </c>
    </row>
    <row r="106" spans="1:17" x14ac:dyDescent="0.3">
      <c r="A106" s="11" t="s">
        <v>141</v>
      </c>
    </row>
    <row r="107" spans="1:17" x14ac:dyDescent="0.3">
      <c r="A107" s="11" t="s">
        <v>140</v>
      </c>
    </row>
    <row r="108" spans="1:17" x14ac:dyDescent="0.3">
      <c r="A108" s="11" t="s">
        <v>146</v>
      </c>
    </row>
    <row r="109" spans="1:17" x14ac:dyDescent="0.3">
      <c r="A109" s="11" t="s">
        <v>73</v>
      </c>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6 B37 B74 B77"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Terence Wong</cp:lastModifiedBy>
  <cp:lastPrinted>2024-07-01T01:26:22Z</cp:lastPrinted>
  <dcterms:created xsi:type="dcterms:W3CDTF">2020-01-13T01:31:10Z</dcterms:created>
  <dcterms:modified xsi:type="dcterms:W3CDTF">2024-10-14T06:12:15Z</dcterms:modified>
</cp:coreProperties>
</file>