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rmrfs.sgxdo.sgx.com\EQUITIES\Research &amp; Retail &amp; Intermed\Research\Production\Insti fund flow tracker files\Draft reports\Final reports\Weekly excel files\"/>
    </mc:Choice>
  </mc:AlternateContent>
  <xr:revisionPtr revIDLastSave="0" documentId="8_{0A9F108A-9347-458E-9B70-2961546F0820}"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<sst xmlns="http://schemas.openxmlformats.org/spreadsheetml/2006/main" count="139" uniqueCount="81">
  <si>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</si>
  <si>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</si>
  <si>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</si>
  <si>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</si>
  <si>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</si>
  <si>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</si>
  <si>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</si>
  <si>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</si>
  <si>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</si>
  <si>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</si>
  <si>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</si>
  <si>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</si>
  <si>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</si>
  <si>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</si>
  <si>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</si>
  <si>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</si>
  <si>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</si>
  <si>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</si>
  <si>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</si>
  <si>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</si>
  <si>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</si>
  <si>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</si>
  <si>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</si>
  <si>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</si>
  <si>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</si>
  <si>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</si>
  <si>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</si>
  <si>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</si>
  <si>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</si>
  <si>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</si>
  <si>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</si>
  <si>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</si>
  <si>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</si>
  <si>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</si>
  <si>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</si>
  <si>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</si>
  <si>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</si>
  <si>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</si>
  <si>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</si>
  <si>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</si>
  <si>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ST Engineering</t>
  </si>
  <si>
    <t>S63</t>
  </si>
  <si>
    <t>SIA</t>
  </si>
  <si>
    <t>C6L</t>
  </si>
  <si>
    <t>Wilmar International</t>
  </si>
  <si>
    <t>F34</t>
  </si>
  <si>
    <t>Keppel</t>
  </si>
  <si>
    <t>BN4</t>
  </si>
  <si>
    <t>SGX</t>
  </si>
  <si>
    <t>S68</t>
  </si>
  <si>
    <t>Hongkong Land</t>
  </si>
  <si>
    <t>H78</t>
  </si>
  <si>
    <t>Keppel DC REIT</t>
  </si>
  <si>
    <t>AJBU</t>
  </si>
  <si>
    <t>iFast Corporation</t>
  </si>
  <si>
    <t>AIY</t>
  </si>
  <si>
    <t>Yangzijiang Shipbuilding</t>
  </si>
  <si>
    <t>BS6</t>
  </si>
  <si>
    <t>CapitaLand Ascendas REIT</t>
  </si>
  <si>
    <t>A17U</t>
  </si>
  <si>
    <t>UMS</t>
  </si>
  <si>
    <t>558</t>
  </si>
  <si>
    <t>CapitaLand Investment</t>
  </si>
  <si>
    <t>9CI</t>
  </si>
  <si>
    <t>Seatrium</t>
  </si>
  <si>
    <t>5E2</t>
  </si>
  <si>
    <t>Olam Group</t>
  </si>
  <si>
    <t>VC2</t>
  </si>
  <si>
    <t>Thai Beverage</t>
  </si>
  <si>
    <t>Y92</t>
  </si>
  <si>
    <t xml:space="preserve">AEM </t>
  </si>
  <si>
    <t>AWX</t>
  </si>
  <si>
    <t>Venture Corporation</t>
  </si>
  <si>
    <t>V03</t>
  </si>
  <si>
    <t>E28</t>
  </si>
  <si>
    <t>Keppel REIT</t>
  </si>
  <si>
    <t>K71U</t>
  </si>
  <si>
    <t>Week of 27 July 2026</t>
  </si>
  <si>
    <t>Frencken Group</t>
  </si>
  <si>
    <r>
      <t xml:space="preserve">Institutional investors net </t>
    </r>
    <r>
      <rPr>
        <b/>
        <sz val="11"/>
        <rFont val="Arial"/>
        <family val="2"/>
      </rPr>
      <t>sell</t>
    </r>
    <r>
      <rPr>
        <sz val="11"/>
        <rFont val="Arial"/>
        <family val="2"/>
      </rPr>
      <t xml:space="preserve"> (-S$47.8m) vs. (-S$54.3m) a week ago</t>
    </r>
  </si>
  <si>
    <r>
      <t xml:space="preserve">Retail investors net </t>
    </r>
    <r>
      <rPr>
        <b/>
        <sz val="11"/>
        <rFont val="Arial"/>
        <family val="2"/>
      </rPr>
      <t>buy</t>
    </r>
    <r>
      <rPr>
        <sz val="11"/>
        <rFont val="Arial"/>
        <family val="2"/>
      </rPr>
      <t xml:space="preserve"> (+S$161.8m) vs. (+S$71.1m)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</si>
</sst>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77</v>
      </c>
      <c r="C1" s="59"/>
    </row>
    <row r="2" spans="1:13" ht="15" x14ac:dyDescent="0.25">
      <c r="A2" s="52" t="s">
        <v>79</v>
      </c>
      <c r="I2" s="40"/>
    </row>
    <row r="3" spans="1:13" ht="15" x14ac:dyDescent="0.25">
      <c r="A3" s="52" t="s">
        <v>80</v>
      </c>
      <c r="I3" s="40"/>
    </row>
    <row r="5" spans="1:13" ht="29.25" customHeight="1" x14ac:dyDescent="0.2">
      <c r="A5" s="3" t="s">
        <v>0</v>
      </c>
      <c r="B5" s="3" t="s">
        <v>1</v>
      </c>
      <c r="C5" s="4" t="s">
        <v>77</v>
      </c>
      <c r="D5" s="43" t="s">
        <v>2</v>
      </c>
      <c r="E5" s="43" t="s">
        <v>1</v>
      </c>
      <c r="F5" s="44" t="str">
        <f>+C5</f>
        <v>Week of 27 July 2026</v>
      </c>
      <c r="I5" s="2"/>
    </row>
    <row r="6" spans="1:13" ht="15" x14ac:dyDescent="0.25">
      <c r="A6" s="28" t="s">
        <v>36</v>
      </c>
      <c r="B6" s="46" t="s">
        <v>37</v>
      </c>
      <c r="C6" s="5">
        <v>166.9123337</v>
      </c>
      <c r="D6" s="28" t="s">
        <v>22</v>
      </c>
      <c r="E6" s="46" t="s">
        <v>21</v>
      </c>
      <c r="F6" s="5">
        <v>-157.072048</v>
      </c>
      <c r="G6" s="61"/>
      <c r="H6"/>
      <c r="I6" s="2"/>
      <c r="M6"/>
    </row>
    <row r="7" spans="1:13" ht="15" x14ac:dyDescent="0.25">
      <c r="A7" s="29" t="s">
        <v>46</v>
      </c>
      <c r="B7" s="9" t="s">
        <v>47</v>
      </c>
      <c r="C7" s="7">
        <v>74.709552000000002</v>
      </c>
      <c r="D7" s="29" t="s">
        <v>34</v>
      </c>
      <c r="E7" s="9" t="s">
        <v>35</v>
      </c>
      <c r="F7" s="7">
        <v>-81.403013999999999</v>
      </c>
      <c r="G7" s="61"/>
      <c r="H7"/>
      <c r="I7" s="2"/>
      <c r="L7"/>
      <c r="M7"/>
    </row>
    <row r="8" spans="1:13" ht="15" x14ac:dyDescent="0.25">
      <c r="A8" s="30" t="s">
        <v>62</v>
      </c>
      <c r="B8" s="46" t="s">
        <v>63</v>
      </c>
      <c r="C8" s="5">
        <v>62.456383000000002</v>
      </c>
      <c r="D8" s="30" t="s">
        <v>40</v>
      </c>
      <c r="E8" s="46" t="s">
        <v>41</v>
      </c>
      <c r="F8" s="5">
        <v>-48.850228999999999</v>
      </c>
      <c r="G8" s="61"/>
      <c r="H8"/>
      <c r="I8" s="2"/>
      <c r="L8"/>
      <c r="M8"/>
    </row>
    <row r="9" spans="1:13" ht="15" x14ac:dyDescent="0.25">
      <c r="A9" s="29" t="s">
        <v>42</v>
      </c>
      <c r="B9" s="9" t="s">
        <v>43</v>
      </c>
      <c r="C9" s="7">
        <v>59.962769999999999</v>
      </c>
      <c r="D9" s="29" t="s">
        <v>56</v>
      </c>
      <c r="E9" s="9" t="s">
        <v>57</v>
      </c>
      <c r="F9" s="7">
        <v>-34.673189000000001</v>
      </c>
      <c r="G9" s="61"/>
      <c r="H9"/>
      <c r="I9" s="2"/>
      <c r="L9"/>
      <c r="M9"/>
    </row>
    <row r="10" spans="1:13" ht="15" x14ac:dyDescent="0.25">
      <c r="A10" s="30" t="s">
        <v>48</v>
      </c>
      <c r="B10" s="46" t="s">
        <v>49</v>
      </c>
      <c r="C10" s="5">
        <v>32.795684999999999</v>
      </c>
      <c r="D10" s="30" t="s">
        <v>70</v>
      </c>
      <c r="E10" s="46" t="s">
        <v>71</v>
      </c>
      <c r="F10" s="5">
        <v>-28.748850000000001</v>
      </c>
      <c r="G10" s="61"/>
      <c r="H10"/>
      <c r="I10" s="2"/>
      <c r="L10"/>
      <c r="M10"/>
    </row>
    <row r="11" spans="1:13" ht="15" x14ac:dyDescent="0.25">
      <c r="A11" s="29" t="s">
        <v>52</v>
      </c>
      <c r="B11" s="9" t="s">
        <v>53</v>
      </c>
      <c r="C11" s="7">
        <v>18.432646999999999</v>
      </c>
      <c r="D11" s="29" t="s">
        <v>38</v>
      </c>
      <c r="E11" s="9" t="s">
        <v>39</v>
      </c>
      <c r="F11" s="7">
        <v>-25.018193</v>
      </c>
      <c r="G11" s="61"/>
      <c r="H11"/>
      <c r="I11" s="2"/>
      <c r="L11"/>
      <c r="M11"/>
    </row>
    <row r="12" spans="1:13" ht="15" x14ac:dyDescent="0.25">
      <c r="A12" s="30" t="s">
        <v>64</v>
      </c>
      <c r="B12" s="46" t="s">
        <v>65</v>
      </c>
      <c r="C12" s="5">
        <v>12.122977000000001</v>
      </c>
      <c r="D12" s="30" t="s">
        <v>60</v>
      </c>
      <c r="E12" s="46" t="s">
        <v>61</v>
      </c>
      <c r="F12" s="5">
        <v>-22.559743999999998</v>
      </c>
      <c r="G12" s="61"/>
      <c r="H12"/>
      <c r="I12" s="2"/>
      <c r="L12"/>
      <c r="M12"/>
    </row>
    <row r="13" spans="1:13" ht="15" x14ac:dyDescent="0.25">
      <c r="A13" s="29" t="s">
        <v>66</v>
      </c>
      <c r="B13" s="9" t="s">
        <v>67</v>
      </c>
      <c r="C13" s="7">
        <v>11.745634000000001</v>
      </c>
      <c r="D13" s="29" t="s">
        <v>54</v>
      </c>
      <c r="E13" s="9" t="s">
        <v>55</v>
      </c>
      <c r="F13" s="7">
        <v>-20.471413999999999</v>
      </c>
      <c r="G13" s="61"/>
      <c r="H13"/>
      <c r="I13" s="2"/>
      <c r="L13"/>
      <c r="M13"/>
    </row>
    <row r="14" spans="1:13" ht="15" x14ac:dyDescent="0.25">
      <c r="A14" s="30" t="s">
        <v>68</v>
      </c>
      <c r="B14" s="46" t="s">
        <v>69</v>
      </c>
      <c r="C14" s="5">
        <v>7.1757400000000002</v>
      </c>
      <c r="D14" s="30" t="s">
        <v>72</v>
      </c>
      <c r="E14" s="46" t="s">
        <v>73</v>
      </c>
      <c r="F14" s="5">
        <v>-15.238177</v>
      </c>
      <c r="G14" s="61"/>
      <c r="H14"/>
      <c r="I14" s="2"/>
      <c r="L14"/>
      <c r="M14"/>
    </row>
    <row r="15" spans="1:13" ht="15" x14ac:dyDescent="0.25">
      <c r="A15" s="31" t="s">
        <v>50</v>
      </c>
      <c r="B15" s="27" t="s">
        <v>51</v>
      </c>
      <c r="C15" s="8">
        <v>5.4581845428000006</v>
      </c>
      <c r="D15" s="31" t="s">
        <v>78</v>
      </c>
      <c r="E15" s="27" t="s">
        <v>74</v>
      </c>
      <c r="F15" s="8">
        <v>-11.621624000000001</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27 July 2026</v>
      </c>
      <c r="D18" s="45" t="s">
        <v>4</v>
      </c>
      <c r="E18" s="43" t="s">
        <v>1</v>
      </c>
      <c r="F18" s="44" t="str">
        <f>+C18</f>
        <v>Week of 27 July 2026</v>
      </c>
    </row>
    <row r="19" spans="1:9" x14ac:dyDescent="0.2">
      <c r="A19" s="30" t="s">
        <v>22</v>
      </c>
      <c r="B19" s="46" t="s">
        <v>21</v>
      </c>
      <c r="C19" s="16">
        <v>128.11525499999999</v>
      </c>
      <c r="D19" s="30" t="s">
        <v>36</v>
      </c>
      <c r="E19" s="15" t="s">
        <v>37</v>
      </c>
      <c r="F19" s="5">
        <v>-74.421077799999992</v>
      </c>
      <c r="I19" s="2"/>
    </row>
    <row r="20" spans="1:9" ht="15" x14ac:dyDescent="0.25">
      <c r="A20" s="29" t="s">
        <v>34</v>
      </c>
      <c r="B20" s="9" t="s">
        <v>35</v>
      </c>
      <c r="C20" s="7">
        <v>121.58842</v>
      </c>
      <c r="D20" s="29" t="s">
        <v>48</v>
      </c>
      <c r="E20" s="17" t="s">
        <v>49</v>
      </c>
      <c r="F20" s="7">
        <v>-45.826186</v>
      </c>
      <c r="G20" s="61"/>
      <c r="I20" s="2"/>
    </row>
    <row r="21" spans="1:9" ht="15" x14ac:dyDescent="0.25">
      <c r="A21" s="30" t="s">
        <v>40</v>
      </c>
      <c r="B21" s="46" t="s">
        <v>41</v>
      </c>
      <c r="C21" s="5">
        <v>64.858204000000001</v>
      </c>
      <c r="D21" s="30" t="s">
        <v>42</v>
      </c>
      <c r="E21" s="6" t="s">
        <v>43</v>
      </c>
      <c r="F21" s="5">
        <v>-36.411392999999997</v>
      </c>
      <c r="G21" s="61"/>
      <c r="I21" s="2"/>
    </row>
    <row r="22" spans="1:9" ht="15" x14ac:dyDescent="0.25">
      <c r="A22" s="29" t="s">
        <v>60</v>
      </c>
      <c r="B22" s="9" t="s">
        <v>61</v>
      </c>
      <c r="C22" s="7">
        <v>25.008058999999999</v>
      </c>
      <c r="D22" s="29" t="s">
        <v>62</v>
      </c>
      <c r="E22" s="17" t="s">
        <v>63</v>
      </c>
      <c r="F22" s="7">
        <v>-29.298942</v>
      </c>
      <c r="G22" s="61"/>
      <c r="I22" s="2"/>
    </row>
    <row r="23" spans="1:9" ht="15" x14ac:dyDescent="0.25">
      <c r="A23" s="30" t="s">
        <v>38</v>
      </c>
      <c r="B23" s="68" t="s">
        <v>39</v>
      </c>
      <c r="C23" s="69">
        <v>21.435434000000001</v>
      </c>
      <c r="D23" s="30" t="s">
        <v>46</v>
      </c>
      <c r="E23" s="6" t="s">
        <v>47</v>
      </c>
      <c r="F23" s="5">
        <v>-28.482412</v>
      </c>
      <c r="G23" s="61"/>
      <c r="I23" s="2"/>
    </row>
    <row r="24" spans="1:9" ht="15" x14ac:dyDescent="0.25">
      <c r="A24" s="70" t="s">
        <v>54</v>
      </c>
      <c r="B24" s="71" t="s">
        <v>55</v>
      </c>
      <c r="C24" s="72">
        <v>20.659102000000001</v>
      </c>
      <c r="D24" s="29" t="s">
        <v>44</v>
      </c>
      <c r="E24" s="17" t="s">
        <v>45</v>
      </c>
      <c r="F24" s="7">
        <v>-16.00318</v>
      </c>
      <c r="G24" s="61"/>
      <c r="I24" s="2"/>
    </row>
    <row r="25" spans="1:9" ht="15" x14ac:dyDescent="0.25">
      <c r="A25" s="30" t="s">
        <v>70</v>
      </c>
      <c r="B25" s="68" t="s">
        <v>71</v>
      </c>
      <c r="C25" s="69">
        <v>17.064039999999999</v>
      </c>
      <c r="D25" s="30" t="s">
        <v>64</v>
      </c>
      <c r="E25" s="6" t="s">
        <v>65</v>
      </c>
      <c r="F25" s="5">
        <v>-14.302529</v>
      </c>
      <c r="G25" s="61"/>
      <c r="I25" s="2"/>
    </row>
    <row r="26" spans="1:9" ht="15" x14ac:dyDescent="0.25">
      <c r="A26" s="70" t="s">
        <v>72</v>
      </c>
      <c r="B26" s="71" t="s">
        <v>73</v>
      </c>
      <c r="C26" s="72">
        <v>15.037985000000001</v>
      </c>
      <c r="D26" s="29" t="s">
        <v>50</v>
      </c>
      <c r="E26" s="17" t="s">
        <v>51</v>
      </c>
      <c r="F26" s="7">
        <v>-12.7323714052</v>
      </c>
      <c r="G26" s="61"/>
      <c r="I26" s="2"/>
    </row>
    <row r="27" spans="1:9" ht="15" x14ac:dyDescent="0.25">
      <c r="A27" s="30" t="s">
        <v>56</v>
      </c>
      <c r="B27" s="46" t="s">
        <v>57</v>
      </c>
      <c r="C27" s="5">
        <v>12.018955999999999</v>
      </c>
      <c r="D27" s="30" t="s">
        <v>75</v>
      </c>
      <c r="E27" s="46" t="s">
        <v>76</v>
      </c>
      <c r="F27" s="5">
        <v>-11.243235500000001</v>
      </c>
      <c r="G27" s="61"/>
      <c r="I27" s="2"/>
    </row>
    <row r="28" spans="1:9" ht="15" x14ac:dyDescent="0.25">
      <c r="A28" s="27" t="s">
        <v>52</v>
      </c>
      <c r="B28" s="56" t="s">
        <v>53</v>
      </c>
      <c r="C28" s="8">
        <v>11.136044</v>
      </c>
      <c r="D28" s="67" t="s">
        <v>58</v>
      </c>
      <c r="E28" s="56" t="s">
        <v>59</v>
      </c>
      <c r="F28" s="8">
        <v>-10.405765000000001</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73" t="s">
        <v>33</v>
      </c>
      <c r="B40" s="73"/>
      <c r="C40" s="73"/>
      <c r="D40" s="73"/>
      <c r="E40" s="73"/>
      <c r="F40" s="73"/>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2 B12 B22 E2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74" t="s">
        <v>7</v>
      </c>
      <c r="B1" s="12"/>
      <c r="C1" s="76" t="s">
        <v>8</v>
      </c>
      <c r="D1" s="77"/>
      <c r="E1" s="77"/>
      <c r="F1" s="77"/>
      <c r="G1" s="77"/>
      <c r="H1" s="77"/>
      <c r="I1" s="77"/>
      <c r="J1" s="77"/>
      <c r="K1" s="77"/>
      <c r="L1" s="77"/>
      <c r="M1" s="77"/>
      <c r="N1" s="78"/>
    </row>
    <row r="2" spans="1:15" ht="75" x14ac:dyDescent="0.2">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126.68970479578003</v>
      </c>
      <c r="B3" s="54">
        <v>46209</v>
      </c>
      <c r="C3" s="14">
        <v>3.7207544810199997</v>
      </c>
      <c r="D3" s="14">
        <v>-5.6003928237000027</v>
      </c>
      <c r="E3" s="14">
        <v>1.4620603999999999</v>
      </c>
      <c r="F3" s="14">
        <v>255.01297320000003</v>
      </c>
      <c r="G3" s="14">
        <v>-4.9301227682799995</v>
      </c>
      <c r="H3" s="14">
        <v>125.76352195429001</v>
      </c>
      <c r="I3" s="14">
        <v>-1.900465900000001</v>
      </c>
      <c r="J3" s="14">
        <v>16.615559478800002</v>
      </c>
      <c r="K3" s="14">
        <v>-28.549516326350002</v>
      </c>
      <c r="L3" s="14">
        <v>-54.468523899999994</v>
      </c>
      <c r="M3" s="14">
        <v>-87.585507000000007</v>
      </c>
      <c r="N3" s="14">
        <v>-92.850635999999994</v>
      </c>
    </row>
    <row r="4" spans="1:15" ht="15" x14ac:dyDescent="0.25">
      <c r="A4" s="38">
        <f>SUM(C4:N4)</f>
        <v>-318.15638253531006</v>
      </c>
      <c r="B4" s="42">
        <v>46216</v>
      </c>
      <c r="C4" s="53">
        <v>2.4052219642199999</v>
      </c>
      <c r="D4" s="53">
        <v>-13.140752075800002</v>
      </c>
      <c r="E4" s="53">
        <v>1.9702136999999997</v>
      </c>
      <c r="F4" s="53">
        <v>-136.63735779999999</v>
      </c>
      <c r="G4" s="53">
        <v>-0.27981558649999938</v>
      </c>
      <c r="H4" s="53">
        <v>86.581516085399997</v>
      </c>
      <c r="I4" s="53">
        <v>0.83672469999999977</v>
      </c>
      <c r="J4" s="53">
        <v>-3.2788695725999983</v>
      </c>
      <c r="K4" s="53">
        <v>-58.38875995003</v>
      </c>
      <c r="L4" s="53">
        <v>-72.929378500000013</v>
      </c>
      <c r="M4" s="53">
        <v>-49.576050700000003</v>
      </c>
      <c r="N4" s="53">
        <v>-75.719074800000016</v>
      </c>
    </row>
    <row r="5" spans="1:15" ht="15" x14ac:dyDescent="0.25">
      <c r="A5" s="38">
        <f>SUM(C5:N5)</f>
        <v>-54.338351468980036</v>
      </c>
      <c r="B5" s="66">
        <v>46223</v>
      </c>
      <c r="C5" s="14">
        <v>-1.2243372690700003</v>
      </c>
      <c r="D5" s="14">
        <v>22.041313484199996</v>
      </c>
      <c r="E5" s="14">
        <v>-1.186374</v>
      </c>
      <c r="F5" s="14">
        <v>-176.1883875</v>
      </c>
      <c r="G5" s="14">
        <v>0.56894193520000191</v>
      </c>
      <c r="H5" s="14">
        <v>96.283717776119971</v>
      </c>
      <c r="I5" s="14">
        <v>1.1818408000000005</v>
      </c>
      <c r="J5" s="14">
        <v>10.080365013600002</v>
      </c>
      <c r="K5" s="14">
        <v>22.648836990970008</v>
      </c>
      <c r="L5" s="14">
        <v>16.828613050000001</v>
      </c>
      <c r="M5" s="14">
        <v>4.741211250000001</v>
      </c>
      <c r="N5" s="14">
        <v>-50.114093000000004</v>
      </c>
    </row>
    <row r="6" spans="1:15" ht="15" x14ac:dyDescent="0.25">
      <c r="A6" s="38">
        <f>SUM(C6:N6)</f>
        <v>-47.829518320330045</v>
      </c>
      <c r="B6" s="58">
        <v>46230</v>
      </c>
      <c r="C6" s="53">
        <v>2.0699702560200004</v>
      </c>
      <c r="D6" s="53">
        <v>10.612029431999998</v>
      </c>
      <c r="E6" s="53">
        <v>0.48118709999999998</v>
      </c>
      <c r="F6" s="53">
        <v>-170.48185860000001</v>
      </c>
      <c r="G6" s="53">
        <v>-5.5409980041000004</v>
      </c>
      <c r="H6" s="53">
        <v>50.018112621529994</v>
      </c>
      <c r="I6" s="53">
        <v>-1.2872825000000001</v>
      </c>
      <c r="J6" s="53">
        <v>12.681153542799997</v>
      </c>
      <c r="K6" s="53">
        <v>14.740443581420003</v>
      </c>
      <c r="L6" s="53">
        <v>-120.93934685000002</v>
      </c>
      <c r="M6" s="53">
        <v>164.32504739999999</v>
      </c>
      <c r="N6" s="53">
        <v>-4.507976300000001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74" t="s">
        <v>7</v>
      </c>
      <c r="B1" s="12"/>
      <c r="C1" s="76" t="s">
        <v>8</v>
      </c>
      <c r="D1" s="77"/>
      <c r="E1" s="77"/>
      <c r="F1" s="77"/>
      <c r="G1" s="77"/>
      <c r="H1" s="77"/>
      <c r="I1" s="77"/>
      <c r="J1" s="77"/>
      <c r="K1" s="77"/>
      <c r="L1" s="77"/>
      <c r="M1" s="77"/>
      <c r="N1" s="78"/>
    </row>
    <row r="2" spans="1:20" ht="60" x14ac:dyDescent="0.2">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-225.25367097405012</v>
      </c>
      <c r="B3" s="47">
        <v>46209</v>
      </c>
      <c r="C3" s="60">
        <v>-3.1431577511599995</v>
      </c>
      <c r="D3" s="60">
        <v>-18.158084931099999</v>
      </c>
      <c r="E3" s="60">
        <v>-2.7977415999999997</v>
      </c>
      <c r="F3" s="60">
        <v>-298.24366180000004</v>
      </c>
      <c r="G3" s="60">
        <v>3.2556330870000005</v>
      </c>
      <c r="H3" s="60">
        <v>-153.92276290849009</v>
      </c>
      <c r="I3" s="60">
        <v>1.8527100000000003</v>
      </c>
      <c r="J3" s="60">
        <v>-12.156782476399997</v>
      </c>
      <c r="K3" s="60">
        <v>-3.4092254938999993</v>
      </c>
      <c r="L3" s="60">
        <v>87.073168800000005</v>
      </c>
      <c r="M3" s="60">
        <v>52.858893999999999</v>
      </c>
      <c r="N3" s="60">
        <v>121.53734009999999</v>
      </c>
      <c r="P3" s="13"/>
    </row>
    <row r="4" spans="1:20" ht="15" x14ac:dyDescent="0.25">
      <c r="A4" s="48">
        <f>SUM(C4:N4)</f>
        <v>516.7705578750099</v>
      </c>
      <c r="B4" s="58">
        <v>46216</v>
      </c>
      <c r="C4" s="55">
        <v>-1.9313568742400005</v>
      </c>
      <c r="D4" s="55">
        <v>-6.9683101862000001</v>
      </c>
      <c r="E4" s="55">
        <v>0.58409460000000013</v>
      </c>
      <c r="F4" s="55">
        <v>299.35030139999998</v>
      </c>
      <c r="G4" s="55">
        <v>0.47851634180000036</v>
      </c>
      <c r="H4" s="55">
        <v>31.629571907289993</v>
      </c>
      <c r="I4" s="55">
        <v>-1.4636403</v>
      </c>
      <c r="J4" s="55">
        <v>11.355474471699997</v>
      </c>
      <c r="K4" s="55">
        <v>-10.691161535339997</v>
      </c>
      <c r="L4" s="55">
        <v>86.934243649999985</v>
      </c>
      <c r="M4" s="55">
        <v>23.100819299999998</v>
      </c>
      <c r="N4" s="55">
        <v>84.392005099999992</v>
      </c>
      <c r="P4" s="13"/>
    </row>
    <row r="5" spans="1:20" ht="15" x14ac:dyDescent="0.25">
      <c r="A5" s="48">
        <f>SUM(C5:N5)</f>
        <v>71.055244489270009</v>
      </c>
      <c r="B5" s="66">
        <v>46223</v>
      </c>
      <c r="C5" s="60">
        <v>3.475227823880001</v>
      </c>
      <c r="D5" s="60">
        <v>-13.874021287399998</v>
      </c>
      <c r="E5" s="60">
        <v>0.30819750000000024</v>
      </c>
      <c r="F5" s="60">
        <v>97.895516299999997</v>
      </c>
      <c r="G5" s="60">
        <v>-1.3027857081000001</v>
      </c>
      <c r="H5" s="60">
        <v>-111.35998621812999</v>
      </c>
      <c r="I5" s="60">
        <v>-3.4341017999999996</v>
      </c>
      <c r="J5" s="60">
        <v>18.6797752658</v>
      </c>
      <c r="K5" s="60">
        <v>14.405844163220003</v>
      </c>
      <c r="L5" s="60">
        <v>-14.51634645</v>
      </c>
      <c r="M5" s="60">
        <v>33.0960112</v>
      </c>
      <c r="N5" s="60">
        <v>47.681913700000003</v>
      </c>
      <c r="P5" s="13"/>
    </row>
    <row r="6" spans="1:20" ht="15" x14ac:dyDescent="0.25">
      <c r="A6" s="48">
        <f>SUM(C6:N6)</f>
        <v>161.78933046004994</v>
      </c>
      <c r="B6" s="58">
        <v>46230</v>
      </c>
      <c r="C6" s="55">
        <v>-14.028949519839999</v>
      </c>
      <c r="D6" s="55">
        <v>-25.865838059999994</v>
      </c>
      <c r="E6" s="55">
        <v>-0.25455219999999995</v>
      </c>
      <c r="F6" s="55">
        <v>197.90596509999997</v>
      </c>
      <c r="G6" s="55">
        <v>4.4751604970000001</v>
      </c>
      <c r="H6" s="55">
        <v>5.0257704291699952</v>
      </c>
      <c r="I6" s="55">
        <v>1.8769159999999996</v>
      </c>
      <c r="J6" s="55">
        <v>-31.588692005200002</v>
      </c>
      <c r="K6" s="55">
        <v>-15.323113531080001</v>
      </c>
      <c r="L6" s="55">
        <v>115.53402385</v>
      </c>
      <c r="M6" s="55">
        <v>-78.194310200000004</v>
      </c>
      <c r="N6" s="55">
        <v>2.2269500999999994</v>
      </c>
      <c r="P6" s="13"/>
    </row>
    <row r="7" spans="1:20" ht="15" x14ac:dyDescent="0.25">
      <c r="A7" s="51"/>
      <c r="B7" s="41"/>
      <c r="C7" s="39"/>
      <c r="D7" s="39"/>
      <c r="E7" s="39"/>
      <c r="F7" s="39"/>
      <c r="G7" s="39"/>
      <c r="H7" s="39"/>
      <c r="I7" s="39"/>
      <c r="J7" s="39"/>
      <c r="K7" s="39"/>
      <c r="L7" s="39"/>
      <c r="M7" s="39"/>
      <c r="N7" s="39"/>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Emelia Tan Wan Yi</cp:lastModifiedBy>
  <cp:lastPrinted>2024-07-01T01:26:22Z</cp:lastPrinted>
  <dcterms:created xsi:type="dcterms:W3CDTF">2020-01-13T01:31:10Z</dcterms:created>
  <dcterms:modified xsi:type="dcterms:W3CDTF">2026-08-03T07:16:05Z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