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ADAD42D2-A32D-4D6F-9BF8-9D2F93B8B804}" xr6:coauthVersionLast="47" xr6:coauthVersionMax="47" xr10:uidLastSave="{00000000-0000-0000-0000-000000000000}"/>
  <bookViews>
    <workbookView xWindow="-110" yWindow="-110" windowWidth="19420" windowHeight="1030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<sst xmlns="http://schemas.openxmlformats.org/spreadsheetml/2006/main" count="139" uniqueCount="89">
  <si>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</si>
  <si>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</si>
  <si>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</si>
  <si>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</si>
  <si>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</si>
  <si>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</si>
  <si>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</si>
  <si>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</si>
  <si>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</si>
  <si>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</si>
  <si>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</si>
  <si>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</si>
  <si>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</si>
  <si>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</si>
  <si>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</si>
  <si>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</si>
  <si>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</si>
  <si>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</si>
  <si>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</si>
  <si>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</si>
  <si>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</si>
  <si>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</si>
  <si>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</si>
  <si>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</si>
  <si>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</si>
  <si>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</si>
  <si>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</si>
  <si>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</si>
  <si>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</si>
  <si>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</si>
  <si>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</si>
  <si>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</si>
  <si>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</si>
  <si>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</si>
  <si>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</si>
  <si>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</si>
  <si>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</si>
  <si>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</si>
  <si>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Yangzijiang Shipbuilding</t>
  </si>
  <si>
    <t>BS6</t>
  </si>
  <si>
    <t>UOB</t>
  </si>
  <si>
    <t>U11</t>
  </si>
  <si>
    <t>SATS</t>
  </si>
  <si>
    <t>S58</t>
  </si>
  <si>
    <t xml:space="preserve">AEM </t>
  </si>
  <si>
    <t>AWX</t>
  </si>
  <si>
    <t>Jardine Matheson</t>
  </si>
  <si>
    <t>J36</t>
  </si>
  <si>
    <t>ST Engineering</t>
  </si>
  <si>
    <t>S63</t>
  </si>
  <si>
    <t>SIA</t>
  </si>
  <si>
    <t>C6L</t>
  </si>
  <si>
    <t>Seatrium</t>
  </si>
  <si>
    <t>5E2</t>
  </si>
  <si>
    <t>Sembcorp Industries</t>
  </si>
  <si>
    <t>U96</t>
  </si>
  <si>
    <t>Wilmar International</t>
  </si>
  <si>
    <t>F34</t>
  </si>
  <si>
    <t>CapitaLand Ascendas REIT</t>
  </si>
  <si>
    <t>A17U</t>
  </si>
  <si>
    <t>CSE Global</t>
  </si>
  <si>
    <t>544</t>
  </si>
  <si>
    <t>CapitaLand Integrated Commercial Trust</t>
  </si>
  <si>
    <t>C38U</t>
  </si>
  <si>
    <t>Olam Group</t>
  </si>
  <si>
    <t>VC2</t>
  </si>
  <si>
    <t>Keppel DC REIT</t>
  </si>
  <si>
    <t>AJBU</t>
  </si>
  <si>
    <t>Keppel</t>
  </si>
  <si>
    <t>BN4</t>
  </si>
  <si>
    <t>SGX</t>
  </si>
  <si>
    <t>S68</t>
  </si>
  <si>
    <t>CapitaLand Investment</t>
  </si>
  <si>
    <t>9CI</t>
  </si>
  <si>
    <t>A31</t>
  </si>
  <si>
    <t>Keppel REIT</t>
  </si>
  <si>
    <t>K71U</t>
  </si>
  <si>
    <t>Frasers Logistics &amp; Commercial Trust</t>
  </si>
  <si>
    <t>BUOU</t>
  </si>
  <si>
    <t>Geo Energy Resources</t>
  </si>
  <si>
    <t>RE4</t>
  </si>
  <si>
    <t>Sheng Siong</t>
  </si>
  <si>
    <t>OV8</t>
  </si>
  <si>
    <t>ISDN</t>
  </si>
  <si>
    <t>I07</t>
  </si>
  <si>
    <t>Week of 8 June 2026</t>
  </si>
  <si>
    <r>
      <t xml:space="preserve">Institutional investors net </t>
    </r>
    <r>
      <rPr>
        <b/>
        <sz val="11"/>
        <rFont val="Arial"/>
        <family val="2"/>
      </rPr>
      <t>buy</t>
    </r>
    <r>
      <rPr>
        <sz val="11"/>
        <rFont val="Arial"/>
        <family val="2"/>
      </rPr>
      <t xml:space="preserve"> (+S$254.6m) vs. (+S$14.4m) a week ago</t>
    </r>
  </si>
  <si>
    <r>
      <t xml:space="preserve">Retail investors net </t>
    </r>
    <r>
      <rPr>
        <b/>
        <sz val="11"/>
        <rFont val="Arial"/>
        <family val="2"/>
      </rPr>
      <t>buy</t>
    </r>
    <r>
      <rPr>
        <sz val="11"/>
        <rFont val="Arial"/>
        <family val="2"/>
      </rPr>
      <t xml:space="preserve"> (+S$402.2m) vs. (+S$208.4m) a week ago</t>
    </r>
  </si>
  <si>
    <t>Addvalue 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</si>
</sst>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5"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5"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0" zoomScaleNormal="8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85</v>
      </c>
      <c r="C1" s="59"/>
    </row>
    <row r="2" spans="1:13" x14ac:dyDescent="0.3">
      <c r="A2" s="52" t="s">
        <v>86</v>
      </c>
      <c r="I2" s="40"/>
    </row>
    <row r="3" spans="1:13" x14ac:dyDescent="0.3">
      <c r="A3" s="52" t="s">
        <v>87</v>
      </c>
      <c r="I3" s="40"/>
    </row>
    <row r="5" spans="1:13" ht="29.25" customHeight="1" x14ac:dyDescent="0.3">
      <c r="A5" s="3" t="s">
        <v>0</v>
      </c>
      <c r="B5" s="3" t="s">
        <v>1</v>
      </c>
      <c r="C5" s="4" t="s">
        <v>85</v>
      </c>
      <c r="D5" s="43" t="s">
        <v>2</v>
      </c>
      <c r="E5" s="43" t="s">
        <v>1</v>
      </c>
      <c r="F5" s="44" t="str">
        <f>+C5</f>
        <v>Week of 8 June 2026</v>
      </c>
      <c r="I5" s="2"/>
    </row>
    <row r="6" spans="1:13" ht="14.5" x14ac:dyDescent="0.35">
      <c r="A6" s="28" t="s">
        <v>40</v>
      </c>
      <c r="B6" s="46" t="s">
        <v>41</v>
      </c>
      <c r="C6" s="5">
        <v>151.75452200000001</v>
      </c>
      <c r="D6" s="28" t="s">
        <v>36</v>
      </c>
      <c r="E6" s="46" t="s">
        <v>37</v>
      </c>
      <c r="F6" s="5">
        <v>-72.768750900000001</v>
      </c>
      <c r="G6" s="61"/>
      <c r="H6"/>
      <c r="I6" s="2"/>
      <c r="M6"/>
    </row>
    <row r="7" spans="1:13" ht="14.5" x14ac:dyDescent="0.35">
      <c r="A7" s="29" t="s">
        <v>22</v>
      </c>
      <c r="B7" s="9" t="s">
        <v>21</v>
      </c>
      <c r="C7" s="7">
        <v>70.038358000000002</v>
      </c>
      <c r="D7" s="29" t="s">
        <v>52</v>
      </c>
      <c r="E7" s="9" t="s">
        <v>53</v>
      </c>
      <c r="F7" s="7">
        <v>-18.702461</v>
      </c>
      <c r="G7" s="61"/>
      <c r="H7"/>
      <c r="I7" s="2"/>
      <c r="L7"/>
      <c r="M7"/>
    </row>
    <row r="8" spans="1:13" ht="14.5" x14ac:dyDescent="0.35">
      <c r="A8" s="30" t="s">
        <v>34</v>
      </c>
      <c r="B8" s="46" t="s">
        <v>35</v>
      </c>
      <c r="C8" s="5">
        <v>62.188246999999997</v>
      </c>
      <c r="D8" s="30" t="s">
        <v>48</v>
      </c>
      <c r="E8" s="46" t="s">
        <v>49</v>
      </c>
      <c r="F8" s="5">
        <v>-15.428259000000001</v>
      </c>
      <c r="G8" s="61"/>
      <c r="H8"/>
      <c r="I8" s="2"/>
      <c r="L8"/>
      <c r="M8"/>
    </row>
    <row r="9" spans="1:13" ht="14.5" x14ac:dyDescent="0.35">
      <c r="A9" s="29" t="s">
        <v>70</v>
      </c>
      <c r="B9" s="9" t="s">
        <v>71</v>
      </c>
      <c r="C9" s="7">
        <v>49.100408000000002</v>
      </c>
      <c r="D9" s="29" t="s">
        <v>46</v>
      </c>
      <c r="E9" s="9" t="s">
        <v>47</v>
      </c>
      <c r="F9" s="7">
        <v>-13.507958051899999</v>
      </c>
      <c r="G9" s="61"/>
      <c r="H9"/>
      <c r="I9" s="2"/>
      <c r="L9"/>
      <c r="M9"/>
    </row>
    <row r="10" spans="1:13" ht="14.5" x14ac:dyDescent="0.35">
      <c r="A10" s="30" t="s">
        <v>44</v>
      </c>
      <c r="B10" s="46" t="s">
        <v>45</v>
      </c>
      <c r="C10" s="5">
        <v>28.012371999999999</v>
      </c>
      <c r="D10" s="30" t="s">
        <v>60</v>
      </c>
      <c r="E10" s="46" t="s">
        <v>61</v>
      </c>
      <c r="F10" s="5">
        <v>-12.431049</v>
      </c>
      <c r="G10" s="61"/>
      <c r="H10"/>
      <c r="I10" s="2"/>
      <c r="L10"/>
      <c r="M10"/>
    </row>
    <row r="11" spans="1:13" ht="14.5" x14ac:dyDescent="0.35">
      <c r="A11" s="29" t="s">
        <v>50</v>
      </c>
      <c r="B11" s="9" t="s">
        <v>51</v>
      </c>
      <c r="C11" s="7">
        <v>24.397824</v>
      </c>
      <c r="D11" s="29" t="s">
        <v>88</v>
      </c>
      <c r="E11" s="9" t="s">
        <v>74</v>
      </c>
      <c r="F11" s="7">
        <v>-12.374791399999999</v>
      </c>
      <c r="G11" s="61"/>
      <c r="H11"/>
      <c r="I11" s="2"/>
      <c r="L11"/>
      <c r="M11"/>
    </row>
    <row r="12" spans="1:13" ht="14.5" x14ac:dyDescent="0.35">
      <c r="A12" s="30" t="s">
        <v>68</v>
      </c>
      <c r="B12" s="46" t="s">
        <v>69</v>
      </c>
      <c r="C12" s="5">
        <v>22.196096000000001</v>
      </c>
      <c r="D12" s="30" t="s">
        <v>75</v>
      </c>
      <c r="E12" s="46" t="s">
        <v>76</v>
      </c>
      <c r="F12" s="5">
        <v>-11.9575215</v>
      </c>
      <c r="G12" s="61"/>
      <c r="H12"/>
      <c r="I12" s="2"/>
      <c r="L12"/>
      <c r="M12"/>
    </row>
    <row r="13" spans="1:13" ht="14.5" x14ac:dyDescent="0.35">
      <c r="A13" s="29" t="s">
        <v>56</v>
      </c>
      <c r="B13" s="9" t="s">
        <v>57</v>
      </c>
      <c r="C13" s="7">
        <v>18.512316999999999</v>
      </c>
      <c r="D13" s="29" t="s">
        <v>38</v>
      </c>
      <c r="E13" s="9" t="s">
        <v>39</v>
      </c>
      <c r="F13" s="7">
        <v>-8.1038370000000004</v>
      </c>
      <c r="G13" s="61"/>
      <c r="H13"/>
      <c r="I13" s="2"/>
      <c r="L13"/>
      <c r="M13"/>
    </row>
    <row r="14" spans="1:13" ht="14.5" x14ac:dyDescent="0.35">
      <c r="A14" s="30" t="s">
        <v>72</v>
      </c>
      <c r="B14" s="46" t="s">
        <v>73</v>
      </c>
      <c r="C14" s="5">
        <v>16.188099999999999</v>
      </c>
      <c r="D14" s="30" t="s">
        <v>77</v>
      </c>
      <c r="E14" s="46" t="s">
        <v>78</v>
      </c>
      <c r="F14" s="5">
        <v>-7.5159580000000004</v>
      </c>
      <c r="G14" s="61"/>
      <c r="H14"/>
      <c r="I14" s="2"/>
      <c r="L14"/>
      <c r="M14"/>
    </row>
    <row r="15" spans="1:13" ht="14.5" x14ac:dyDescent="0.35">
      <c r="A15" s="31" t="s">
        <v>58</v>
      </c>
      <c r="B15" s="27" t="s">
        <v>59</v>
      </c>
      <c r="C15" s="8">
        <v>13.723012000000001</v>
      </c>
      <c r="D15" s="31" t="s">
        <v>66</v>
      </c>
      <c r="E15" s="27" t="s">
        <v>67</v>
      </c>
      <c r="F15" s="8">
        <v>-7.069032</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8 June 2026</v>
      </c>
      <c r="D18" s="45" t="s">
        <v>4</v>
      </c>
      <c r="E18" s="43" t="s">
        <v>1</v>
      </c>
      <c r="F18" s="44" t="str">
        <f>+C18</f>
        <v>Week of 8 June 2026</v>
      </c>
    </row>
    <row r="19" spans="1:9" x14ac:dyDescent="0.3">
      <c r="A19" s="30" t="s">
        <v>22</v>
      </c>
      <c r="B19" s="46" t="s">
        <v>21</v>
      </c>
      <c r="C19" s="16">
        <v>294.17940599999997</v>
      </c>
      <c r="D19" s="30" t="s">
        <v>44</v>
      </c>
      <c r="E19" s="15" t="s">
        <v>45</v>
      </c>
      <c r="F19" s="5">
        <v>-45.547787</v>
      </c>
      <c r="I19" s="2"/>
    </row>
    <row r="20" spans="1:9" ht="14.5" x14ac:dyDescent="0.35">
      <c r="A20" s="29" t="s">
        <v>34</v>
      </c>
      <c r="B20" s="9" t="s">
        <v>35</v>
      </c>
      <c r="C20" s="7">
        <v>102.99771699999999</v>
      </c>
      <c r="D20" s="29" t="s">
        <v>50</v>
      </c>
      <c r="E20" s="17" t="s">
        <v>51</v>
      </c>
      <c r="F20" s="7">
        <v>-35.627710999999998</v>
      </c>
      <c r="G20" s="61"/>
      <c r="I20" s="2"/>
    </row>
    <row r="21" spans="1:9" ht="14.5" x14ac:dyDescent="0.35">
      <c r="A21" s="30" t="s">
        <v>36</v>
      </c>
      <c r="B21" s="46" t="s">
        <v>37</v>
      </c>
      <c r="C21" s="5">
        <v>55.258748300000008</v>
      </c>
      <c r="D21" s="30" t="s">
        <v>70</v>
      </c>
      <c r="E21" s="6" t="s">
        <v>71</v>
      </c>
      <c r="F21" s="5">
        <v>-30.453067999999998</v>
      </c>
      <c r="G21" s="61"/>
      <c r="I21" s="2"/>
    </row>
    <row r="22" spans="1:9" ht="14.5" x14ac:dyDescent="0.35">
      <c r="A22" s="29" t="s">
        <v>52</v>
      </c>
      <c r="B22" s="9" t="s">
        <v>53</v>
      </c>
      <c r="C22" s="7">
        <v>37.495379999999997</v>
      </c>
      <c r="D22" s="29" t="s">
        <v>81</v>
      </c>
      <c r="E22" s="17" t="s">
        <v>82</v>
      </c>
      <c r="F22" s="7">
        <v>-23.080033</v>
      </c>
      <c r="G22" s="61"/>
      <c r="I22" s="2"/>
    </row>
    <row r="23" spans="1:9" ht="14.5" x14ac:dyDescent="0.35">
      <c r="A23" s="30" t="s">
        <v>88</v>
      </c>
      <c r="B23" s="68" t="s">
        <v>74</v>
      </c>
      <c r="C23" s="69">
        <v>20.462660899999999</v>
      </c>
      <c r="D23" s="30" t="s">
        <v>42</v>
      </c>
      <c r="E23" s="6" t="s">
        <v>43</v>
      </c>
      <c r="F23" s="5">
        <v>-14.360935</v>
      </c>
      <c r="G23" s="61"/>
      <c r="I23" s="2"/>
    </row>
    <row r="24" spans="1:9" ht="14.5" x14ac:dyDescent="0.35">
      <c r="A24" s="70" t="s">
        <v>48</v>
      </c>
      <c r="B24" s="71" t="s">
        <v>49</v>
      </c>
      <c r="C24" s="72">
        <v>19.453544999999998</v>
      </c>
      <c r="D24" s="29" t="s">
        <v>64</v>
      </c>
      <c r="E24" s="17" t="s">
        <v>65</v>
      </c>
      <c r="F24" s="7">
        <v>-11.483836</v>
      </c>
      <c r="G24" s="61"/>
      <c r="I24" s="2"/>
    </row>
    <row r="25" spans="1:9" ht="14.5" x14ac:dyDescent="0.35">
      <c r="A25" s="30" t="s">
        <v>60</v>
      </c>
      <c r="B25" s="68" t="s">
        <v>61</v>
      </c>
      <c r="C25" s="69">
        <v>12.73443</v>
      </c>
      <c r="D25" s="30" t="s">
        <v>83</v>
      </c>
      <c r="E25" s="6" t="s">
        <v>84</v>
      </c>
      <c r="F25" s="5">
        <v>-8.5917025000000002</v>
      </c>
      <c r="G25" s="61"/>
      <c r="I25" s="2"/>
    </row>
    <row r="26" spans="1:9" ht="14.5" x14ac:dyDescent="0.35">
      <c r="A26" s="70" t="s">
        <v>54</v>
      </c>
      <c r="B26" s="71" t="s">
        <v>55</v>
      </c>
      <c r="C26" s="72">
        <v>7.6087429999999996</v>
      </c>
      <c r="D26" s="29" t="s">
        <v>62</v>
      </c>
      <c r="E26" s="17" t="s">
        <v>63</v>
      </c>
      <c r="F26" s="7">
        <v>-7.3800239999999997</v>
      </c>
      <c r="G26" s="61"/>
      <c r="I26" s="2"/>
    </row>
    <row r="27" spans="1:9" ht="14.5" x14ac:dyDescent="0.35">
      <c r="A27" s="30" t="s">
        <v>79</v>
      </c>
      <c r="B27" s="46" t="s">
        <v>80</v>
      </c>
      <c r="C27" s="5">
        <v>6.6871210000000003</v>
      </c>
      <c r="D27" s="30" t="s">
        <v>68</v>
      </c>
      <c r="E27" s="46" t="s">
        <v>69</v>
      </c>
      <c r="F27" s="5">
        <v>-6.5353659999999998</v>
      </c>
      <c r="G27" s="61"/>
      <c r="I27" s="2"/>
    </row>
    <row r="28" spans="1:9" ht="14.5" x14ac:dyDescent="0.35">
      <c r="A28" s="27" t="s">
        <v>58</v>
      </c>
      <c r="B28" s="56" t="s">
        <v>59</v>
      </c>
      <c r="C28" s="8">
        <v>6.6258900000000001</v>
      </c>
      <c r="D28" s="67" t="s">
        <v>56</v>
      </c>
      <c r="E28" s="56" t="s">
        <v>57</v>
      </c>
      <c r="F28" s="8">
        <v>-5.7723880000000003</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7 E10 B25 B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211.81496527625004</v>
      </c>
      <c r="B3" s="54">
        <v>46160</v>
      </c>
      <c r="C3" s="14">
        <v>-29.27841077986</v>
      </c>
      <c r="D3" s="14">
        <v>-9.1165659935999983</v>
      </c>
      <c r="E3" s="14">
        <v>-8.2538080999999988</v>
      </c>
      <c r="F3" s="14">
        <v>258.11218869999999</v>
      </c>
      <c r="G3" s="14">
        <v>2.3324721981999996</v>
      </c>
      <c r="H3" s="14">
        <v>-53.508963667249979</v>
      </c>
      <c r="I3" s="14">
        <v>-3.4628139000000004</v>
      </c>
      <c r="J3" s="14">
        <v>-1.6182727492999991</v>
      </c>
      <c r="K3" s="14">
        <v>-46.554710981939998</v>
      </c>
      <c r="L3" s="14">
        <v>14.162871350000003</v>
      </c>
      <c r="M3" s="14">
        <v>92.893546399999991</v>
      </c>
      <c r="N3" s="14">
        <v>-3.8925672000000002</v>
      </c>
    </row>
    <row r="4" spans="1:15" x14ac:dyDescent="0.3">
      <c r="A4" s="38">
        <f>SUM(C4:N4)</f>
        <v>-435.76558285169989</v>
      </c>
      <c r="B4" s="42">
        <v>46167</v>
      </c>
      <c r="C4" s="53">
        <v>-11.858028678859997</v>
      </c>
      <c r="D4" s="53">
        <v>-36.55092637100001</v>
      </c>
      <c r="E4" s="53">
        <v>-6.9326538000000006</v>
      </c>
      <c r="F4" s="53">
        <v>-238.00810716799998</v>
      </c>
      <c r="G4" s="53">
        <v>-3.2989241865999994</v>
      </c>
      <c r="H4" s="53">
        <v>46.705927128899987</v>
      </c>
      <c r="I4" s="53">
        <v>-3.0900107999999995</v>
      </c>
      <c r="J4" s="53">
        <v>-43.760790003400011</v>
      </c>
      <c r="K4" s="53">
        <v>-76.24035967273997</v>
      </c>
      <c r="L4" s="53">
        <v>129.02386770000001</v>
      </c>
      <c r="M4" s="53">
        <v>-240.9064845</v>
      </c>
      <c r="N4" s="53">
        <v>49.150907500000002</v>
      </c>
    </row>
    <row r="5" spans="1:15" x14ac:dyDescent="0.3">
      <c r="A5" s="38">
        <f>SUM(C5:N5)</f>
        <v>14.424524775099989</v>
      </c>
      <c r="B5" s="66">
        <v>46174</v>
      </c>
      <c r="C5" s="14">
        <v>9.6940564764200019</v>
      </c>
      <c r="D5" s="14">
        <v>-1.5268753327</v>
      </c>
      <c r="E5" s="14">
        <v>-0.97053959999999995</v>
      </c>
      <c r="F5" s="14">
        <v>171.70267799999999</v>
      </c>
      <c r="G5" s="14">
        <v>-1.9201639865000002</v>
      </c>
      <c r="H5" s="14">
        <v>-33.141512906900005</v>
      </c>
      <c r="I5" s="14">
        <v>-0.8632761000000001</v>
      </c>
      <c r="J5" s="14">
        <v>-7.6628453571999984</v>
      </c>
      <c r="K5" s="14">
        <v>-33.171590868019997</v>
      </c>
      <c r="L5" s="14">
        <v>-41.948752449999994</v>
      </c>
      <c r="M5" s="14">
        <v>-27.5094432</v>
      </c>
      <c r="N5" s="14">
        <v>-18.257209899999999</v>
      </c>
    </row>
    <row r="6" spans="1:15" ht="14.5" x14ac:dyDescent="0.35">
      <c r="A6" s="38">
        <f>SUM(C6:N6)</f>
        <v>254.57544136022003</v>
      </c>
      <c r="B6" s="58">
        <v>46181</v>
      </c>
      <c r="C6" s="53">
        <v>8.1151268728500003</v>
      </c>
      <c r="D6" s="53">
        <v>35.37235087709999</v>
      </c>
      <c r="E6" s="53">
        <v>-6.9806160999999998</v>
      </c>
      <c r="F6" s="53">
        <v>347.36147010000002</v>
      </c>
      <c r="G6" s="53">
        <v>3.8294329320999996</v>
      </c>
      <c r="H6" s="53">
        <v>-20.704016281620003</v>
      </c>
      <c r="I6" s="53">
        <v>-2.3663028000000002</v>
      </c>
      <c r="J6" s="53">
        <v>-10.376632647299997</v>
      </c>
      <c r="K6" s="53">
        <v>-47.014612342909984</v>
      </c>
      <c r="L6" s="53">
        <v>22.878249450000002</v>
      </c>
      <c r="M6" s="53">
        <v>-73.749034399999999</v>
      </c>
      <c r="N6" s="53">
        <v>-1.7899743000000001</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-136.32768544021005</v>
      </c>
      <c r="B3" s="47">
        <v>46160</v>
      </c>
      <c r="C3" s="60">
        <v>37.41709055994</v>
      </c>
      <c r="D3" s="60">
        <v>-20.544377921700001</v>
      </c>
      <c r="E3" s="60">
        <v>8.8681815999999998</v>
      </c>
      <c r="F3" s="60">
        <v>-359.69456780000007</v>
      </c>
      <c r="G3" s="60">
        <v>-4.3295245205000015</v>
      </c>
      <c r="H3" s="60">
        <v>68.548042253300025</v>
      </c>
      <c r="I3" s="60">
        <v>5.3258500000000017</v>
      </c>
      <c r="J3" s="60">
        <v>-5.357098079900001</v>
      </c>
      <c r="K3" s="60">
        <v>17.20937161865</v>
      </c>
      <c r="L3" s="60">
        <v>14.39234415</v>
      </c>
      <c r="M3" s="60">
        <v>93.466474299999987</v>
      </c>
      <c r="N3" s="60">
        <v>8.3705284000000013</v>
      </c>
      <c r="P3" s="13"/>
    </row>
    <row r="4" spans="1:20" x14ac:dyDescent="0.3">
      <c r="A4" s="48">
        <f>SUM(C4:N4)</f>
        <v>78.925864224560016</v>
      </c>
      <c r="B4" s="58">
        <v>46167</v>
      </c>
      <c r="C4" s="55">
        <v>12.793089255340002</v>
      </c>
      <c r="D4" s="55">
        <v>-3.336891727999999</v>
      </c>
      <c r="E4" s="55">
        <v>7.4376826000000005</v>
      </c>
      <c r="F4" s="55">
        <v>23.929269693000006</v>
      </c>
      <c r="G4" s="55">
        <v>0.20987535099999871</v>
      </c>
      <c r="H4" s="55">
        <v>-8.1882995480999963</v>
      </c>
      <c r="I4" s="55">
        <v>4.4763380999999995</v>
      </c>
      <c r="J4" s="55">
        <v>-1.848144203599998</v>
      </c>
      <c r="K4" s="55">
        <v>19.677207054920007</v>
      </c>
      <c r="L4" s="55">
        <v>-120.88098275000002</v>
      </c>
      <c r="M4" s="55">
        <v>150.19666620000001</v>
      </c>
      <c r="N4" s="55">
        <v>-5.5399458000000008</v>
      </c>
      <c r="P4" s="13"/>
    </row>
    <row r="5" spans="1:20" x14ac:dyDescent="0.3">
      <c r="A5" s="48">
        <f>SUM(C5:N5)</f>
        <v>208.39029605896999</v>
      </c>
      <c r="B5" s="66">
        <v>46174</v>
      </c>
      <c r="C5" s="60">
        <v>-1.4546329917100003</v>
      </c>
      <c r="D5" s="60">
        <v>3.0523732792000007</v>
      </c>
      <c r="E5" s="60">
        <v>2.1301763</v>
      </c>
      <c r="F5" s="60">
        <v>-17.32857330000002</v>
      </c>
      <c r="G5" s="60">
        <v>0.73923511759999982</v>
      </c>
      <c r="H5" s="60">
        <v>-19.216637995349984</v>
      </c>
      <c r="I5" s="60">
        <v>1.2704693000000005</v>
      </c>
      <c r="J5" s="60">
        <v>15.6729445001</v>
      </c>
      <c r="K5" s="60">
        <v>49.344484549129994</v>
      </c>
      <c r="L5" s="60">
        <v>88.951011600000001</v>
      </c>
      <c r="M5" s="60">
        <v>69.157055400000004</v>
      </c>
      <c r="N5" s="60">
        <v>16.072390300000002</v>
      </c>
      <c r="P5" s="13"/>
    </row>
    <row r="6" spans="1:20" x14ac:dyDescent="0.3">
      <c r="A6" s="48">
        <f>SUM(C6:N6)</f>
        <v>402.18496361039996</v>
      </c>
      <c r="B6" s="58">
        <v>46181</v>
      </c>
      <c r="C6" s="55">
        <v>-8.5664830224199982</v>
      </c>
      <c r="D6" s="55">
        <v>-36.808201415200003</v>
      </c>
      <c r="E6" s="55">
        <v>6.9350767000000006</v>
      </c>
      <c r="F6" s="55">
        <v>374.19261689999996</v>
      </c>
      <c r="G6" s="55">
        <v>-2.2580631556999999</v>
      </c>
      <c r="H6" s="55">
        <v>27.186349141240001</v>
      </c>
      <c r="I6" s="55">
        <v>0.87710179999999993</v>
      </c>
      <c r="J6" s="55">
        <v>3.3896196396000007</v>
      </c>
      <c r="K6" s="55">
        <v>-6.1986060271199994</v>
      </c>
      <c r="L6" s="55">
        <v>-21.122817149999999</v>
      </c>
      <c r="M6" s="55">
        <v>55.299143600000008</v>
      </c>
      <c r="N6" s="55">
        <v>9.2592265999999999</v>
      </c>
      <c r="P6" s="13"/>
    </row>
    <row r="7" spans="1:20" ht="14.5" x14ac:dyDescent="0.35">
      <c r="A7" s="51"/>
      <c r="B7" s="41"/>
      <c r="C7" s="50"/>
      <c r="D7" s="50"/>
      <c r="E7" s="50"/>
      <c r="F7" s="50"/>
      <c r="G7" s="50"/>
      <c r="H7" s="50"/>
      <c r="I7" s="50"/>
      <c r="J7" s="50"/>
      <c r="K7" s="50"/>
      <c r="L7" s="50"/>
      <c r="M7" s="50"/>
      <c r="N7" s="50"/>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Eden Ow</cp:lastModifiedBy>
  <cp:lastPrinted>2024-07-01T01:26:22Z</cp:lastPrinted>
  <dcterms:created xsi:type="dcterms:W3CDTF">2020-01-13T01:31:10Z</dcterms:created>
  <dcterms:modified xsi:type="dcterms:W3CDTF">2026-06-15T04:11:20Z</dcterms:modified>
</cp:coreProperties>
</file>