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029"/>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94841512-D951-49BE-B5E4-F714C0D63C48}" xr6:coauthVersionLast="47" xr6:coauthVersionMax="47" xr10:uidLastSave="{00000000-0000-0000-0000-000000000000}"/>
  <bookViews>
    <workbookView xWindow="28680" yWindow="-120" windowWidth="29040" windowHeight="15840"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 i="3" l="1"/>
  <c r="A5" i="3"/>
  <c r="A6" i="3"/>
  <c r="A3" i="3"/>
  <c r="A4" i="2"/>
  <c r="A5" i="2"/>
  <c r="A6" i="2"/>
  <c r="A3" i="2"/>
  <c r="C32" i="4" l="1"/>
  <c r="A1" i="4"/>
  <c r="A1" i="5" l="1"/>
  <c r="D32" i="4" l="1"/>
  <c r="C18" i="1" l="1"/>
  <c r="F18" i="1" s="1"/>
  <c r="F5" i="1"/>
</calcChain>
</file>

<file path=xl/sharedStrings.xml><?xml version="1.0" encoding="utf-8"?>
<sst xmlns="http://schemas.openxmlformats.org/spreadsheetml/2006/main" count="518" uniqueCount="279">
  <si>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</si>
  <si>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</si>
  <si>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</si>
  <si>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</si>
  <si>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</si>
  <si>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</si>
  <si>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</si>
  <si>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</si>
  <si>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</si>
  <si>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</si>
  <si>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</si>
  <si>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</si>
  <si>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</si>
  <si>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</si>
  <si>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</si>
  <si>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</si>
  <si>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</si>
  <si>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</si>
  <si>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</si>
  <si>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</si>
  <si>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</si>
  <si>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</si>
  <si>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</si>
  <si>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</si>
  <si>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</si>
  <si>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</si>
  <si>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</si>
  <si>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</si>
  <si>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</si>
  <si>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</si>
  <si>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</si>
  <si>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</si>
  <si>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</si>
  <si>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</si>
  <si>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</si>
  <si>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</si>
  <si>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</si>
  <si>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</si>
  <si>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</si>
  <si>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</si>
  <si>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</si>
  <si>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</si>
  <si>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</si>
  <si>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</si>
  <si>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</si>
  <si>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</si>
  <si>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</si>
  <si>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</si>
  <si>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</si>
  <si>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</si>
  <si>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</si>
  <si>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</si>
  <si>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</si>
  <si>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</si>
  <si>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</si>
  <si>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</si>
  <si>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</si>
  <si>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</si>
  <si>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</si>
  <si>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</si>
  <si>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</si>
  <si>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</si>
  <si>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</si>
  <si>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</si>
  <si>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</si>
  <si>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</si>
  <si>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</si>
  <si>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</si>
  <si>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</si>
  <si>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To sign up for daily market updates or for more information, please contact research@sgx.com.</t>
  </si>
  <si>
    <t>sgx.com/research</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</si>
  <si>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</si>
  <si>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</si>
  <si>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</si>
  <si>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</si>
  <si>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</si>
  <si>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</si>
  <si>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</si>
  <si>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</si>
  <si>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</si>
  <si>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</si>
  <si>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</si>
  <si>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</si>
  <si>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</si>
  <si>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</si>
  <si>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</si>
  <si>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</si>
  <si>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</si>
  <si>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Emperador Inc</t>
  </si>
  <si>
    <t>EMI</t>
  </si>
  <si>
    <t>CapitaLand Ascendas REIT</t>
  </si>
  <si>
    <t>S51</t>
  </si>
  <si>
    <t>T82U</t>
  </si>
  <si>
    <t>AWX</t>
  </si>
  <si>
    <t>OV8</t>
  </si>
  <si>
    <t>HMN</t>
  </si>
  <si>
    <t>NS8U</t>
  </si>
  <si>
    <t>CMOU</t>
  </si>
  <si>
    <t>S56</t>
  </si>
  <si>
    <t>AU8U</t>
  </si>
  <si>
    <t>VC2</t>
  </si>
  <si>
    <t>YTD Institution
Net Buy (+) / Net Sell (-) (S$M)</t>
  </si>
  <si>
    <t>YTD Avg Daily Turnover (S$M)</t>
  </si>
  <si>
    <t>Past 5 Sessions Institution Net Buy (+) / Net Sell (-) (S$M)</t>
  </si>
  <si>
    <t>Sector</t>
  </si>
  <si>
    <t>K71U</t>
  </si>
  <si>
    <t>J91U</t>
  </si>
  <si>
    <t>A7RU</t>
  </si>
  <si>
    <t>5WH</t>
  </si>
  <si>
    <t>C52</t>
  </si>
  <si>
    <t>JYEU</t>
  </si>
  <si>
    <t>E5H</t>
  </si>
  <si>
    <t>J69U</t>
  </si>
  <si>
    <t>E28</t>
  </si>
  <si>
    <t>MZH</t>
  </si>
  <si>
    <t>YF8</t>
  </si>
  <si>
    <t>EB5</t>
  </si>
  <si>
    <t>BSL</t>
  </si>
  <si>
    <t>CGN</t>
  </si>
  <si>
    <t>CJLU</t>
  </si>
  <si>
    <t>NIO</t>
  </si>
  <si>
    <t>CY6U</t>
  </si>
  <si>
    <t>DCRU</t>
  </si>
  <si>
    <t>J85</t>
  </si>
  <si>
    <t>RE4</t>
  </si>
  <si>
    <t>C2PU</t>
  </si>
  <si>
    <t>T13</t>
  </si>
  <si>
    <t>AIY</t>
  </si>
  <si>
    <t>BTOU</t>
  </si>
  <si>
    <t>BVA</t>
  </si>
  <si>
    <t>SK6U</t>
  </si>
  <si>
    <t>O5RU</t>
  </si>
  <si>
    <t>NO4</t>
  </si>
  <si>
    <t>CC3</t>
  </si>
  <si>
    <t>AP4</t>
  </si>
  <si>
    <t>OXMU</t>
  </si>
  <si>
    <t>CRPU</t>
  </si>
  <si>
    <t>Z25</t>
  </si>
  <si>
    <t>S08</t>
  </si>
  <si>
    <t>Q5T</t>
  </si>
  <si>
    <t>P40U</t>
  </si>
  <si>
    <t>F03</t>
  </si>
  <si>
    <t>P34</t>
  </si>
  <si>
    <t>CWBU</t>
  </si>
  <si>
    <t>ComfortDelGro</t>
  </si>
  <si>
    <t>Note ^ on SGX Watchlist</t>
  </si>
  <si>
    <t>All stocks tabled above consolidates counters relevant to the stock (e.g. fund flow for Singtel includes counters Z74 and Z77)</t>
  </si>
  <si>
    <t>Seatrium</t>
  </si>
  <si>
    <t>558</t>
  </si>
  <si>
    <t>546</t>
  </si>
  <si>
    <t>TS0U</t>
  </si>
  <si>
    <t>8AZ</t>
  </si>
  <si>
    <t xml:space="preserve">Note that the above list of 100 most traded stocks is on a year-to-date basis and may include stocks that are currently suspended for trading. </t>
  </si>
  <si>
    <t>544</t>
  </si>
  <si>
    <t>Keppel</t>
  </si>
  <si>
    <t>F83</t>
  </si>
  <si>
    <t>5NV</t>
  </si>
  <si>
    <t>8K7</t>
  </si>
  <si>
    <t>Z59</t>
  </si>
  <si>
    <t>Y45</t>
  </si>
  <si>
    <t>BN2</t>
  </si>
  <si>
    <t>BEZ</t>
  </si>
  <si>
    <t>G92</t>
  </si>
  <si>
    <t>T14</t>
  </si>
  <si>
    <t>NTA</t>
  </si>
  <si>
    <t>H02</t>
  </si>
  <si>
    <t>S59</t>
  </si>
  <si>
    <t>Keppel DC REIT</t>
  </si>
  <si>
    <t>5LY</t>
  </si>
  <si>
    <t>AGS</t>
  </si>
  <si>
    <t>CapitaLand China Trust</t>
  </si>
  <si>
    <t>G Invacom</t>
  </si>
  <si>
    <t>QS9</t>
  </si>
  <si>
    <t>Keppel Corporation</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</si>
  <si>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</si>
  <si>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</si>
  <si>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</si>
  <si>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</si>
  <si>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</si>
  <si>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</si>
  <si>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</si>
  <si>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</si>
  <si>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</si>
  <si>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</si>
  <si>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</si>
  <si>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</si>
  <si>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</si>
  <si>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</si>
  <si>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</si>
  <si>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</si>
  <si>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</si>
  <si>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</si>
  <si>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</si>
  <si>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</si>
  <si>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</si>
  <si>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</si>
  <si>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</si>
  <si>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</si>
  <si>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</si>
  <si>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</si>
  <si>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</si>
  <si>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</si>
  <si>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</si>
  <si>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</si>
  <si>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</si>
  <si>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</si>
  <si>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</si>
  <si>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</si>
  <si>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</si>
  <si>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ESR-LOGOS REIT</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</si>
  <si>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</si>
  <si>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</si>
  <si>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</si>
  <si>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</si>
  <si>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</si>
  <si>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</si>
  <si>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</si>
  <si>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</si>
  <si>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</si>
  <si>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</si>
  <si>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</si>
  <si>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</si>
  <si>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</si>
  <si>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</si>
  <si>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Medtecs Intl</t>
  </si>
  <si>
    <t>YZJ Fin Hldg</t>
  </si>
  <si>
    <t>Dyna-Mac</t>
  </si>
  <si>
    <t>Food Empire</t>
  </si>
  <si>
    <t>First Resources</t>
  </si>
  <si>
    <t>StarHub</t>
  </si>
  <si>
    <t>Riverstone</t>
  </si>
  <si>
    <t>Yanlord Land</t>
  </si>
  <si>
    <t>Chasen</t>
  </si>
  <si>
    <t>HPH Trust USD</t>
  </si>
  <si>
    <t>AIMS APAC Reit</t>
  </si>
  <si>
    <t>Far East HTrust</t>
  </si>
  <si>
    <t>KepPacOakReitUSD</t>
  </si>
  <si>
    <t>Cromwell Reit EUR</t>
  </si>
  <si>
    <t>Raffles Medical</t>
  </si>
  <si>
    <t>Olam Group</t>
  </si>
  <si>
    <t>Top Glove</t>
  </si>
  <si>
    <t>SingPost</t>
  </si>
  <si>
    <t>ManulifeReit USD</t>
  </si>
  <si>
    <t>OUEREIT</t>
  </si>
  <si>
    <t>Prime US ReitUSD</t>
  </si>
  <si>
    <t>StarhillGbl Reit</t>
  </si>
  <si>
    <t>PARAGONREIT</t>
  </si>
  <si>
    <t>Emperador Inc.</t>
  </si>
  <si>
    <t>Aztech Gbl</t>
  </si>
  <si>
    <t>TJ DaRenTang USD</t>
  </si>
  <si>
    <t>RH PetroGas</t>
  </si>
  <si>
    <t>China Aviation</t>
  </si>
  <si>
    <t>MarcoPolo Marine</t>
  </si>
  <si>
    <t>CSE Global</t>
  </si>
  <si>
    <t>Beng Kuang^</t>
  </si>
  <si>
    <t>UGHealthcare</t>
  </si>
  <si>
    <t>Best World</t>
  </si>
  <si>
    <t>Valuetronics</t>
  </si>
  <si>
    <t>Novo Tellus SPAC</t>
  </si>
  <si>
    <t>Haw Par</t>
  </si>
  <si>
    <t>TheHourGlass</t>
  </si>
  <si>
    <t>Sasseur Reit</t>
  </si>
  <si>
    <t>Delfi</t>
  </si>
  <si>
    <t>SMI Vantage^</t>
  </si>
  <si>
    <t>Yoma Strategic</t>
  </si>
  <si>
    <t>SIA Engineering</t>
  </si>
  <si>
    <t>Week of 12 February 2024</t>
  </si>
  <si>
    <t>Source: SGX.</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</si>
  <si>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SGX Securities Trading   and SGX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</si>
  <si>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ESR-Logos REIT</t>
  </si>
  <si>
    <t>UMS Holdings</t>
  </si>
  <si>
    <t>Mapletree Panasia Commercial Trust</t>
  </si>
  <si>
    <t>iFast Corporation</t>
  </si>
  <si>
    <t>Keppel Pacific Oak US REIT</t>
  </si>
  <si>
    <r>
      <t>Institutional investors net</t>
    </r>
    <r>
      <rPr>
        <b/>
        <sz val="11"/>
        <rFont val="Arial"/>
        <family val="2"/>
      </rPr>
      <t xml:space="preserve"> buy </t>
    </r>
    <r>
      <rPr>
        <sz val="11"/>
        <rFont val="Arial"/>
        <family val="2"/>
      </rPr>
      <t>(+S$203.9m) vs. (-S$145.1m) a week ago</t>
    </r>
  </si>
  <si>
    <r>
      <t xml:space="preserve">Retail investors net </t>
    </r>
    <r>
      <rPr>
        <b/>
        <sz val="11"/>
        <rFont val="Arial"/>
        <family val="2"/>
      </rPr>
      <t xml:space="preserve">sell </t>
    </r>
    <r>
      <rPr>
        <sz val="11"/>
        <rFont val="Arial"/>
        <family val="2"/>
      </rPr>
      <t>(-S$316.4m) vs.</t>
    </r>
    <r>
      <rPr>
        <b/>
        <sz val="11"/>
        <rFont val="Arial"/>
        <family val="2"/>
      </rPr>
      <t xml:space="preserve"> </t>
    </r>
    <r>
      <rPr>
        <sz val="11"/>
        <rFont val="Arial"/>
        <family val="2"/>
      </rPr>
      <t>(+S$483.5m) a week ago</t>
    </r>
  </si>
  <si>
    <t>SAM Holdings</t>
  </si>
  <si>
    <t>9G2</t>
  </si>
  <si>
    <t>Mapletree Pan-Asia Commercial Trust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</si>
</sst>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0_);[Red]\(0.00\)"/>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
      <b/>
      <sz val="11"/>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164" fontId="1" fillId="0" borderId="0" applyFont="0" applyFill="0" applyBorder="0" applyAlignment="0" applyProtection="0"/>
  </cellStyleXfs>
  <cellXfs count="96">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1" applyNumberFormat="1" applyFont="1" applyFill="1" applyAlignment="1">
      <alignment horizontal="center" vertical="center"/>
    </xf>
    <xf numFmtId="168" fontId="3" fillId="0" borderId="0" xfId="0" applyNumberFormat="1" applyFont="1"/>
    <xf numFmtId="166" fontId="3" fillId="4" borderId="0" xfId="0" applyNumberFormat="1" applyFont="1" applyFill="1" applyAlignment="1">
      <alignment horizontal="left"/>
    </xf>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5" fontId="0" fillId="0" borderId="0" xfId="0" applyNumberFormat="1"/>
    <xf numFmtId="168" fontId="0" fillId="0" borderId="0" xfId="0" applyNumberFormat="1"/>
    <xf numFmtId="170" fontId="3" fillId="0" borderId="0" xfId="0" applyNumberFormat="1" applyFont="1"/>
    <xf numFmtId="171" fontId="3" fillId="4" borderId="4" xfId="0" applyNumberFormat="1" applyFont="1" applyFill="1" applyBorder="1" applyAlignment="1">
      <alignment horizontal="right"/>
    </xf>
    <xf numFmtId="167" fontId="7" fillId="6" borderId="11" xfId="0" applyNumberFormat="1" applyFont="1" applyFill="1" applyBorder="1" applyAlignment="1">
      <alignment horizontal="center"/>
    </xf>
    <xf numFmtId="0" fontId="14" fillId="0" borderId="0" xfId="0" applyFont="1" applyAlignment="1">
      <alignment vertic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165" fontId="3" fillId="0" borderId="5" xfId="0" applyNumberFormat="1" applyFont="1" applyBorder="1" applyAlignment="1">
      <alignment horizontal="left"/>
    </xf>
    <xf numFmtId="0" fontId="3" fillId="0" borderId="5" xfId="0" applyFont="1" applyBorder="1" applyAlignment="1">
      <alignment horizontal="left"/>
    </xf>
    <xf numFmtId="0" fontId="17" fillId="0" borderId="0" xfId="0" applyFont="1"/>
    <xf numFmtId="169" fontId="0" fillId="0" borderId="0" xfId="0" applyNumberFormat="1"/>
    <xf numFmtId="169" fontId="3" fillId="0" borderId="0" xfId="1" applyNumberFormat="1" applyFont="1" applyFill="1"/>
    <xf numFmtId="165" fontId="3" fillId="0" borderId="0" xfId="0" applyNumberFormat="1" applyFont="1" applyAlignment="1">
      <alignment horizontal="center" vertical="center"/>
    </xf>
    <xf numFmtId="15" fontId="3" fillId="0" borderId="0" xfId="0" applyNumberFormat="1" applyFont="1" applyAlignment="1">
      <alignment horizontal="left" vertical="center"/>
    </xf>
    <xf numFmtId="165" fontId="3" fillId="0" borderId="0" xfId="0" applyNumberFormat="1" applyFont="1"/>
    <xf numFmtId="164"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9" fontId="3" fillId="0" borderId="5" xfId="1" applyNumberFormat="1" applyFont="1" applyBorder="1" applyAlignment="1">
      <alignment horizontal="right"/>
    </xf>
    <xf numFmtId="165" fontId="15" fillId="0" borderId="4" xfId="0" applyNumberFormat="1" applyFont="1" applyBorder="1" applyAlignment="1">
      <alignment horizontal="left"/>
    </xf>
    <xf numFmtId="165" fontId="15" fillId="4" borderId="4" xfId="0" applyNumberFormat="1" applyFont="1" applyFill="1" applyBorder="1" applyAlignment="1">
      <alignment horizontal="left"/>
    </xf>
    <xf numFmtId="15" fontId="3" fillId="4" borderId="0" xfId="0" applyNumberFormat="1" applyFont="1" applyFill="1" applyAlignment="1">
      <alignment horizontal="left" vertical="center"/>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8" fontId="3" fillId="7" borderId="0" xfId="1" applyNumberFormat="1" applyFont="1" applyFill="1" applyAlignment="1">
      <alignment horizontal="center" vertical="center"/>
    </xf>
    <xf numFmtId="167" fontId="7" fillId="0" borderId="0" xfId="0" applyNumberFormat="1" applyFont="1" applyAlignment="1">
      <alignment horizontal="center"/>
    </xf>
    <xf numFmtId="166" fontId="3" fillId="4" borderId="13" xfId="0" applyNumberFormat="1" applyFont="1" applyFill="1" applyBorder="1" applyAlignment="1">
      <alignment horizontal="left"/>
    </xf>
    <xf numFmtId="15" fontId="3" fillId="0" borderId="13" xfId="0" applyNumberFormat="1" applyFont="1" applyBorder="1" applyAlignment="1">
      <alignment horizontal="left" vertical="center"/>
    </xf>
    <xf numFmtId="0" fontId="14" fillId="4" borderId="4" xfId="0" applyFont="1" applyFill="1" applyBorder="1" applyAlignment="1">
      <alignment vertical="center"/>
    </xf>
    <xf numFmtId="165" fontId="3" fillId="4" borderId="4" xfId="0" applyNumberFormat="1" applyFont="1" applyFill="1" applyBorder="1"/>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166" fontId="3" fillId="7" borderId="13" xfId="0" applyNumberFormat="1" applyFont="1" applyFill="1" applyBorder="1" applyAlignment="1">
      <alignment horizontal="left"/>
    </xf>
    <xf numFmtId="164" fontId="0" fillId="0" borderId="0" xfId="1" applyFont="1"/>
    <xf numFmtId="0" fontId="15" fillId="0" borderId="0" xfId="0" applyFont="1"/>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26.42578125" style="2" customWidth="1"/>
    <col min="8" max="8" width="9.42578125" style="2"/>
    <col min="9" max="9" width="17" style="42" bestFit="1" customWidth="1"/>
    <col min="10" max="10" width="10.42578125" style="2" bestFit="1" customWidth="1"/>
    <col min="11" max="11" width="9.42578125" style="2"/>
    <col min="12" max="12" width="10.5703125" style="2" bestFit="1" customWidth="1"/>
    <col min="13" max="16384" width="9.42578125" style="2"/>
  </cols>
  <sheetData>
    <row r="1" spans="1:13" ht="15" x14ac:dyDescent="0.25">
      <c r="A1" s="1" t="s">
        <v>266</v>
      </c>
    </row>
    <row r="2" spans="1:13" ht="15" x14ac:dyDescent="0.25">
      <c r="A2" s="85" t="s">
        <v>274</v>
      </c>
      <c r="I2" s="58"/>
    </row>
    <row r="3" spans="1:13" ht="15" x14ac:dyDescent="0.25">
      <c r="A3" s="85" t="s">
        <v>275</v>
      </c>
      <c r="I3" s="58"/>
    </row>
    <row r="5" spans="1:13" ht="29.25" customHeight="1" x14ac:dyDescent="0.2">
      <c r="A5" s="3" t="s">
        <v>0</v>
      </c>
      <c r="B5" s="3" t="s">
        <v>1</v>
      </c>
      <c r="C5" s="4" t="s">
        <v>266</v>
      </c>
      <c r="D5" s="80" t="s">
        <v>2</v>
      </c>
      <c r="E5" s="80" t="s">
        <v>1</v>
      </c>
      <c r="F5" s="81" t="str">
        <f>+C5</f>
        <v>Week of 12 February 2024</v>
      </c>
    </row>
    <row r="6" spans="1:13" ht="15" x14ac:dyDescent="0.25">
      <c r="A6" s="36" t="s">
        <v>26</v>
      </c>
      <c r="B6" s="86" t="s">
        <v>21</v>
      </c>
      <c r="C6" s="6">
        <v>74.970793</v>
      </c>
      <c r="D6" s="36" t="s">
        <v>45</v>
      </c>
      <c r="E6" s="86" t="s">
        <v>42</v>
      </c>
      <c r="F6" s="6">
        <v>-9.5757638000000007</v>
      </c>
      <c r="G6" s="61"/>
      <c r="K6" s="47"/>
      <c r="L6"/>
      <c r="M6"/>
    </row>
    <row r="7" spans="1:13" ht="15" x14ac:dyDescent="0.25">
      <c r="A7" s="37" t="s">
        <v>33</v>
      </c>
      <c r="B7" s="10" t="s">
        <v>31</v>
      </c>
      <c r="C7" s="8">
        <v>60.741858999999998</v>
      </c>
      <c r="D7" s="37" t="s">
        <v>147</v>
      </c>
      <c r="E7" s="10" t="s">
        <v>91</v>
      </c>
      <c r="F7" s="8">
        <v>-8.8799246999999966</v>
      </c>
      <c r="G7" s="61"/>
      <c r="K7" s="47"/>
      <c r="L7"/>
      <c r="M7"/>
    </row>
    <row r="8" spans="1:13" ht="15" x14ac:dyDescent="0.25">
      <c r="A8" s="38" t="s">
        <v>27</v>
      </c>
      <c r="B8" s="86" t="s">
        <v>22</v>
      </c>
      <c r="C8" s="6">
        <v>26.555454000000001</v>
      </c>
      <c r="D8" s="38" t="s">
        <v>49</v>
      </c>
      <c r="E8" s="86" t="s">
        <v>47</v>
      </c>
      <c r="F8" s="6">
        <v>-6.0617988000000027</v>
      </c>
      <c r="G8" s="61"/>
      <c r="K8" s="47"/>
      <c r="L8"/>
      <c r="M8"/>
    </row>
    <row r="9" spans="1:13" ht="15" x14ac:dyDescent="0.25">
      <c r="A9" s="37" t="s">
        <v>154</v>
      </c>
      <c r="B9" s="10" t="s">
        <v>32</v>
      </c>
      <c r="C9" s="8">
        <v>25.358556</v>
      </c>
      <c r="D9" s="37" t="s">
        <v>65</v>
      </c>
      <c r="E9" s="10" t="s">
        <v>59</v>
      </c>
      <c r="F9" s="8">
        <v>-5.4022360000000003</v>
      </c>
      <c r="G9" s="61"/>
      <c r="K9" s="47"/>
      <c r="L9"/>
      <c r="M9"/>
    </row>
    <row r="10" spans="1:13" ht="15" x14ac:dyDescent="0.25">
      <c r="A10" s="38" t="s">
        <v>28</v>
      </c>
      <c r="B10" s="86" t="s">
        <v>23</v>
      </c>
      <c r="C10" s="6">
        <v>18.974285999999999</v>
      </c>
      <c r="D10" s="38" t="s">
        <v>50</v>
      </c>
      <c r="E10" s="86" t="s">
        <v>48</v>
      </c>
      <c r="F10" s="6">
        <v>-4.9178990000000002</v>
      </c>
      <c r="G10" s="61"/>
      <c r="K10" s="47"/>
      <c r="L10"/>
      <c r="M10"/>
    </row>
    <row r="11" spans="1:13" ht="15" x14ac:dyDescent="0.25">
      <c r="A11" s="37" t="s">
        <v>39</v>
      </c>
      <c r="B11" s="10" t="s">
        <v>37</v>
      </c>
      <c r="C11" s="8">
        <v>18.157776999999999</v>
      </c>
      <c r="D11" s="37" t="s">
        <v>44</v>
      </c>
      <c r="E11" s="10" t="s">
        <v>41</v>
      </c>
      <c r="F11" s="8">
        <v>-4.8731439999999999</v>
      </c>
      <c r="G11" s="61"/>
      <c r="K11" s="47"/>
      <c r="L11"/>
      <c r="M11"/>
    </row>
    <row r="12" spans="1:13" ht="15" x14ac:dyDescent="0.25">
      <c r="A12" s="38" t="s">
        <v>79</v>
      </c>
      <c r="B12" s="86" t="s">
        <v>56</v>
      </c>
      <c r="C12" s="6">
        <v>16.090596999999999</v>
      </c>
      <c r="D12" s="38" t="s">
        <v>271</v>
      </c>
      <c r="E12" s="86" t="s">
        <v>58</v>
      </c>
      <c r="F12" s="6">
        <v>-4.0401730000000002</v>
      </c>
      <c r="G12" s="61"/>
      <c r="K12" s="47"/>
      <c r="L12"/>
      <c r="M12"/>
    </row>
    <row r="13" spans="1:13" ht="15" x14ac:dyDescent="0.25">
      <c r="A13" s="37" t="s">
        <v>167</v>
      </c>
      <c r="B13" s="10" t="s">
        <v>78</v>
      </c>
      <c r="C13" s="8">
        <v>11.121230000000001</v>
      </c>
      <c r="D13" s="37" t="s">
        <v>86</v>
      </c>
      <c r="E13" s="10" t="s">
        <v>85</v>
      </c>
      <c r="F13" s="8">
        <v>-3.736783</v>
      </c>
      <c r="G13" s="61"/>
      <c r="K13" s="47"/>
      <c r="L13"/>
      <c r="M13"/>
    </row>
    <row r="14" spans="1:13" ht="15" x14ac:dyDescent="0.25">
      <c r="A14" s="38" t="s">
        <v>46</v>
      </c>
      <c r="B14" s="86" t="s">
        <v>43</v>
      </c>
      <c r="C14" s="6">
        <v>9.1742329999999992</v>
      </c>
      <c r="D14" s="38" t="s">
        <v>144</v>
      </c>
      <c r="E14" s="86" t="s">
        <v>109</v>
      </c>
      <c r="F14" s="6">
        <v>-3.7164039999999998</v>
      </c>
      <c r="G14" s="61"/>
      <c r="K14" s="47"/>
      <c r="L14"/>
      <c r="M14"/>
    </row>
    <row r="15" spans="1:13" ht="15" x14ac:dyDescent="0.25">
      <c r="A15" s="39" t="s">
        <v>90</v>
      </c>
      <c r="B15" s="35" t="s">
        <v>25</v>
      </c>
      <c r="C15" s="9">
        <v>5.3282800000000003</v>
      </c>
      <c r="D15" s="39" t="s">
        <v>170</v>
      </c>
      <c r="E15" s="35" t="s">
        <v>99</v>
      </c>
      <c r="F15" s="9">
        <v>-3.4276680000000002</v>
      </c>
      <c r="G15" s="61"/>
      <c r="K15" s="47"/>
      <c r="L15"/>
      <c r="M15"/>
    </row>
    <row r="16" spans="1:13" ht="15" x14ac:dyDescent="0.2">
      <c r="A16" s="10"/>
      <c r="B16" s="10"/>
      <c r="C16" s="10"/>
      <c r="D16" s="33"/>
      <c r="E16" s="10"/>
      <c r="F16" s="10"/>
    </row>
    <row r="17" spans="1:13" x14ac:dyDescent="0.2">
      <c r="A17" s="10"/>
      <c r="B17" s="10"/>
      <c r="C17" s="10"/>
      <c r="D17" s="10"/>
      <c r="E17" s="10"/>
      <c r="F17" s="10"/>
    </row>
    <row r="18" spans="1:13" ht="28.5" customHeight="1" x14ac:dyDescent="0.2">
      <c r="A18" s="41" t="s">
        <v>3</v>
      </c>
      <c r="B18" s="3" t="s">
        <v>1</v>
      </c>
      <c r="C18" s="4" t="str">
        <f>C5</f>
        <v>Week of 12 February 2024</v>
      </c>
      <c r="D18" s="82" t="s">
        <v>4</v>
      </c>
      <c r="E18" s="80" t="s">
        <v>1</v>
      </c>
      <c r="F18" s="81" t="str">
        <f>+C18</f>
        <v>Week of 12 February 2024</v>
      </c>
    </row>
    <row r="19" spans="1:13" ht="15" x14ac:dyDescent="0.25">
      <c r="A19" s="76" t="s">
        <v>50</v>
      </c>
      <c r="B19" s="86" t="s">
        <v>48</v>
      </c>
      <c r="C19" s="6">
        <v>10.692302</v>
      </c>
      <c r="D19" s="36" t="s">
        <v>33</v>
      </c>
      <c r="E19" s="86" t="s">
        <v>31</v>
      </c>
      <c r="F19" s="6">
        <v>-80.867323999999996</v>
      </c>
      <c r="G19" s="61"/>
      <c r="I19" s="40"/>
      <c r="K19" s="47"/>
      <c r="L19"/>
      <c r="M19"/>
    </row>
    <row r="20" spans="1:13" ht="15" x14ac:dyDescent="0.25">
      <c r="A20" s="37" t="s">
        <v>34</v>
      </c>
      <c r="B20" s="10" t="s">
        <v>30</v>
      </c>
      <c r="C20" s="8">
        <v>7.0298040000000004</v>
      </c>
      <c r="D20" s="37" t="s">
        <v>26</v>
      </c>
      <c r="E20" s="10" t="s">
        <v>21</v>
      </c>
      <c r="F20" s="8">
        <v>-71.213920000000002</v>
      </c>
      <c r="G20" s="61"/>
      <c r="I20" s="40"/>
      <c r="K20" s="47"/>
      <c r="L20"/>
      <c r="M20"/>
    </row>
    <row r="21" spans="1:13" ht="15" x14ac:dyDescent="0.25">
      <c r="A21" s="38" t="s">
        <v>147</v>
      </c>
      <c r="B21" s="86" t="s">
        <v>91</v>
      </c>
      <c r="C21" s="6">
        <v>6.1414484999999983</v>
      </c>
      <c r="D21" s="38" t="s">
        <v>27</v>
      </c>
      <c r="E21" s="86" t="s">
        <v>22</v>
      </c>
      <c r="F21" s="6">
        <v>-56.477849999999997</v>
      </c>
      <c r="G21" s="61"/>
      <c r="I21" s="40"/>
      <c r="K21" s="47"/>
      <c r="L21"/>
      <c r="M21"/>
    </row>
    <row r="22" spans="1:13" ht="15" x14ac:dyDescent="0.25">
      <c r="A22" s="37" t="s">
        <v>65</v>
      </c>
      <c r="B22" s="10" t="s">
        <v>59</v>
      </c>
      <c r="C22" s="8">
        <v>4.1158910000000004</v>
      </c>
      <c r="D22" s="37" t="s">
        <v>28</v>
      </c>
      <c r="E22" s="10" t="s">
        <v>23</v>
      </c>
      <c r="F22" s="8">
        <v>-51.249783999999998</v>
      </c>
      <c r="G22" s="61"/>
      <c r="I22" s="40"/>
      <c r="K22" s="47"/>
      <c r="L22"/>
      <c r="M22"/>
    </row>
    <row r="23" spans="1:13" ht="15" x14ac:dyDescent="0.25">
      <c r="A23" s="38" t="s">
        <v>40</v>
      </c>
      <c r="B23" s="86" t="s">
        <v>38</v>
      </c>
      <c r="C23" s="6">
        <v>3.555717</v>
      </c>
      <c r="D23" s="38" t="s">
        <v>154</v>
      </c>
      <c r="E23" s="86" t="s">
        <v>32</v>
      </c>
      <c r="F23" s="6">
        <v>-35.143728000000003</v>
      </c>
      <c r="G23" s="61"/>
      <c r="I23" s="50"/>
      <c r="K23" s="47"/>
      <c r="L23"/>
      <c r="M23"/>
    </row>
    <row r="24" spans="1:13" ht="15" x14ac:dyDescent="0.25">
      <c r="A24" s="37" t="s">
        <v>272</v>
      </c>
      <c r="B24" s="10" t="s">
        <v>127</v>
      </c>
      <c r="C24" s="8">
        <v>2.9480659999999999</v>
      </c>
      <c r="D24" s="37" t="s">
        <v>39</v>
      </c>
      <c r="E24" s="10" t="s">
        <v>37</v>
      </c>
      <c r="F24" s="8">
        <v>-15.945817999999999</v>
      </c>
      <c r="G24" s="61"/>
      <c r="I24" s="40"/>
      <c r="K24" s="47"/>
      <c r="L24"/>
      <c r="M24"/>
    </row>
    <row r="25" spans="1:13" ht="15" x14ac:dyDescent="0.25">
      <c r="A25" s="38" t="s">
        <v>273</v>
      </c>
      <c r="B25" s="86" t="s">
        <v>97</v>
      </c>
      <c r="C25" s="6">
        <v>2.9080900586</v>
      </c>
      <c r="D25" s="38" t="s">
        <v>270</v>
      </c>
      <c r="E25" s="86" t="s">
        <v>148</v>
      </c>
      <c r="F25" s="6">
        <v>-11.482692999999999</v>
      </c>
      <c r="G25" s="61"/>
      <c r="I25" s="40"/>
      <c r="K25" s="47"/>
      <c r="L25"/>
      <c r="M25"/>
    </row>
    <row r="26" spans="1:13" ht="15" x14ac:dyDescent="0.25">
      <c r="A26" s="37" t="s">
        <v>29</v>
      </c>
      <c r="B26" s="10" t="s">
        <v>24</v>
      </c>
      <c r="C26" s="8">
        <v>2.6579809999999999</v>
      </c>
      <c r="D26" s="37" t="s">
        <v>45</v>
      </c>
      <c r="E26" s="10" t="s">
        <v>42</v>
      </c>
      <c r="F26" s="8">
        <v>-8.4891260000000006</v>
      </c>
      <c r="G26" s="61"/>
      <c r="I26" s="40"/>
      <c r="K26" s="47"/>
      <c r="L26"/>
      <c r="M26"/>
    </row>
    <row r="27" spans="1:13" ht="15" x14ac:dyDescent="0.25">
      <c r="A27" s="38" t="s">
        <v>271</v>
      </c>
      <c r="B27" s="86" t="s">
        <v>58</v>
      </c>
      <c r="C27" s="6">
        <v>2.0002119999999999</v>
      </c>
      <c r="D27" s="38" t="s">
        <v>269</v>
      </c>
      <c r="E27" s="86" t="s">
        <v>106</v>
      </c>
      <c r="F27" s="6">
        <v>-4.9289585000000002</v>
      </c>
      <c r="G27" s="61"/>
      <c r="I27" s="40"/>
      <c r="K27" s="47"/>
      <c r="L27"/>
      <c r="M27"/>
    </row>
    <row r="28" spans="1:13" ht="15" x14ac:dyDescent="0.25">
      <c r="A28" s="39" t="s">
        <v>60</v>
      </c>
      <c r="B28" s="35" t="s">
        <v>51</v>
      </c>
      <c r="C28" s="9">
        <v>1.986067</v>
      </c>
      <c r="D28" s="39" t="s">
        <v>49</v>
      </c>
      <c r="E28" s="35" t="s">
        <v>47</v>
      </c>
      <c r="F28" s="9">
        <v>-3.7353659999999991</v>
      </c>
      <c r="G28" s="61"/>
      <c r="I28" s="40"/>
      <c r="K28" s="47"/>
      <c r="L28"/>
      <c r="M28"/>
    </row>
    <row r="29" spans="1:13" x14ac:dyDescent="0.2">
      <c r="A29" s="10"/>
      <c r="B29" s="10"/>
      <c r="C29" s="10"/>
      <c r="D29" s="10"/>
      <c r="E29" s="10"/>
      <c r="F29" s="10"/>
    </row>
    <row r="30" spans="1:13" x14ac:dyDescent="0.2">
      <c r="A30" s="11" t="s">
        <v>267</v>
      </c>
      <c r="B30" s="11"/>
      <c r="C30" s="10"/>
      <c r="D30" s="10"/>
      <c r="E30" s="10"/>
      <c r="F30" s="10"/>
    </row>
    <row r="31" spans="1:13" x14ac:dyDescent="0.2">
      <c r="A31" s="11" t="s">
        <v>82</v>
      </c>
      <c r="B31" s="11"/>
      <c r="C31" s="10"/>
      <c r="D31" s="10"/>
      <c r="E31" s="10"/>
      <c r="F31" s="10"/>
    </row>
    <row r="32" spans="1:13" x14ac:dyDescent="0.2">
      <c r="A32" s="11" t="s">
        <v>83</v>
      </c>
      <c r="B32" s="11"/>
      <c r="C32" s="10"/>
      <c r="D32" s="10"/>
      <c r="E32" s="10"/>
      <c r="F32" s="10"/>
    </row>
    <row r="33" spans="1:9" x14ac:dyDescent="0.2">
      <c r="A33" s="11" t="s">
        <v>6</v>
      </c>
      <c r="B33" s="11"/>
      <c r="C33" s="10"/>
      <c r="D33" s="10"/>
      <c r="E33" s="10"/>
      <c r="F33" s="10"/>
    </row>
    <row r="34" spans="1:9" x14ac:dyDescent="0.2">
      <c r="A34" s="11" t="s">
        <v>75</v>
      </c>
      <c r="B34" s="11"/>
      <c r="C34" s="10"/>
      <c r="D34" s="10"/>
      <c r="E34" s="10"/>
      <c r="F34" s="10"/>
    </row>
    <row r="35" spans="1:9" x14ac:dyDescent="0.2">
      <c r="A35" s="11"/>
      <c r="B35" s="11"/>
      <c r="C35" s="10"/>
      <c r="D35" s="10"/>
      <c r="E35" s="10"/>
      <c r="F35" s="10"/>
    </row>
    <row r="36" spans="1:9" x14ac:dyDescent="0.2">
      <c r="A36" s="11"/>
      <c r="B36" s="11"/>
      <c r="C36" s="10"/>
      <c r="D36" s="10"/>
      <c r="E36" s="10"/>
      <c r="F36" s="10"/>
    </row>
    <row r="37" spans="1:9" customFormat="1" ht="15.75" x14ac:dyDescent="0.25">
      <c r="A37" s="25" t="s">
        <v>68</v>
      </c>
      <c r="B37" s="26"/>
      <c r="C37" s="27"/>
      <c r="D37" s="27"/>
      <c r="E37" s="26"/>
      <c r="F37" s="26"/>
      <c r="I37" s="40"/>
    </row>
    <row r="38" spans="1:9" customFormat="1" ht="15" x14ac:dyDescent="0.25">
      <c r="A38" s="28" t="s">
        <v>69</v>
      </c>
      <c r="B38" s="26"/>
      <c r="C38" s="27"/>
      <c r="D38" s="27"/>
      <c r="E38" s="26"/>
      <c r="F38" s="26"/>
      <c r="I38" s="40"/>
    </row>
    <row r="39" spans="1:9" s="32" customFormat="1" ht="19.350000000000001" customHeight="1" x14ac:dyDescent="0.25">
      <c r="A39" s="29" t="s">
        <v>70</v>
      </c>
      <c r="B39" s="30"/>
      <c r="C39" s="31"/>
      <c r="D39" s="31"/>
      <c r="E39" s="30"/>
      <c r="F39" s="30"/>
      <c r="I39" s="43"/>
    </row>
    <row r="40" spans="1:9" ht="169.35" customHeight="1" x14ac:dyDescent="0.2">
      <c r="A40" s="88" t="s">
        <v>268</v>
      </c>
      <c r="B40" s="88"/>
      <c r="C40" s="88"/>
      <c r="D40" s="88"/>
      <c r="E40" s="88"/>
      <c r="F40" s="88"/>
    </row>
    <row r="41" spans="1:9" x14ac:dyDescent="0.2">
      <c r="A41" s="10"/>
      <c r="B41" s="10"/>
      <c r="C41" s="10"/>
      <c r="D41" s="10"/>
      <c r="E41" s="10"/>
      <c r="F41" s="10"/>
    </row>
    <row r="42" spans="1:9" x14ac:dyDescent="0.2">
      <c r="A42" s="10"/>
      <c r="B42" s="10"/>
      <c r="C42" s="10"/>
      <c r="D42" s="10"/>
      <c r="E42" s="10"/>
      <c r="F42" s="10"/>
    </row>
    <row r="43" spans="1:9" x14ac:dyDescent="0.2">
      <c r="A43" s="10"/>
      <c r="B43" s="10"/>
      <c r="C43" s="10"/>
      <c r="D43" s="10"/>
      <c r="E43" s="10"/>
      <c r="F43" s="10"/>
    </row>
    <row r="44" spans="1:9" x14ac:dyDescent="0.2">
      <c r="A44" s="10"/>
      <c r="B44" s="10"/>
      <c r="C44" s="10"/>
      <c r="D44" s="10"/>
      <c r="E44" s="10"/>
      <c r="F44" s="10"/>
    </row>
    <row r="45" spans="1:9" x14ac:dyDescent="0.2">
      <c r="A45" s="10"/>
      <c r="B45" s="10"/>
      <c r="C45" s="10"/>
      <c r="D45" s="10"/>
      <c r="E45" s="10"/>
      <c r="F45" s="10"/>
    </row>
    <row r="46" spans="1:9" x14ac:dyDescent="0.2">
      <c r="A46" s="10"/>
      <c r="B46" s="10"/>
      <c r="C46" s="10"/>
      <c r="D46" s="10"/>
      <c r="E46" s="10"/>
      <c r="F46" s="10"/>
    </row>
    <row r="47" spans="1:9" x14ac:dyDescent="0.2">
      <c r="A47" s="10"/>
      <c r="B47" s="10"/>
      <c r="C47" s="10"/>
      <c r="D47" s="10"/>
      <c r="E47" s="10"/>
      <c r="F47" s="10"/>
    </row>
    <row r="48" spans="1:9" x14ac:dyDescent="0.2">
      <c r="A48" s="10"/>
      <c r="B48" s="10"/>
      <c r="C48" s="10"/>
      <c r="D48" s="10"/>
      <c r="E48" s="10"/>
      <c r="F48" s="10"/>
    </row>
    <row r="49" spans="1:6" x14ac:dyDescent="0.2">
      <c r="A49" s="10"/>
      <c r="B49" s="10"/>
      <c r="C49" s="10"/>
      <c r="D49" s="10"/>
      <c r="E49" s="10"/>
      <c r="F49" s="10"/>
    </row>
    <row r="50" spans="1:6" x14ac:dyDescent="0.2">
      <c r="A50" s="12"/>
      <c r="B50" s="12"/>
      <c r="C50" s="12"/>
      <c r="D50" s="12"/>
      <c r="E50" s="12"/>
      <c r="F50" s="12"/>
    </row>
    <row r="51" spans="1:6" x14ac:dyDescent="0.2">
      <c r="A51" s="12"/>
      <c r="B51" s="12"/>
      <c r="C51" s="12"/>
      <c r="D51" s="12"/>
      <c r="E51" s="12"/>
      <c r="F51" s="12"/>
    </row>
    <row r="52" spans="1:6" x14ac:dyDescent="0.2">
      <c r="A52" s="12"/>
      <c r="B52" s="12"/>
      <c r="C52" s="12"/>
      <c r="D52" s="12"/>
      <c r="E52" s="12"/>
      <c r="F52" s="12"/>
    </row>
    <row r="53" spans="1:6" x14ac:dyDescent="0.2">
      <c r="A53" s="12"/>
      <c r="B53" s="12"/>
      <c r="C53" s="12"/>
      <c r="D53" s="12"/>
      <c r="E53" s="12"/>
      <c r="F53" s="12"/>
    </row>
    <row r="54" spans="1:6" x14ac:dyDescent="0.2">
      <c r="A54" s="12"/>
      <c r="B54" s="12"/>
      <c r="C54" s="12"/>
      <c r="D54" s="12"/>
      <c r="E54" s="12"/>
      <c r="F54" s="12"/>
    </row>
    <row r="55" spans="1:6" x14ac:dyDescent="0.2">
      <c r="A55" s="12"/>
      <c r="B55" s="12"/>
      <c r="C55" s="12"/>
      <c r="D55" s="12"/>
      <c r="E55" s="12"/>
      <c r="F55" s="12"/>
    </row>
    <row r="56" spans="1:6" x14ac:dyDescent="0.2">
      <c r="A56" s="12"/>
      <c r="B56" s="12"/>
      <c r="C56" s="12"/>
      <c r="D56" s="12"/>
      <c r="E56" s="12"/>
      <c r="F56" s="12"/>
    </row>
    <row r="57" spans="1:6" x14ac:dyDescent="0.2">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E2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0" width="7.85546875" style="2" bestFit="1" customWidth="1"/>
    <col min="11" max="11" width="7.140625" style="2" customWidth="1"/>
    <col min="12" max="12" width="13.85546875" style="2" customWidth="1"/>
    <col min="13" max="13" width="7.85546875" style="2" customWidth="1"/>
    <col min="14" max="14" width="8.5703125" style="2" customWidth="1"/>
    <col min="15" max="16384" width="9.42578125" style="2"/>
  </cols>
  <sheetData>
    <row r="1" spans="1:15" ht="17.25" customHeight="1" x14ac:dyDescent="0.2">
      <c r="A1" s="89" t="s">
        <v>7</v>
      </c>
      <c r="B1" s="13"/>
      <c r="C1" s="91" t="s">
        <v>8</v>
      </c>
      <c r="D1" s="92"/>
      <c r="E1" s="92"/>
      <c r="F1" s="92"/>
      <c r="G1" s="92"/>
      <c r="H1" s="92"/>
      <c r="I1" s="92"/>
      <c r="J1" s="92"/>
      <c r="K1" s="92"/>
      <c r="L1" s="92"/>
      <c r="M1" s="92"/>
      <c r="N1" s="93"/>
    </row>
    <row r="2" spans="1:15" ht="60" customHeight="1" x14ac:dyDescent="0.2">
      <c r="A2" s="90"/>
      <c r="B2" s="13" t="s">
        <v>9</v>
      </c>
      <c r="C2" s="13" t="s">
        <v>10</v>
      </c>
      <c r="D2" s="13" t="s">
        <v>11</v>
      </c>
      <c r="E2" s="13" t="s">
        <v>12</v>
      </c>
      <c r="F2" s="13" t="s">
        <v>13</v>
      </c>
      <c r="G2" s="13" t="s">
        <v>71</v>
      </c>
      <c r="H2" s="13" t="s">
        <v>14</v>
      </c>
      <c r="I2" s="13" t="s">
        <v>15</v>
      </c>
      <c r="J2" s="13" t="s">
        <v>16</v>
      </c>
      <c r="K2" s="13" t="s">
        <v>17</v>
      </c>
      <c r="L2" s="13" t="s">
        <v>18</v>
      </c>
      <c r="M2" s="13" t="s">
        <v>72</v>
      </c>
      <c r="N2" s="13" t="s">
        <v>19</v>
      </c>
    </row>
    <row r="3" spans="1:15" ht="15" x14ac:dyDescent="0.25">
      <c r="A3" s="49">
        <f>SUM(C3:N3)</f>
        <v>-213.98793213969995</v>
      </c>
      <c r="B3" s="16">
        <v>45313</v>
      </c>
      <c r="C3" s="17">
        <v>-17.420693985319996</v>
      </c>
      <c r="D3" s="17">
        <v>-6.4519570939999999</v>
      </c>
      <c r="E3" s="17">
        <v>-1.5983696999999997</v>
      </c>
      <c r="F3" s="17">
        <v>-106.90919</v>
      </c>
      <c r="G3" s="17">
        <v>-3.0386907354999999</v>
      </c>
      <c r="H3" s="17">
        <v>2.1683812198400099</v>
      </c>
      <c r="I3" s="17">
        <v>-0.45807249999999994</v>
      </c>
      <c r="J3" s="17">
        <v>-27.3006162611</v>
      </c>
      <c r="K3" s="17">
        <v>-50.168449483619995</v>
      </c>
      <c r="L3" s="17">
        <v>-2.1323124000000009</v>
      </c>
      <c r="M3" s="17">
        <v>0.38611469999999881</v>
      </c>
      <c r="N3" s="17">
        <v>-1.0640759000000002</v>
      </c>
    </row>
    <row r="4" spans="1:15" ht="15" x14ac:dyDescent="0.25">
      <c r="A4" s="49">
        <f t="shared" ref="A4:A6" si="0">SUM(C4:N4)</f>
        <v>-284.40025409617004</v>
      </c>
      <c r="B4" s="71">
        <v>45320</v>
      </c>
      <c r="C4" s="72">
        <v>-6.8954819843599982</v>
      </c>
      <c r="D4" s="72">
        <v>-7.9952984967000011</v>
      </c>
      <c r="E4" s="72">
        <v>-1.5623640000000001</v>
      </c>
      <c r="F4" s="72">
        <v>-193.478084</v>
      </c>
      <c r="G4" s="72">
        <v>-1.9111549854000001</v>
      </c>
      <c r="H4" s="72">
        <v>9.0792856316500021</v>
      </c>
      <c r="I4" s="72">
        <v>-2.2439969</v>
      </c>
      <c r="J4" s="72">
        <v>-26.029204932600003</v>
      </c>
      <c r="K4" s="72">
        <v>-47.959949828759996</v>
      </c>
      <c r="L4" s="72">
        <v>-14.041464</v>
      </c>
      <c r="M4" s="72">
        <v>-10.913559800000002</v>
      </c>
      <c r="N4" s="72">
        <v>19.551019199999995</v>
      </c>
    </row>
    <row r="5" spans="1:15" ht="15" x14ac:dyDescent="0.25">
      <c r="A5" s="49">
        <f t="shared" si="0"/>
        <v>-145.06840794932</v>
      </c>
      <c r="B5" s="74">
        <v>45327</v>
      </c>
      <c r="C5" s="17">
        <v>13.492986455229996</v>
      </c>
      <c r="D5" s="17">
        <v>-6.5678229333000004</v>
      </c>
      <c r="E5" s="17">
        <v>-1.1445855999999996</v>
      </c>
      <c r="F5" s="17">
        <v>-98.035383300000007</v>
      </c>
      <c r="G5" s="17">
        <v>0.17306169870000027</v>
      </c>
      <c r="H5" s="17">
        <v>23.172296441460013</v>
      </c>
      <c r="I5" s="17">
        <v>-0.85225989999999996</v>
      </c>
      <c r="J5" s="17">
        <v>-7.8718208337000011</v>
      </c>
      <c r="K5" s="17">
        <v>-22.771211377709996</v>
      </c>
      <c r="L5" s="17">
        <v>6.6136775999999999</v>
      </c>
      <c r="M5" s="17">
        <v>-50.257239600000005</v>
      </c>
      <c r="N5" s="17">
        <v>-1.0201065999999999</v>
      </c>
    </row>
    <row r="6" spans="1:15" ht="15" x14ac:dyDescent="0.25">
      <c r="A6" s="49">
        <f t="shared" si="0"/>
        <v>203.88894710106999</v>
      </c>
      <c r="B6" s="83">
        <v>45334</v>
      </c>
      <c r="C6" s="72">
        <v>-4.4855109951400003</v>
      </c>
      <c r="D6" s="72">
        <v>-8.1961384653999989</v>
      </c>
      <c r="E6" s="72">
        <v>1.9378410000000001</v>
      </c>
      <c r="F6" s="72">
        <v>114.78411057680002</v>
      </c>
      <c r="G6" s="72">
        <v>-1.9072132751000002</v>
      </c>
      <c r="H6" s="72">
        <v>87.817808812369989</v>
      </c>
      <c r="I6" s="72">
        <v>-0.64935860000000001</v>
      </c>
      <c r="J6" s="72">
        <v>-3.7378663614999992</v>
      </c>
      <c r="K6" s="72">
        <v>23.012601309040001</v>
      </c>
      <c r="L6" s="72">
        <v>8.7783444999999993</v>
      </c>
      <c r="M6" s="72">
        <v>-3.842224000000003</v>
      </c>
      <c r="N6" s="72">
        <v>-9.6234473999999999</v>
      </c>
    </row>
    <row r="7" spans="1:15" ht="15" x14ac:dyDescent="0.25">
      <c r="A7" s="73"/>
      <c r="B7" s="12"/>
      <c r="C7" s="14"/>
      <c r="D7" s="14"/>
      <c r="E7" s="14"/>
      <c r="F7" s="14"/>
      <c r="G7" s="14"/>
      <c r="H7" s="14"/>
      <c r="I7" s="14"/>
      <c r="J7" s="14"/>
      <c r="K7" s="14"/>
      <c r="L7" s="14"/>
      <c r="M7" s="14"/>
      <c r="N7" s="14"/>
    </row>
    <row r="8" spans="1:15" x14ac:dyDescent="0.2">
      <c r="B8" s="11" t="s">
        <v>5</v>
      </c>
      <c r="C8" s="11"/>
      <c r="D8" s="11"/>
    </row>
    <row r="9" spans="1:15" x14ac:dyDescent="0.2">
      <c r="B9" s="11" t="s">
        <v>82</v>
      </c>
      <c r="C9" s="11"/>
      <c r="D9" s="11"/>
    </row>
    <row r="10" spans="1:15" x14ac:dyDescent="0.2">
      <c r="B10" s="11" t="s">
        <v>6</v>
      </c>
      <c r="C10" s="11"/>
      <c r="D10" s="11"/>
    </row>
    <row r="11" spans="1:15" x14ac:dyDescent="0.2">
      <c r="B11" s="11" t="s">
        <v>75</v>
      </c>
      <c r="C11" s="12"/>
      <c r="D11" s="12"/>
    </row>
    <row r="12" spans="1:15" ht="15" x14ac:dyDescent="0.25">
      <c r="B12"/>
    </row>
    <row r="13" spans="1:15" ht="15" x14ac:dyDescent="0.25">
      <c r="C13" s="62"/>
      <c r="D13" s="62"/>
      <c r="E13" s="62"/>
      <c r="F13" s="62"/>
      <c r="G13" s="62"/>
      <c r="H13" s="62"/>
      <c r="I13" s="62"/>
      <c r="J13" s="62"/>
      <c r="K13" s="62"/>
      <c r="L13" s="62"/>
      <c r="M13" s="62"/>
      <c r="N13" s="62"/>
    </row>
    <row r="14" spans="1:15" ht="15" x14ac:dyDescent="0.25">
      <c r="B14" s="57"/>
      <c r="C14" s="57"/>
      <c r="D14" s="57"/>
      <c r="E14" s="57"/>
      <c r="F14" s="57"/>
      <c r="G14" s="57"/>
      <c r="H14" s="57"/>
      <c r="I14" s="57"/>
      <c r="J14" s="57"/>
      <c r="K14" s="57"/>
      <c r="L14" s="57"/>
      <c r="M14" s="57"/>
      <c r="N14"/>
      <c r="O14" s="46"/>
    </row>
    <row r="15" spans="1:15" ht="15" x14ac:dyDescent="0.25">
      <c r="C15" s="57"/>
      <c r="D15" s="57"/>
      <c r="E15" s="57"/>
      <c r="F15" s="57"/>
      <c r="G15" s="57"/>
      <c r="H15" s="57"/>
      <c r="I15" s="57"/>
      <c r="J15" s="57"/>
      <c r="K15" s="57"/>
      <c r="L15" s="57"/>
      <c r="M15" s="57"/>
      <c r="N15" s="57"/>
      <c r="O15" s="57"/>
    </row>
    <row r="16" spans="1:15" ht="15" x14ac:dyDescent="0.25">
      <c r="C16" s="46"/>
      <c r="D16" s="46"/>
      <c r="E16" s="46"/>
      <c r="F16" s="46"/>
      <c r="G16" s="46"/>
      <c r="H16" s="46"/>
      <c r="I16" s="46"/>
      <c r="J16" s="46"/>
      <c r="K16" s="46"/>
      <c r="L16" s="46"/>
      <c r="M16" s="46"/>
      <c r="N16" s="46"/>
      <c r="O16" s="46"/>
    </row>
    <row r="17" spans="3:15" ht="15" x14ac:dyDescent="0.25">
      <c r="C17" s="44"/>
      <c r="D17" s="44"/>
      <c r="E17" s="44"/>
      <c r="F17" s="44"/>
      <c r="G17" s="44"/>
      <c r="H17" s="44"/>
      <c r="I17" s="44"/>
      <c r="J17" s="44"/>
      <c r="K17" s="44"/>
      <c r="L17" s="44"/>
      <c r="M17" s="44"/>
      <c r="N17" s="44"/>
      <c r="O17" s="44"/>
    </row>
    <row r="18" spans="3:15" ht="15" x14ac:dyDescent="0.25">
      <c r="C18"/>
      <c r="D18"/>
    </row>
    <row r="19" spans="3:15" ht="15" x14ac:dyDescent="0.25">
      <c r="C19"/>
      <c r="D19"/>
    </row>
    <row r="20" spans="3:15" ht="15" x14ac:dyDescent="0.25">
      <c r="C20"/>
      <c r="D20"/>
    </row>
    <row r="21" spans="3:15" ht="15" x14ac:dyDescent="0.25">
      <c r="C21"/>
      <c r="D21"/>
    </row>
    <row r="22" spans="3:15" ht="15" x14ac:dyDescent="0.25">
      <c r="C22"/>
      <c r="D22"/>
    </row>
    <row r="23" spans="3:15"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orientation="landscape" r:id="rId1"/>
  <ignoredErrors>
    <ignoredError sqref="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4"/>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bestFit="1" customWidth="1"/>
    <col min="5" max="5" width="10.5703125" style="2" bestFit="1" customWidth="1"/>
    <col min="6" max="6" width="10" style="2" bestFit="1" customWidth="1"/>
    <col min="7" max="7" width="7.5703125" style="2" bestFit="1" customWidth="1"/>
    <col min="8" max="8" width="11.5703125" style="2" bestFit="1" customWidth="1"/>
    <col min="9" max="9" width="12.42578125" style="2" bestFit="1" customWidth="1"/>
    <col min="10" max="10" width="7.85546875" style="2" bestFit="1" customWidth="1"/>
    <col min="11" max="11" width="7.140625" style="2" bestFit="1" customWidth="1"/>
    <col min="12" max="12" width="13.85546875" style="2" customWidth="1"/>
    <col min="13" max="13" width="7.85546875" style="2" bestFit="1" customWidth="1"/>
    <col min="14" max="14" width="8.5703125" style="2" bestFit="1" customWidth="1"/>
    <col min="15" max="16384" width="9.42578125" style="2"/>
  </cols>
  <sheetData>
    <row r="1" spans="1:18" ht="17.25" customHeight="1" x14ac:dyDescent="0.2">
      <c r="A1" s="89" t="s">
        <v>7</v>
      </c>
      <c r="B1" s="13"/>
      <c r="C1" s="91" t="s">
        <v>8</v>
      </c>
      <c r="D1" s="92"/>
      <c r="E1" s="92"/>
      <c r="F1" s="92"/>
      <c r="G1" s="92"/>
      <c r="H1" s="92"/>
      <c r="I1" s="92"/>
      <c r="J1" s="92"/>
      <c r="K1" s="92"/>
      <c r="L1" s="92"/>
      <c r="M1" s="92"/>
      <c r="N1" s="93"/>
    </row>
    <row r="2" spans="1:18" ht="60" x14ac:dyDescent="0.2">
      <c r="A2" s="90"/>
      <c r="B2" s="13" t="s">
        <v>20</v>
      </c>
      <c r="C2" s="13" t="s">
        <v>10</v>
      </c>
      <c r="D2" s="13" t="s">
        <v>11</v>
      </c>
      <c r="E2" s="13" t="s">
        <v>12</v>
      </c>
      <c r="F2" s="13" t="s">
        <v>13</v>
      </c>
      <c r="G2" s="13" t="s">
        <v>71</v>
      </c>
      <c r="H2" s="13" t="s">
        <v>14</v>
      </c>
      <c r="I2" s="13" t="s">
        <v>15</v>
      </c>
      <c r="J2" s="13" t="s">
        <v>16</v>
      </c>
      <c r="K2" s="13" t="s">
        <v>17</v>
      </c>
      <c r="L2" s="13" t="s">
        <v>18</v>
      </c>
      <c r="M2" s="13" t="s">
        <v>72</v>
      </c>
      <c r="N2" s="13" t="s">
        <v>19</v>
      </c>
    </row>
    <row r="3" spans="1:18" ht="15" x14ac:dyDescent="0.25">
      <c r="A3" s="49">
        <f>SUM(C3:N3)</f>
        <v>83.408581310119956</v>
      </c>
      <c r="B3" s="60">
        <v>45313</v>
      </c>
      <c r="C3" s="59">
        <v>28.229514597169995</v>
      </c>
      <c r="D3" s="59">
        <v>1.7940022537000002</v>
      </c>
      <c r="E3" s="59">
        <v>1.885405</v>
      </c>
      <c r="F3" s="59">
        <v>-16.55524830000002</v>
      </c>
      <c r="G3" s="59">
        <v>4.5427093042000006</v>
      </c>
      <c r="H3" s="59">
        <v>-13.811888577030004</v>
      </c>
      <c r="I3" s="59">
        <v>0.5180821000000001</v>
      </c>
      <c r="J3" s="59">
        <v>16.811248634500004</v>
      </c>
      <c r="K3" s="59">
        <v>62.495248497579993</v>
      </c>
      <c r="L3" s="59">
        <v>4.7300406999999991</v>
      </c>
      <c r="M3" s="59">
        <v>-2.8508237000000016</v>
      </c>
      <c r="N3" s="59">
        <v>-4.3797092000000006</v>
      </c>
      <c r="P3" s="15"/>
    </row>
    <row r="4" spans="1:18" ht="15" x14ac:dyDescent="0.25">
      <c r="A4" s="49">
        <f t="shared" ref="A4:A6" si="0">SUM(C4:N4)</f>
        <v>-12.770038318130013</v>
      </c>
      <c r="B4" s="69">
        <v>45320</v>
      </c>
      <c r="C4" s="70">
        <v>-0.98482954764999986</v>
      </c>
      <c r="D4" s="70">
        <v>1.9565834569000002</v>
      </c>
      <c r="E4" s="70">
        <v>1.0403008999999996</v>
      </c>
      <c r="F4" s="70">
        <v>25.814044199999998</v>
      </c>
      <c r="G4" s="70">
        <v>1.9083782816999997</v>
      </c>
      <c r="H4" s="70">
        <v>-66.653434366930014</v>
      </c>
      <c r="I4" s="70">
        <v>2.0854665000000003</v>
      </c>
      <c r="J4" s="70">
        <v>23.576630656100001</v>
      </c>
      <c r="K4" s="70">
        <v>25.227004501749999</v>
      </c>
      <c r="L4" s="70">
        <v>22.199734700000004</v>
      </c>
      <c r="M4" s="70">
        <v>-18.110389300000001</v>
      </c>
      <c r="N4" s="70">
        <v>-30.8295283</v>
      </c>
      <c r="P4" s="15"/>
    </row>
    <row r="5" spans="1:18" ht="15" x14ac:dyDescent="0.25">
      <c r="A5" s="49">
        <f t="shared" si="0"/>
        <v>483.49107292075996</v>
      </c>
      <c r="B5" s="75">
        <v>45327</v>
      </c>
      <c r="C5" s="59">
        <v>-3.24512489437</v>
      </c>
      <c r="D5" s="59">
        <v>25.983025899299996</v>
      </c>
      <c r="E5" s="59">
        <v>-1.2585700000000002</v>
      </c>
      <c r="F5" s="59">
        <v>271.49758669999994</v>
      </c>
      <c r="G5" s="59">
        <v>-0.74979619150000021</v>
      </c>
      <c r="H5" s="59">
        <v>47.035673350780009</v>
      </c>
      <c r="I5" s="59">
        <v>8.9349500000000193E-2</v>
      </c>
      <c r="J5" s="59">
        <v>18.510422131799995</v>
      </c>
      <c r="K5" s="59">
        <v>61.709201424750006</v>
      </c>
      <c r="L5" s="59">
        <v>-12.1174214</v>
      </c>
      <c r="M5" s="59">
        <v>64.261180199999998</v>
      </c>
      <c r="N5" s="59">
        <v>11.775546199999999</v>
      </c>
      <c r="P5" s="15"/>
    </row>
    <row r="6" spans="1:18" ht="15" x14ac:dyDescent="0.25">
      <c r="A6" s="49">
        <f t="shared" si="0"/>
        <v>-316.37547126618006</v>
      </c>
      <c r="B6" s="87">
        <v>45334</v>
      </c>
      <c r="C6" s="70">
        <v>5.8683151700300007</v>
      </c>
      <c r="D6" s="70">
        <v>1.3844319845999999</v>
      </c>
      <c r="E6" s="70">
        <v>-1.7353871999999995</v>
      </c>
      <c r="F6" s="70">
        <v>-180.30676707680001</v>
      </c>
      <c r="G6" s="70">
        <v>1.3442990060999995</v>
      </c>
      <c r="H6" s="70">
        <v>-120.76891827945003</v>
      </c>
      <c r="I6" s="70">
        <v>-0.86250970000000005</v>
      </c>
      <c r="J6" s="70">
        <v>5.0192960894999992</v>
      </c>
      <c r="K6" s="70">
        <v>-2.2320697601600008</v>
      </c>
      <c r="L6" s="70">
        <v>-10.5638077</v>
      </c>
      <c r="M6" s="70">
        <v>-5.0710757999999991</v>
      </c>
      <c r="N6" s="70">
        <v>-8.4512780000000003</v>
      </c>
      <c r="P6" s="15"/>
    </row>
    <row r="7" spans="1:18" ht="15" x14ac:dyDescent="0.25">
      <c r="A7" s="73"/>
      <c r="B7" s="60"/>
      <c r="C7" s="59"/>
      <c r="D7" s="59"/>
      <c r="E7" s="59"/>
      <c r="F7" s="59"/>
      <c r="G7" s="59"/>
      <c r="H7" s="59"/>
      <c r="I7" s="59"/>
      <c r="J7" s="59"/>
      <c r="K7" s="59"/>
      <c r="L7" s="59"/>
      <c r="M7" s="59"/>
      <c r="N7" s="59"/>
      <c r="P7" s="15"/>
    </row>
    <row r="8" spans="1:18" x14ac:dyDescent="0.2">
      <c r="B8" s="11" t="s">
        <v>5</v>
      </c>
      <c r="C8" s="11"/>
      <c r="D8" s="11"/>
    </row>
    <row r="9" spans="1:18" x14ac:dyDescent="0.2">
      <c r="B9" s="11" t="s">
        <v>84</v>
      </c>
      <c r="C9" s="11"/>
      <c r="D9" s="11"/>
    </row>
    <row r="10" spans="1:18" x14ac:dyDescent="0.2">
      <c r="B10" s="11" t="s">
        <v>6</v>
      </c>
      <c r="C10" s="11"/>
      <c r="D10" s="11"/>
    </row>
    <row r="11" spans="1:18" x14ac:dyDescent="0.2">
      <c r="B11" s="11" t="s">
        <v>75</v>
      </c>
      <c r="C11" s="12"/>
      <c r="D11" s="12"/>
    </row>
    <row r="12" spans="1:18" ht="15" x14ac:dyDescent="0.25">
      <c r="C12" s="57"/>
      <c r="D12" s="57"/>
      <c r="E12" s="57"/>
      <c r="F12" s="57"/>
      <c r="G12" s="57"/>
      <c r="H12" s="57"/>
      <c r="I12" s="57"/>
      <c r="J12" s="57"/>
      <c r="K12" s="57"/>
      <c r="L12" s="57"/>
      <c r="M12" s="57"/>
      <c r="N12" s="57"/>
    </row>
    <row r="13" spans="1:18" ht="15" x14ac:dyDescent="0.25">
      <c r="B13"/>
      <c r="C13" s="84"/>
      <c r="D13" s="84"/>
      <c r="E13" s="84"/>
      <c r="F13" s="84"/>
      <c r="G13" s="84"/>
      <c r="H13" s="84"/>
      <c r="I13" s="84"/>
      <c r="J13" s="84"/>
      <c r="K13" s="84"/>
      <c r="L13" s="84"/>
      <c r="M13" s="84"/>
      <c r="N13" s="84"/>
    </row>
    <row r="14" spans="1:18" ht="15" x14ac:dyDescent="0.25">
      <c r="B14"/>
      <c r="C14" s="57"/>
      <c r="D14" s="57"/>
      <c r="E14" s="57"/>
      <c r="F14" s="57"/>
      <c r="G14" s="57"/>
      <c r="H14" s="57"/>
      <c r="I14" s="57"/>
      <c r="J14" s="57"/>
      <c r="K14" s="57"/>
      <c r="L14" s="57"/>
      <c r="M14" s="57"/>
      <c r="N14" s="57"/>
      <c r="O14" s="46"/>
      <c r="P14"/>
      <c r="Q14"/>
      <c r="R14"/>
    </row>
    <row r="15" spans="1:18" ht="15" x14ac:dyDescent="0.25">
      <c r="B15"/>
      <c r="C15"/>
      <c r="D15"/>
      <c r="E15"/>
      <c r="F15"/>
      <c r="G15"/>
      <c r="H15"/>
      <c r="I15"/>
      <c r="J15"/>
      <c r="K15"/>
      <c r="L15"/>
      <c r="M15"/>
      <c r="N15"/>
      <c r="O15"/>
      <c r="P15"/>
      <c r="Q15"/>
      <c r="R15"/>
    </row>
    <row r="16" spans="1:18" ht="15" x14ac:dyDescent="0.25">
      <c r="C16" s="57"/>
      <c r="D16" s="57"/>
      <c r="E16" s="57"/>
      <c r="F16" s="57"/>
      <c r="G16" s="57"/>
      <c r="H16" s="57"/>
      <c r="I16" s="57"/>
      <c r="J16" s="57"/>
      <c r="K16" s="57"/>
      <c r="L16" s="57"/>
      <c r="M16" s="57"/>
      <c r="N16" s="57"/>
      <c r="O16"/>
    </row>
    <row r="17" spans="3:14" ht="15" x14ac:dyDescent="0.25">
      <c r="C17" s="44"/>
      <c r="D17" s="44"/>
      <c r="E17" s="44"/>
      <c r="F17" s="44"/>
      <c r="G17" s="44"/>
      <c r="H17" s="44"/>
      <c r="I17" s="44"/>
      <c r="J17" s="44"/>
      <c r="K17" s="44"/>
      <c r="L17" s="44"/>
      <c r="M17" s="44"/>
      <c r="N17" s="44"/>
    </row>
    <row r="18" spans="3:14" ht="15" x14ac:dyDescent="0.25">
      <c r="C18"/>
      <c r="D18"/>
      <c r="E18"/>
      <c r="F18"/>
      <c r="G18"/>
      <c r="H18"/>
      <c r="I18"/>
      <c r="J18"/>
      <c r="K18"/>
      <c r="L18"/>
      <c r="M18"/>
      <c r="N18"/>
    </row>
    <row r="19" spans="3:14" ht="15" x14ac:dyDescent="0.25">
      <c r="C19" s="46"/>
      <c r="D19" s="46"/>
      <c r="E19" s="46"/>
      <c r="F19" s="46"/>
      <c r="G19" s="46"/>
      <c r="H19" s="46"/>
      <c r="I19" s="46"/>
      <c r="J19" s="46"/>
      <c r="K19" s="46"/>
      <c r="L19" s="46"/>
      <c r="M19" s="46"/>
      <c r="N19" s="46"/>
    </row>
    <row r="20" spans="3:14" ht="15" x14ac:dyDescent="0.25">
      <c r="C20"/>
      <c r="D20"/>
    </row>
    <row r="21" spans="3:14" ht="15" x14ac:dyDescent="0.25">
      <c r="C21"/>
      <c r="D21"/>
    </row>
    <row r="22" spans="3:14" ht="15" x14ac:dyDescent="0.25">
      <c r="C22"/>
      <c r="D22"/>
    </row>
    <row r="23" spans="3:14" ht="15" x14ac:dyDescent="0.25">
      <c r="C23"/>
      <c r="D23"/>
    </row>
    <row r="24" spans="3:14" ht="15" x14ac:dyDescent="0.25">
      <c r="C24"/>
      <c r="D24"/>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3: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37"/>
  <sheetViews>
    <sheetView showGridLines="0" zoomScaleNormal="100" workbookViewId="0"/>
  </sheetViews>
  <sheetFormatPr defaultRowHeight="15" x14ac:dyDescent="0.25"/>
  <cols>
    <col min="1" max="1" width="41.5703125" customWidth="1"/>
    <col min="2" max="2" width="8.5703125" customWidth="1"/>
    <col min="3" max="4" width="14.5703125" customWidth="1"/>
    <col min="5" max="5" width="8.5703125" customWidth="1"/>
  </cols>
  <sheetData>
    <row r="1" spans="1:9" ht="60" x14ac:dyDescent="0.25">
      <c r="A1" s="34" t="str">
        <f>CONCATENATE("STI Constituents - ",'Weekly Top 10'!$C$5)</f>
        <v>STI Constituents - Week of 12 February 2024</v>
      </c>
      <c r="B1" s="18" t="s">
        <v>1</v>
      </c>
      <c r="C1" s="19" t="s">
        <v>73</v>
      </c>
      <c r="D1" s="19" t="s">
        <v>74</v>
      </c>
    </row>
    <row r="2" spans="1:9" x14ac:dyDescent="0.25">
      <c r="A2" s="20" t="s">
        <v>90</v>
      </c>
      <c r="B2" s="21" t="s">
        <v>25</v>
      </c>
      <c r="C2" s="22">
        <v>5.3282800000000003</v>
      </c>
      <c r="D2" s="22">
        <v>0.90273400000000004</v>
      </c>
      <c r="E2" s="40"/>
      <c r="F2" s="44"/>
      <c r="H2" s="45"/>
      <c r="I2" s="45"/>
    </row>
    <row r="3" spans="1:9" x14ac:dyDescent="0.25">
      <c r="A3" s="23" t="s">
        <v>79</v>
      </c>
      <c r="B3" s="24" t="s">
        <v>56</v>
      </c>
      <c r="C3" s="8">
        <v>16.090596999999999</v>
      </c>
      <c r="D3" s="8">
        <v>-3.0812849999999998</v>
      </c>
      <c r="E3" s="40"/>
      <c r="F3" s="44"/>
      <c r="H3" s="45"/>
      <c r="I3" s="45"/>
    </row>
    <row r="4" spans="1:9" x14ac:dyDescent="0.25">
      <c r="A4" s="5" t="s">
        <v>86</v>
      </c>
      <c r="B4" s="7" t="s">
        <v>85</v>
      </c>
      <c r="C4" s="6">
        <v>-3.736783</v>
      </c>
      <c r="D4" s="6">
        <v>-3.0873189999999999</v>
      </c>
      <c r="E4" s="40"/>
      <c r="F4" s="44"/>
      <c r="H4" s="45"/>
      <c r="I4" s="45"/>
    </row>
    <row r="5" spans="1:9" x14ac:dyDescent="0.25">
      <c r="A5" s="23" t="s">
        <v>63</v>
      </c>
      <c r="B5" s="24" t="s">
        <v>54</v>
      </c>
      <c r="C5" s="8">
        <v>-0.190885</v>
      </c>
      <c r="D5" s="8">
        <v>1.7132810000000001</v>
      </c>
      <c r="E5" s="40"/>
      <c r="F5" s="44"/>
      <c r="H5" s="45"/>
      <c r="I5" s="45"/>
    </row>
    <row r="6" spans="1:9" x14ac:dyDescent="0.25">
      <c r="A6" s="5" t="s">
        <v>87</v>
      </c>
      <c r="B6" s="7" t="s">
        <v>57</v>
      </c>
      <c r="C6" s="6">
        <v>0.2726024346</v>
      </c>
      <c r="D6" s="6">
        <v>-0.41020671540000009</v>
      </c>
      <c r="E6" s="40"/>
      <c r="F6" s="44"/>
      <c r="H6" s="45"/>
      <c r="I6" s="45"/>
    </row>
    <row r="7" spans="1:9" x14ac:dyDescent="0.25">
      <c r="A7" s="23" t="s">
        <v>26</v>
      </c>
      <c r="B7" s="24" t="s">
        <v>21</v>
      </c>
      <c r="C7" s="8">
        <v>74.970793</v>
      </c>
      <c r="D7" s="8">
        <v>-71.213920000000002</v>
      </c>
      <c r="E7" s="40"/>
      <c r="F7" s="44"/>
      <c r="H7" s="45"/>
      <c r="I7" s="45"/>
    </row>
    <row r="8" spans="1:9" x14ac:dyDescent="0.25">
      <c r="A8" s="5" t="s">
        <v>88</v>
      </c>
      <c r="B8" s="7" t="s">
        <v>89</v>
      </c>
      <c r="C8" s="6">
        <v>0.38539849999999998</v>
      </c>
      <c r="D8" s="6">
        <v>-0.28263300000000002</v>
      </c>
      <c r="E8" s="40"/>
      <c r="F8" s="44"/>
      <c r="H8" s="45"/>
      <c r="I8" s="45"/>
    </row>
    <row r="9" spans="1:9" x14ac:dyDescent="0.25">
      <c r="A9" s="23" t="s">
        <v>81</v>
      </c>
      <c r="B9" s="24" t="s">
        <v>80</v>
      </c>
      <c r="C9" s="8">
        <v>-0.2471040000000001</v>
      </c>
      <c r="D9" s="8">
        <v>-0.34371800000000002</v>
      </c>
      <c r="E9" s="40"/>
      <c r="F9" s="44"/>
      <c r="H9" s="45"/>
      <c r="I9" s="45"/>
    </row>
    <row r="10" spans="1:9" x14ac:dyDescent="0.25">
      <c r="A10" s="5" t="s">
        <v>36</v>
      </c>
      <c r="B10" s="7" t="s">
        <v>35</v>
      </c>
      <c r="C10" s="6">
        <v>-0.13830799999999999</v>
      </c>
      <c r="D10" s="6">
        <v>-3.0875889999999999</v>
      </c>
      <c r="E10" s="40"/>
      <c r="F10" s="44"/>
      <c r="H10" s="45"/>
      <c r="I10" s="45"/>
    </row>
    <row r="11" spans="1:9" x14ac:dyDescent="0.25">
      <c r="A11" s="23" t="s">
        <v>64</v>
      </c>
      <c r="B11" s="24" t="s">
        <v>55</v>
      </c>
      <c r="C11" s="8">
        <v>2.3868060385000009</v>
      </c>
      <c r="D11" s="8">
        <v>-1.1094284105000001</v>
      </c>
      <c r="E11" s="40"/>
      <c r="F11" s="44"/>
      <c r="H11" s="45"/>
      <c r="I11" s="45"/>
    </row>
    <row r="12" spans="1:9" x14ac:dyDescent="0.25">
      <c r="A12" s="5" t="s">
        <v>50</v>
      </c>
      <c r="B12" s="7" t="s">
        <v>48</v>
      </c>
      <c r="C12" s="6">
        <v>-4.9178990000000002</v>
      </c>
      <c r="D12" s="6">
        <v>10.692302</v>
      </c>
      <c r="E12" s="40"/>
      <c r="F12" s="44"/>
      <c r="H12" s="45"/>
      <c r="I12" s="45"/>
    </row>
    <row r="13" spans="1:9" x14ac:dyDescent="0.25">
      <c r="A13" s="23" t="s">
        <v>62</v>
      </c>
      <c r="B13" s="24" t="s">
        <v>52</v>
      </c>
      <c r="C13" s="8">
        <v>-1.9870016943999991</v>
      </c>
      <c r="D13" s="8">
        <v>1.9401981275</v>
      </c>
      <c r="E13" s="40"/>
      <c r="F13" s="44"/>
      <c r="H13" s="45"/>
      <c r="I13" s="45"/>
    </row>
    <row r="14" spans="1:9" x14ac:dyDescent="0.25">
      <c r="A14" s="5" t="s">
        <v>173</v>
      </c>
      <c r="B14" s="7" t="s">
        <v>32</v>
      </c>
      <c r="C14" s="6">
        <v>25.358556</v>
      </c>
      <c r="D14" s="6">
        <v>-35.143728000000003</v>
      </c>
      <c r="E14" s="40"/>
      <c r="F14" s="44"/>
      <c r="H14" s="45"/>
      <c r="I14" s="45"/>
    </row>
    <row r="15" spans="1:9" x14ac:dyDescent="0.25">
      <c r="A15" s="23" t="s">
        <v>278</v>
      </c>
      <c r="B15" s="24" t="s">
        <v>58</v>
      </c>
      <c r="C15" s="8">
        <v>-4.0401730000000002</v>
      </c>
      <c r="D15" s="8">
        <v>2.0002119999999999</v>
      </c>
      <c r="E15" s="40"/>
      <c r="F15" s="44"/>
      <c r="H15" s="45"/>
      <c r="I15" s="45"/>
    </row>
    <row r="16" spans="1:9" x14ac:dyDescent="0.25">
      <c r="A16" s="5" t="s">
        <v>77</v>
      </c>
      <c r="B16" s="7" t="s">
        <v>76</v>
      </c>
      <c r="C16" s="6">
        <v>-2.8794400000000002</v>
      </c>
      <c r="D16" s="6">
        <v>-1.2734080000000001</v>
      </c>
      <c r="E16" s="40"/>
      <c r="F16" s="44"/>
      <c r="H16" s="45"/>
      <c r="I16" s="45"/>
    </row>
    <row r="17" spans="1:9" x14ac:dyDescent="0.25">
      <c r="A17" s="23" t="s">
        <v>40</v>
      </c>
      <c r="B17" s="24" t="s">
        <v>38</v>
      </c>
      <c r="C17" s="8">
        <v>0.98242499999999999</v>
      </c>
      <c r="D17" s="8">
        <v>3.555717</v>
      </c>
      <c r="E17" s="40"/>
      <c r="F17" s="44"/>
      <c r="H17" s="45"/>
      <c r="I17" s="45"/>
    </row>
    <row r="18" spans="1:9" x14ac:dyDescent="0.25">
      <c r="A18" s="5" t="s">
        <v>27</v>
      </c>
      <c r="B18" s="7" t="s">
        <v>22</v>
      </c>
      <c r="C18" s="6">
        <v>26.555454000000001</v>
      </c>
      <c r="D18" s="6">
        <v>-56.477849999999997</v>
      </c>
      <c r="E18" s="40"/>
      <c r="F18" s="44"/>
      <c r="H18" s="45"/>
      <c r="I18" s="45"/>
    </row>
    <row r="19" spans="1:9" x14ac:dyDescent="0.25">
      <c r="A19" s="23" t="s">
        <v>34</v>
      </c>
      <c r="B19" s="24" t="s">
        <v>30</v>
      </c>
      <c r="C19" s="8">
        <v>-2.7825880000000001</v>
      </c>
      <c r="D19" s="8">
        <v>7.0298040000000004</v>
      </c>
      <c r="E19" s="40"/>
      <c r="F19" s="44"/>
      <c r="H19" s="45"/>
      <c r="I19" s="45"/>
    </row>
    <row r="20" spans="1:9" x14ac:dyDescent="0.25">
      <c r="A20" s="5" t="s">
        <v>147</v>
      </c>
      <c r="B20" s="7" t="s">
        <v>91</v>
      </c>
      <c r="C20" s="6">
        <v>-8.8799246999999966</v>
      </c>
      <c r="D20" s="6">
        <v>6.1414484999999983</v>
      </c>
      <c r="E20" s="40"/>
      <c r="F20" s="44"/>
      <c r="H20" s="45"/>
      <c r="I20" s="45"/>
    </row>
    <row r="21" spans="1:9" x14ac:dyDescent="0.25">
      <c r="A21" s="67" t="s">
        <v>45</v>
      </c>
      <c r="B21" s="24" t="s">
        <v>42</v>
      </c>
      <c r="C21" s="8">
        <v>-9.5757638000000007</v>
      </c>
      <c r="D21" s="8">
        <v>-8.4891260000000006</v>
      </c>
      <c r="E21" s="40"/>
      <c r="F21" s="44"/>
      <c r="H21" s="45"/>
      <c r="I21" s="45"/>
    </row>
    <row r="22" spans="1:9" x14ac:dyDescent="0.25">
      <c r="A22" s="68" t="s">
        <v>29</v>
      </c>
      <c r="B22" s="7" t="s">
        <v>24</v>
      </c>
      <c r="C22" s="6">
        <v>-3.2638959999999999</v>
      </c>
      <c r="D22" s="77">
        <v>2.6579809999999999</v>
      </c>
      <c r="E22" s="40"/>
      <c r="F22" s="44"/>
      <c r="H22" s="45"/>
      <c r="I22" s="45"/>
    </row>
    <row r="23" spans="1:9" x14ac:dyDescent="0.25">
      <c r="A23" s="23" t="s">
        <v>33</v>
      </c>
      <c r="B23" s="24" t="s">
        <v>31</v>
      </c>
      <c r="C23" s="8">
        <v>60.741858999999998</v>
      </c>
      <c r="D23" s="8">
        <v>-80.867323999999996</v>
      </c>
      <c r="E23" s="40"/>
      <c r="F23" s="44"/>
      <c r="H23" s="45"/>
      <c r="I23" s="45"/>
    </row>
    <row r="24" spans="1:9" x14ac:dyDescent="0.25">
      <c r="A24" s="5" t="s">
        <v>49</v>
      </c>
      <c r="B24" s="7" t="s">
        <v>47</v>
      </c>
      <c r="C24" s="6">
        <v>-6.0617988000000027</v>
      </c>
      <c r="D24" s="6">
        <v>-3.7353659999999991</v>
      </c>
      <c r="E24" s="40"/>
      <c r="F24" s="44"/>
      <c r="H24" s="45"/>
      <c r="I24" s="45"/>
    </row>
    <row r="25" spans="1:9" x14ac:dyDescent="0.25">
      <c r="A25" s="23" t="s">
        <v>39</v>
      </c>
      <c r="B25" s="24" t="s">
        <v>37</v>
      </c>
      <c r="C25" s="8">
        <v>18.157776999999999</v>
      </c>
      <c r="D25" s="8">
        <v>-15.945817999999999</v>
      </c>
      <c r="E25" s="40"/>
      <c r="F25" s="44"/>
      <c r="H25" s="45"/>
      <c r="I25" s="45"/>
    </row>
    <row r="26" spans="1:9" x14ac:dyDescent="0.25">
      <c r="A26" s="5" t="s">
        <v>60</v>
      </c>
      <c r="B26" s="7" t="s">
        <v>51</v>
      </c>
      <c r="C26" s="6">
        <v>-2.1809034999999999</v>
      </c>
      <c r="D26" s="6">
        <v>1.986067</v>
      </c>
      <c r="E26" s="40"/>
      <c r="F26" s="44"/>
      <c r="H26" s="45"/>
      <c r="I26" s="45"/>
    </row>
    <row r="27" spans="1:9" x14ac:dyDescent="0.25">
      <c r="A27" s="23" t="s">
        <v>28</v>
      </c>
      <c r="B27" s="24" t="s">
        <v>23</v>
      </c>
      <c r="C27" s="8">
        <v>18.974285999999999</v>
      </c>
      <c r="D27" s="8">
        <v>-51.249783999999998</v>
      </c>
      <c r="E27" s="40"/>
      <c r="F27" s="44"/>
      <c r="H27" s="45"/>
      <c r="I27" s="45"/>
    </row>
    <row r="28" spans="1:9" x14ac:dyDescent="0.25">
      <c r="A28" s="5" t="s">
        <v>65</v>
      </c>
      <c r="B28" s="7" t="s">
        <v>59</v>
      </c>
      <c r="C28" s="6">
        <v>-5.4022360000000003</v>
      </c>
      <c r="D28" s="6">
        <v>4.1158910000000004</v>
      </c>
      <c r="E28" s="40"/>
      <c r="F28" s="44"/>
      <c r="H28" s="45"/>
      <c r="I28" s="45"/>
    </row>
    <row r="29" spans="1:9" x14ac:dyDescent="0.25">
      <c r="A29" s="23" t="s">
        <v>46</v>
      </c>
      <c r="B29" s="24" t="s">
        <v>43</v>
      </c>
      <c r="C29" s="8">
        <v>9.1742329999999992</v>
      </c>
      <c r="D29" s="8">
        <v>0.136987</v>
      </c>
      <c r="E29" s="40"/>
      <c r="F29" s="44"/>
      <c r="H29" s="45"/>
      <c r="I29" s="45"/>
    </row>
    <row r="30" spans="1:9" x14ac:dyDescent="0.25">
      <c r="A30" s="5" t="s">
        <v>44</v>
      </c>
      <c r="B30" s="7" t="s">
        <v>41</v>
      </c>
      <c r="C30" s="6">
        <v>-4.8731439999999999</v>
      </c>
      <c r="D30" s="6">
        <v>-2.927737</v>
      </c>
      <c r="E30" s="40"/>
      <c r="F30" s="44"/>
      <c r="H30" s="45"/>
      <c r="I30" s="45"/>
    </row>
    <row r="31" spans="1:9" ht="15.75" thickBot="1" x14ac:dyDescent="0.3">
      <c r="A31" s="23" t="s">
        <v>61</v>
      </c>
      <c r="B31" s="24" t="s">
        <v>53</v>
      </c>
      <c r="C31" s="8">
        <v>0.21360299999999999</v>
      </c>
      <c r="D31" s="8">
        <v>-1.007663</v>
      </c>
      <c r="E31" s="40"/>
      <c r="F31" s="44"/>
      <c r="H31" s="45"/>
      <c r="I31" s="45"/>
    </row>
    <row r="32" spans="1:9" ht="21" customHeight="1" thickBot="1" x14ac:dyDescent="0.3">
      <c r="A32" s="94" t="s">
        <v>66</v>
      </c>
      <c r="B32" s="95"/>
      <c r="C32" s="78">
        <f>SUM(C2:C31)</f>
        <v>198.43482147870003</v>
      </c>
      <c r="D32" s="79">
        <f>SUM(D2:D31)</f>
        <v>-296.86128049839999</v>
      </c>
    </row>
    <row r="34" spans="1:7" x14ac:dyDescent="0.25">
      <c r="A34" s="11" t="s">
        <v>67</v>
      </c>
      <c r="B34" s="56"/>
      <c r="C34" s="56"/>
      <c r="D34" s="56"/>
      <c r="E34" s="56"/>
      <c r="F34" s="56"/>
      <c r="G34" s="56"/>
    </row>
    <row r="35" spans="1:7" x14ac:dyDescent="0.25">
      <c r="A35" s="11" t="s">
        <v>82</v>
      </c>
    </row>
    <row r="36" spans="1:7" x14ac:dyDescent="0.25">
      <c r="A36" s="11" t="s">
        <v>83</v>
      </c>
    </row>
    <row r="37" spans="1:7" x14ac:dyDescent="0.25">
      <c r="A37" s="11" t="s">
        <v>75</v>
      </c>
    </row>
  </sheetData>
  <mergeCells count="1">
    <mergeCell ref="A32:B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K109"/>
  <sheetViews>
    <sheetView showGridLines="0" zoomScale="129" zoomScaleNormal="100" workbookViewId="0"/>
  </sheetViews>
  <sheetFormatPr defaultRowHeight="15" x14ac:dyDescent="0.25"/>
  <cols>
    <col min="1" max="1" width="51.5703125" customWidth="1"/>
    <col min="2" max="2" width="8.5703125" customWidth="1"/>
    <col min="3" max="3" width="14.5703125" customWidth="1"/>
    <col min="4" max="4" width="17.42578125" customWidth="1"/>
    <col min="5" max="5" width="22.5703125" customWidth="1"/>
    <col min="6" max="6" width="31.5703125" bestFit="1" customWidth="1"/>
    <col min="7" max="8" width="14" customWidth="1"/>
  </cols>
  <sheetData>
    <row r="1" spans="1:9" ht="60" x14ac:dyDescent="0.25">
      <c r="A1" s="34" t="str">
        <f>CONCATENATE("100 Most Traded Stocks YTD - ",'Weekly Top 10'!$C$5)</f>
        <v>100 Most Traded Stocks YTD - Week of 12 February 2024</v>
      </c>
      <c r="B1" s="18" t="s">
        <v>1</v>
      </c>
      <c r="C1" s="53" t="s">
        <v>102</v>
      </c>
      <c r="D1" s="19" t="s">
        <v>101</v>
      </c>
      <c r="E1" s="19" t="s">
        <v>103</v>
      </c>
      <c r="F1" s="19" t="s">
        <v>104</v>
      </c>
    </row>
    <row r="2" spans="1:9" x14ac:dyDescent="0.25">
      <c r="A2" s="20" t="s">
        <v>26</v>
      </c>
      <c r="B2" s="21" t="s">
        <v>21</v>
      </c>
      <c r="C2" s="63">
        <v>128.7330122399394</v>
      </c>
      <c r="D2" s="63">
        <v>-244.37460200000001</v>
      </c>
      <c r="E2" s="63">
        <v>91.373566999999994</v>
      </c>
      <c r="F2" s="22" t="s">
        <v>13</v>
      </c>
      <c r="G2" s="62"/>
      <c r="H2" s="62"/>
      <c r="I2" s="62"/>
    </row>
    <row r="3" spans="1:9" x14ac:dyDescent="0.25">
      <c r="A3" s="23" t="s">
        <v>28</v>
      </c>
      <c r="B3" s="24" t="s">
        <v>23</v>
      </c>
      <c r="C3" s="64">
        <v>60.993207418181804</v>
      </c>
      <c r="D3" s="64">
        <v>99.197834</v>
      </c>
      <c r="E3" s="64">
        <v>24.553183000000001</v>
      </c>
      <c r="F3" s="8" t="s">
        <v>13</v>
      </c>
      <c r="G3" s="62"/>
      <c r="H3" s="62"/>
      <c r="I3" s="62"/>
    </row>
    <row r="4" spans="1:9" x14ac:dyDescent="0.25">
      <c r="A4" s="5" t="s">
        <v>49</v>
      </c>
      <c r="B4" s="7" t="s">
        <v>47</v>
      </c>
      <c r="C4" s="65">
        <v>60.908565721212121</v>
      </c>
      <c r="D4" s="65">
        <v>-64.645201999999998</v>
      </c>
      <c r="E4" s="65">
        <v>-18.628193800000002</v>
      </c>
      <c r="F4" s="6" t="s">
        <v>174</v>
      </c>
      <c r="G4" s="62"/>
      <c r="H4" s="62"/>
      <c r="I4" s="62"/>
    </row>
    <row r="5" spans="1:9" x14ac:dyDescent="0.25">
      <c r="A5" s="23" t="s">
        <v>178</v>
      </c>
      <c r="B5" s="24" t="s">
        <v>22</v>
      </c>
      <c r="C5" s="64">
        <v>56.543430328393946</v>
      </c>
      <c r="D5" s="64">
        <v>67.571179599999994</v>
      </c>
      <c r="E5" s="64">
        <v>39.663268000000002</v>
      </c>
      <c r="F5" s="8" t="s">
        <v>13</v>
      </c>
      <c r="G5" s="62"/>
      <c r="H5" s="62"/>
      <c r="I5" s="62"/>
    </row>
    <row r="6" spans="1:9" x14ac:dyDescent="0.25">
      <c r="A6" s="5" t="s">
        <v>179</v>
      </c>
      <c r="B6" s="7" t="s">
        <v>56</v>
      </c>
      <c r="C6" s="65">
        <v>49.95584486333334</v>
      </c>
      <c r="D6" s="65">
        <v>13.467452</v>
      </c>
      <c r="E6" s="65">
        <v>18.137494</v>
      </c>
      <c r="F6" s="6" t="s">
        <v>17</v>
      </c>
      <c r="G6" s="62"/>
      <c r="H6" s="62"/>
      <c r="I6" s="62"/>
    </row>
    <row r="7" spans="1:9" x14ac:dyDescent="0.25">
      <c r="A7" s="23" t="s">
        <v>180</v>
      </c>
      <c r="B7" s="24" t="s">
        <v>25</v>
      </c>
      <c r="C7" s="64">
        <v>37.797685730909087</v>
      </c>
      <c r="D7" s="64">
        <v>-21.312823000000002</v>
      </c>
      <c r="E7" s="64">
        <v>18.834111</v>
      </c>
      <c r="F7" s="8" t="s">
        <v>17</v>
      </c>
      <c r="G7" s="62"/>
      <c r="H7" s="62"/>
      <c r="I7" s="62"/>
    </row>
    <row r="8" spans="1:9" x14ac:dyDescent="0.25">
      <c r="A8" s="5" t="s">
        <v>33</v>
      </c>
      <c r="B8" s="7" t="s">
        <v>31</v>
      </c>
      <c r="C8" s="65">
        <v>35.148778496969697</v>
      </c>
      <c r="D8" s="65">
        <v>75.777889999999999</v>
      </c>
      <c r="E8" s="65">
        <v>63.557529000000002</v>
      </c>
      <c r="F8" s="48" t="s">
        <v>14</v>
      </c>
      <c r="G8" s="62"/>
      <c r="H8" s="62"/>
      <c r="I8" s="62"/>
    </row>
    <row r="9" spans="1:9" x14ac:dyDescent="0.25">
      <c r="A9" s="23" t="s">
        <v>147</v>
      </c>
      <c r="B9" s="24" t="s">
        <v>91</v>
      </c>
      <c r="C9" s="64">
        <v>32.207490495636357</v>
      </c>
      <c r="D9" s="64">
        <v>-51.032303799999994</v>
      </c>
      <c r="E9" s="64">
        <v>-11.4297016</v>
      </c>
      <c r="F9" s="8" t="s">
        <v>14</v>
      </c>
      <c r="G9" s="62"/>
      <c r="H9" s="62"/>
      <c r="I9" s="62"/>
    </row>
    <row r="10" spans="1:9" x14ac:dyDescent="0.25">
      <c r="A10" s="5" t="s">
        <v>154</v>
      </c>
      <c r="B10" s="7" t="s">
        <v>32</v>
      </c>
      <c r="C10" s="65">
        <v>27.63478187878788</v>
      </c>
      <c r="D10" s="65">
        <v>85.045501999999999</v>
      </c>
      <c r="E10" s="65">
        <v>31.831067999999998</v>
      </c>
      <c r="F10" s="6" t="s">
        <v>14</v>
      </c>
      <c r="G10" s="62"/>
      <c r="H10" s="62"/>
      <c r="I10" s="62"/>
    </row>
    <row r="11" spans="1:9" x14ac:dyDescent="0.25">
      <c r="A11" s="23" t="s">
        <v>182</v>
      </c>
      <c r="B11" s="24" t="s">
        <v>85</v>
      </c>
      <c r="C11" s="64">
        <v>27.054181478787882</v>
      </c>
      <c r="D11" s="64">
        <v>-23.426485</v>
      </c>
      <c r="E11" s="64">
        <v>-5.3528450000000003</v>
      </c>
      <c r="F11" s="8" t="s">
        <v>13</v>
      </c>
      <c r="G11" s="62"/>
      <c r="H11" s="62"/>
      <c r="I11" s="62"/>
    </row>
    <row r="12" spans="1:9" x14ac:dyDescent="0.25">
      <c r="A12" s="5" t="s">
        <v>181</v>
      </c>
      <c r="B12" s="7" t="s">
        <v>53</v>
      </c>
      <c r="C12" s="65">
        <v>26.918388624242422</v>
      </c>
      <c r="D12" s="65">
        <v>33.239184000000002</v>
      </c>
      <c r="E12" s="65">
        <v>0.93626399999999999</v>
      </c>
      <c r="F12" s="6" t="s">
        <v>14</v>
      </c>
      <c r="G12" s="62"/>
      <c r="H12" s="62"/>
      <c r="I12" s="62"/>
    </row>
    <row r="13" spans="1:9" x14ac:dyDescent="0.25">
      <c r="A13" s="23" t="s">
        <v>183</v>
      </c>
      <c r="B13" s="24" t="s">
        <v>38</v>
      </c>
      <c r="C13" s="64">
        <v>26.348423854545459</v>
      </c>
      <c r="D13" s="64">
        <v>-49.151541999999999</v>
      </c>
      <c r="E13" s="64">
        <v>-0.33820299999999998</v>
      </c>
      <c r="F13" s="8" t="s">
        <v>17</v>
      </c>
      <c r="G13" s="62"/>
      <c r="H13" s="62"/>
      <c r="I13" s="62"/>
    </row>
    <row r="14" spans="1:9" x14ac:dyDescent="0.25">
      <c r="A14" s="5" t="s">
        <v>184</v>
      </c>
      <c r="B14" s="7" t="s">
        <v>35</v>
      </c>
      <c r="C14" s="65">
        <v>21.60453383030303</v>
      </c>
      <c r="D14" s="65">
        <v>19.611028000000001</v>
      </c>
      <c r="E14" s="65">
        <v>3.3800870000000001</v>
      </c>
      <c r="F14" s="6" t="s">
        <v>10</v>
      </c>
      <c r="G14" s="62"/>
      <c r="H14" s="62"/>
      <c r="I14" s="62"/>
    </row>
    <row r="15" spans="1:9" x14ac:dyDescent="0.25">
      <c r="A15" s="23" t="s">
        <v>185</v>
      </c>
      <c r="B15" s="24" t="s">
        <v>78</v>
      </c>
      <c r="C15" s="64">
        <v>18.433867118181819</v>
      </c>
      <c r="D15" s="64">
        <v>-47.144199999999998</v>
      </c>
      <c r="E15" s="64">
        <v>13.256541</v>
      </c>
      <c r="F15" s="8" t="s">
        <v>17</v>
      </c>
      <c r="G15" s="62"/>
      <c r="H15" s="62"/>
      <c r="I15" s="62"/>
    </row>
    <row r="16" spans="1:9" x14ac:dyDescent="0.25">
      <c r="A16" s="5" t="s">
        <v>187</v>
      </c>
      <c r="B16" s="7" t="s">
        <v>41</v>
      </c>
      <c r="C16" s="65">
        <v>16.95915272727273</v>
      </c>
      <c r="D16" s="65">
        <v>-10.605530999999999</v>
      </c>
      <c r="E16" s="65">
        <v>-3.844611</v>
      </c>
      <c r="F16" s="6" t="s">
        <v>11</v>
      </c>
      <c r="G16" s="62"/>
      <c r="H16" s="62"/>
      <c r="I16" s="62"/>
    </row>
    <row r="17" spans="1:11" x14ac:dyDescent="0.25">
      <c r="A17" s="23" t="s">
        <v>29</v>
      </c>
      <c r="B17" s="24" t="s">
        <v>24</v>
      </c>
      <c r="C17" s="64">
        <v>16.878722427272731</v>
      </c>
      <c r="D17" s="64">
        <v>-68.87321</v>
      </c>
      <c r="E17" s="64">
        <v>-5.2737600000000002</v>
      </c>
      <c r="F17" s="8" t="s">
        <v>13</v>
      </c>
      <c r="G17" s="62"/>
      <c r="H17" s="62"/>
      <c r="I17" s="62"/>
    </row>
    <row r="18" spans="1:11" x14ac:dyDescent="0.25">
      <c r="A18" s="5" t="s">
        <v>186</v>
      </c>
      <c r="B18" s="7" t="s">
        <v>52</v>
      </c>
      <c r="C18" s="65">
        <v>16.57152254754909</v>
      </c>
      <c r="D18" s="65">
        <v>23.725861268700001</v>
      </c>
      <c r="E18" s="65">
        <v>-2.9652554235999982</v>
      </c>
      <c r="F18" s="6" t="s">
        <v>14</v>
      </c>
      <c r="G18" s="62"/>
      <c r="H18" s="62"/>
      <c r="I18" s="62"/>
      <c r="J18" s="62"/>
      <c r="K18" s="62"/>
    </row>
    <row r="19" spans="1:11" x14ac:dyDescent="0.25">
      <c r="A19" s="23" t="s">
        <v>188</v>
      </c>
      <c r="B19" s="24" t="s">
        <v>42</v>
      </c>
      <c r="C19" s="64">
        <v>16.31095397939394</v>
      </c>
      <c r="D19" s="64">
        <v>29.796656199999997</v>
      </c>
      <c r="E19" s="64">
        <v>-10.2872748</v>
      </c>
      <c r="F19" s="8" t="s">
        <v>19</v>
      </c>
      <c r="G19" s="62"/>
      <c r="H19" s="62"/>
      <c r="I19" s="62"/>
      <c r="J19" s="62"/>
      <c r="K19" s="62"/>
    </row>
    <row r="20" spans="1:11" x14ac:dyDescent="0.25">
      <c r="A20" s="5" t="s">
        <v>39</v>
      </c>
      <c r="B20" s="7" t="s">
        <v>37</v>
      </c>
      <c r="C20" s="65">
        <v>15.447460518181819</v>
      </c>
      <c r="D20" s="65">
        <v>9.4913050000000005</v>
      </c>
      <c r="E20" s="65">
        <v>19.018184000000002</v>
      </c>
      <c r="F20" s="6" t="s">
        <v>14</v>
      </c>
      <c r="G20" s="62"/>
      <c r="H20" s="62"/>
      <c r="I20" s="62"/>
      <c r="J20" s="62"/>
      <c r="K20" s="62"/>
    </row>
    <row r="21" spans="1:11" x14ac:dyDescent="0.25">
      <c r="A21" s="23" t="s">
        <v>190</v>
      </c>
      <c r="B21" s="24" t="s">
        <v>58</v>
      </c>
      <c r="C21" s="64">
        <v>15.007320790909089</v>
      </c>
      <c r="D21" s="64">
        <v>-37.220750000000002</v>
      </c>
      <c r="E21" s="64">
        <v>-2.7339009999999999</v>
      </c>
      <c r="F21" s="8" t="s">
        <v>17</v>
      </c>
      <c r="G21" s="62"/>
      <c r="H21" s="62"/>
      <c r="I21" s="62"/>
      <c r="J21" s="62"/>
      <c r="K21" s="62"/>
    </row>
    <row r="22" spans="1:11" x14ac:dyDescent="0.25">
      <c r="A22" s="5" t="s">
        <v>189</v>
      </c>
      <c r="B22" s="7" t="s">
        <v>76</v>
      </c>
      <c r="C22" s="65">
        <v>14.835794833333329</v>
      </c>
      <c r="D22" s="65">
        <v>-7.5610280000000003</v>
      </c>
      <c r="E22" s="65">
        <v>-2.7508970000000001</v>
      </c>
      <c r="F22" s="6" t="s">
        <v>17</v>
      </c>
      <c r="G22" s="62"/>
      <c r="H22" s="62"/>
      <c r="I22" s="62"/>
      <c r="J22" s="62"/>
      <c r="K22" s="62"/>
    </row>
    <row r="23" spans="1:11" x14ac:dyDescent="0.25">
      <c r="A23" s="23" t="s">
        <v>191</v>
      </c>
      <c r="B23" s="24" t="s">
        <v>51</v>
      </c>
      <c r="C23" s="64">
        <v>14.61606265757576</v>
      </c>
      <c r="D23" s="64">
        <v>-18.480436999999998</v>
      </c>
      <c r="E23" s="64">
        <v>-3.3578774999999998</v>
      </c>
      <c r="F23" s="8" t="s">
        <v>11</v>
      </c>
      <c r="G23" s="62"/>
      <c r="H23" s="62"/>
      <c r="I23" s="62"/>
      <c r="J23" s="62"/>
      <c r="K23" s="62"/>
    </row>
    <row r="24" spans="1:11" x14ac:dyDescent="0.25">
      <c r="A24" s="5" t="s">
        <v>192</v>
      </c>
      <c r="B24" s="7" t="s">
        <v>48</v>
      </c>
      <c r="C24" s="65">
        <v>14.091549454545461</v>
      </c>
      <c r="D24" s="65">
        <v>-25.866624000000002</v>
      </c>
      <c r="E24" s="65">
        <v>-3.2490640000000002</v>
      </c>
      <c r="F24" s="6" t="s">
        <v>10</v>
      </c>
      <c r="G24" s="62"/>
      <c r="H24" s="62"/>
      <c r="I24" s="62"/>
      <c r="J24" s="62"/>
      <c r="K24" s="62"/>
    </row>
    <row r="25" spans="1:11" x14ac:dyDescent="0.25">
      <c r="A25" s="23" t="s">
        <v>193</v>
      </c>
      <c r="B25" s="24" t="s">
        <v>59</v>
      </c>
      <c r="C25" s="64">
        <v>13.50209489333333</v>
      </c>
      <c r="D25" s="64">
        <v>-12.452643</v>
      </c>
      <c r="E25" s="64">
        <v>-5.4339930000000001</v>
      </c>
      <c r="F25" s="8" t="s">
        <v>16</v>
      </c>
      <c r="G25" s="62"/>
      <c r="H25" s="62"/>
      <c r="I25" s="62"/>
      <c r="J25" s="62"/>
      <c r="K25" s="62"/>
    </row>
    <row r="26" spans="1:11" x14ac:dyDescent="0.25">
      <c r="A26" s="5" t="s">
        <v>194</v>
      </c>
      <c r="B26" s="7" t="s">
        <v>54</v>
      </c>
      <c r="C26" s="65">
        <v>13.485630987878791</v>
      </c>
      <c r="D26" s="65">
        <v>-48.917693999999997</v>
      </c>
      <c r="E26" s="65">
        <v>1.4008970000000001</v>
      </c>
      <c r="F26" s="6" t="s">
        <v>16</v>
      </c>
      <c r="G26" s="62"/>
      <c r="H26" s="62"/>
      <c r="I26" s="62"/>
      <c r="J26" s="62"/>
      <c r="K26" s="62"/>
    </row>
    <row r="27" spans="1:11" x14ac:dyDescent="0.25">
      <c r="A27" s="23" t="s">
        <v>34</v>
      </c>
      <c r="B27" s="24" t="s">
        <v>30</v>
      </c>
      <c r="C27" s="64">
        <v>12.56075930909091</v>
      </c>
      <c r="D27" s="64">
        <v>30.339414000000001</v>
      </c>
      <c r="E27" s="64">
        <v>-3.5142259999999998</v>
      </c>
      <c r="F27" s="8" t="s">
        <v>14</v>
      </c>
      <c r="G27" s="62"/>
      <c r="H27" s="62"/>
      <c r="I27" s="62"/>
      <c r="J27" s="62"/>
      <c r="K27" s="62"/>
    </row>
    <row r="28" spans="1:11" x14ac:dyDescent="0.25">
      <c r="A28" s="5" t="s">
        <v>195</v>
      </c>
      <c r="B28" s="7" t="s">
        <v>43</v>
      </c>
      <c r="C28" s="65">
        <v>11.812771396969699</v>
      </c>
      <c r="D28" s="65">
        <v>43.422469999999997</v>
      </c>
      <c r="E28" s="65">
        <v>7.8922160000000003</v>
      </c>
      <c r="F28" s="6" t="s">
        <v>175</v>
      </c>
      <c r="G28" s="62"/>
      <c r="H28" s="62"/>
      <c r="I28" s="62"/>
      <c r="J28" s="62"/>
      <c r="K28" s="62"/>
    </row>
    <row r="29" spans="1:11" x14ac:dyDescent="0.25">
      <c r="A29" s="23" t="s">
        <v>198</v>
      </c>
      <c r="B29" s="24" t="s">
        <v>80</v>
      </c>
      <c r="C29" s="64">
        <v>9.4678523287878793</v>
      </c>
      <c r="D29" s="64">
        <v>-6.1395479999999978</v>
      </c>
      <c r="E29" s="64">
        <v>0.32972300000000071</v>
      </c>
      <c r="F29" s="8" t="s">
        <v>17</v>
      </c>
      <c r="G29" s="62"/>
      <c r="H29" s="62"/>
      <c r="I29" s="62"/>
      <c r="J29" s="62"/>
      <c r="K29" s="62"/>
    </row>
    <row r="30" spans="1:11" x14ac:dyDescent="0.25">
      <c r="A30" s="5" t="s">
        <v>196</v>
      </c>
      <c r="B30" s="7" t="s">
        <v>105</v>
      </c>
      <c r="C30" s="65">
        <v>9.3959607058181813</v>
      </c>
      <c r="D30" s="65">
        <v>0.94247349999999996</v>
      </c>
      <c r="E30" s="65">
        <v>-0.10856399999999999</v>
      </c>
      <c r="F30" s="6" t="s">
        <v>17</v>
      </c>
      <c r="G30" s="62"/>
      <c r="H30" s="62"/>
      <c r="I30" s="62"/>
      <c r="J30" s="62"/>
      <c r="K30" s="62"/>
    </row>
    <row r="31" spans="1:11" x14ac:dyDescent="0.25">
      <c r="A31" s="23" t="s">
        <v>197</v>
      </c>
      <c r="B31" s="24" t="s">
        <v>112</v>
      </c>
      <c r="C31" s="64">
        <v>8.8267045060606062</v>
      </c>
      <c r="D31" s="64">
        <v>17.016176999999999</v>
      </c>
      <c r="E31" s="64">
        <v>-2.3365990000000001</v>
      </c>
      <c r="F31" s="8" t="s">
        <v>17</v>
      </c>
      <c r="G31" s="62"/>
      <c r="H31" s="62"/>
      <c r="I31" s="62"/>
      <c r="J31" s="62"/>
      <c r="K31" s="62"/>
    </row>
    <row r="32" spans="1:11" x14ac:dyDescent="0.25">
      <c r="A32" s="5" t="s">
        <v>199</v>
      </c>
      <c r="B32" s="7" t="s">
        <v>55</v>
      </c>
      <c r="C32" s="65">
        <v>7.8734660378424248</v>
      </c>
      <c r="D32" s="65">
        <v>0.14647756989999972</v>
      </c>
      <c r="E32" s="65">
        <v>1.9684443505</v>
      </c>
      <c r="F32" s="6" t="s">
        <v>16</v>
      </c>
      <c r="G32" s="62"/>
      <c r="H32" s="62"/>
      <c r="I32" s="62"/>
      <c r="J32" s="62"/>
      <c r="K32" s="62"/>
    </row>
    <row r="33" spans="1:11" x14ac:dyDescent="0.25">
      <c r="A33" s="23" t="s">
        <v>200</v>
      </c>
      <c r="B33" s="24" t="s">
        <v>92</v>
      </c>
      <c r="C33" s="64">
        <v>6.792413909090909</v>
      </c>
      <c r="D33" s="64">
        <v>-3.9902039999999999</v>
      </c>
      <c r="E33" s="64">
        <v>1.0561240000000001</v>
      </c>
      <c r="F33" s="8" t="s">
        <v>17</v>
      </c>
      <c r="G33" s="62"/>
      <c r="H33" s="62"/>
      <c r="I33" s="62"/>
      <c r="J33" s="62"/>
      <c r="K33" s="62"/>
    </row>
    <row r="34" spans="1:11" x14ac:dyDescent="0.25">
      <c r="A34" s="5" t="s">
        <v>144</v>
      </c>
      <c r="B34" s="7" t="s">
        <v>109</v>
      </c>
      <c r="C34" s="65">
        <v>6.6130138848484847</v>
      </c>
      <c r="D34" s="65">
        <v>21.601837</v>
      </c>
      <c r="E34" s="65">
        <v>-3.4599500000000001</v>
      </c>
      <c r="F34" s="6" t="s">
        <v>14</v>
      </c>
      <c r="G34" s="62"/>
      <c r="H34" s="62"/>
      <c r="I34" s="62"/>
      <c r="J34" s="62"/>
      <c r="K34" s="62"/>
    </row>
    <row r="35" spans="1:11" x14ac:dyDescent="0.25">
      <c r="A35" s="23" t="s">
        <v>201</v>
      </c>
      <c r="B35" s="24" t="s">
        <v>93</v>
      </c>
      <c r="C35" s="64">
        <v>6.3109325795151516</v>
      </c>
      <c r="D35" s="64">
        <v>-30.481497223999998</v>
      </c>
      <c r="E35" s="64">
        <v>-2.0981160000000001</v>
      </c>
      <c r="F35" s="8" t="s">
        <v>175</v>
      </c>
      <c r="G35" s="62"/>
      <c r="H35" s="62"/>
      <c r="I35" s="62"/>
      <c r="J35" s="62"/>
      <c r="K35" s="62"/>
    </row>
    <row r="36" spans="1:11" x14ac:dyDescent="0.25">
      <c r="A36" s="5" t="s">
        <v>202</v>
      </c>
      <c r="B36" s="7" t="s">
        <v>95</v>
      </c>
      <c r="C36" s="65">
        <v>6.1537914090909096</v>
      </c>
      <c r="D36" s="65">
        <v>-19.505863999999999</v>
      </c>
      <c r="E36" s="65">
        <v>-1.623138</v>
      </c>
      <c r="F36" s="6" t="s">
        <v>17</v>
      </c>
      <c r="G36" s="62"/>
      <c r="H36" s="62"/>
      <c r="I36" s="62"/>
      <c r="J36" s="62"/>
      <c r="K36" s="62"/>
    </row>
    <row r="37" spans="1:11" x14ac:dyDescent="0.25">
      <c r="A37" s="23" t="s">
        <v>204</v>
      </c>
      <c r="B37" s="24" t="s">
        <v>148</v>
      </c>
      <c r="C37" s="64">
        <v>5.7703381575757575</v>
      </c>
      <c r="D37" s="64">
        <v>2.4360110000000001</v>
      </c>
      <c r="E37" s="64">
        <v>4.4305830000000004</v>
      </c>
      <c r="F37" s="8" t="s">
        <v>175</v>
      </c>
      <c r="G37" s="62"/>
      <c r="H37" s="62"/>
      <c r="I37" s="62"/>
      <c r="J37" s="62"/>
      <c r="K37" s="62"/>
    </row>
    <row r="38" spans="1:11" x14ac:dyDescent="0.25">
      <c r="A38" s="5" t="s">
        <v>203</v>
      </c>
      <c r="B38" s="7" t="s">
        <v>113</v>
      </c>
      <c r="C38" s="65">
        <v>5.2206995424242431</v>
      </c>
      <c r="D38" s="65">
        <v>0.80189600000000005</v>
      </c>
      <c r="E38" s="65">
        <v>-0.88736599999999999</v>
      </c>
      <c r="F38" s="6" t="s">
        <v>175</v>
      </c>
      <c r="G38" s="62"/>
      <c r="H38" s="62"/>
      <c r="I38" s="62"/>
      <c r="J38" s="62"/>
      <c r="K38" s="62"/>
    </row>
    <row r="39" spans="1:11" x14ac:dyDescent="0.25">
      <c r="A39" s="23" t="s">
        <v>205</v>
      </c>
      <c r="B39" s="24" t="s">
        <v>124</v>
      </c>
      <c r="C39" s="64">
        <v>4.8696210757575757</v>
      </c>
      <c r="D39" s="64">
        <v>10.5421645</v>
      </c>
      <c r="E39" s="64">
        <v>0.81223350000000005</v>
      </c>
      <c r="F39" s="8" t="s">
        <v>176</v>
      </c>
      <c r="G39" s="62"/>
      <c r="H39" s="62"/>
      <c r="I39" s="62"/>
      <c r="J39" s="62"/>
      <c r="K39" s="62"/>
    </row>
    <row r="40" spans="1:11" x14ac:dyDescent="0.25">
      <c r="A40" s="5" t="s">
        <v>209</v>
      </c>
      <c r="B40" s="7" t="s">
        <v>106</v>
      </c>
      <c r="C40" s="65">
        <v>3.7949235303030298</v>
      </c>
      <c r="D40" s="65">
        <v>6.6230015</v>
      </c>
      <c r="E40" s="65">
        <v>5.5190109999999999</v>
      </c>
      <c r="F40" s="6" t="s">
        <v>17</v>
      </c>
      <c r="G40" s="62"/>
      <c r="H40" s="62"/>
      <c r="I40" s="62"/>
      <c r="J40" s="62"/>
      <c r="K40" s="62"/>
    </row>
    <row r="41" spans="1:11" x14ac:dyDescent="0.25">
      <c r="A41" s="23" t="s">
        <v>206</v>
      </c>
      <c r="B41" s="24" t="s">
        <v>98</v>
      </c>
      <c r="C41" s="64">
        <v>3.4168678636363641</v>
      </c>
      <c r="D41" s="64">
        <v>-0.56756300000000004</v>
      </c>
      <c r="E41" s="64">
        <v>0.75084399999999996</v>
      </c>
      <c r="F41" s="8" t="s">
        <v>14</v>
      </c>
      <c r="G41" s="62"/>
      <c r="H41" s="62"/>
      <c r="I41" s="62"/>
      <c r="J41" s="62"/>
      <c r="K41" s="62"/>
    </row>
    <row r="42" spans="1:11" x14ac:dyDescent="0.25">
      <c r="A42" s="5" t="s">
        <v>207</v>
      </c>
      <c r="B42" s="7" t="s">
        <v>127</v>
      </c>
      <c r="C42" s="65">
        <v>3.399931</v>
      </c>
      <c r="D42" s="65">
        <v>-15.562893000000001</v>
      </c>
      <c r="E42" s="65">
        <v>-2.805132</v>
      </c>
      <c r="F42" s="6" t="s">
        <v>175</v>
      </c>
      <c r="G42" s="62"/>
      <c r="H42" s="62"/>
      <c r="I42" s="62"/>
      <c r="J42" s="62"/>
      <c r="K42" s="62"/>
    </row>
    <row r="43" spans="1:11" x14ac:dyDescent="0.25">
      <c r="A43" s="23" t="s">
        <v>208</v>
      </c>
      <c r="B43" s="24" t="s">
        <v>114</v>
      </c>
      <c r="C43" s="64">
        <v>3.3368081666666671</v>
      </c>
      <c r="D43" s="64">
        <v>-9.4194014999999993</v>
      </c>
      <c r="E43" s="64">
        <v>1.6473770000000001</v>
      </c>
      <c r="F43" s="8" t="s">
        <v>175</v>
      </c>
      <c r="G43" s="62"/>
      <c r="H43" s="62"/>
      <c r="I43" s="62"/>
      <c r="J43" s="62"/>
      <c r="K43" s="62"/>
    </row>
    <row r="44" spans="1:11" x14ac:dyDescent="0.25">
      <c r="A44" s="5" t="s">
        <v>211</v>
      </c>
      <c r="B44" s="7" t="s">
        <v>99</v>
      </c>
      <c r="C44" s="65">
        <v>3.1294231363636356</v>
      </c>
      <c r="D44" s="65">
        <v>-20.048198500000002</v>
      </c>
      <c r="E44" s="65">
        <v>-4.2107345</v>
      </c>
      <c r="F44" s="6" t="s">
        <v>17</v>
      </c>
      <c r="G44" s="62"/>
      <c r="H44" s="62"/>
      <c r="I44" s="62"/>
      <c r="J44" s="62"/>
      <c r="K44" s="62"/>
    </row>
    <row r="45" spans="1:11" x14ac:dyDescent="0.25">
      <c r="A45" s="23" t="s">
        <v>212</v>
      </c>
      <c r="B45" s="24" t="s">
        <v>108</v>
      </c>
      <c r="C45" s="64">
        <v>3.0663799060606056</v>
      </c>
      <c r="D45" s="64">
        <v>-4.5764772999999996</v>
      </c>
      <c r="E45" s="64">
        <v>-0.28090219999999999</v>
      </c>
      <c r="F45" s="8" t="s">
        <v>176</v>
      </c>
      <c r="G45" s="62"/>
      <c r="H45" s="62"/>
      <c r="I45" s="62"/>
      <c r="J45" s="62"/>
      <c r="K45" s="62"/>
    </row>
    <row r="46" spans="1:11" x14ac:dyDescent="0.25">
      <c r="A46" s="5" t="s">
        <v>210</v>
      </c>
      <c r="B46" s="7" t="s">
        <v>119</v>
      </c>
      <c r="C46" s="65">
        <v>2.9782627942424238</v>
      </c>
      <c r="D46" s="65">
        <v>-0.10935400000000001</v>
      </c>
      <c r="E46" s="65">
        <v>-1.1358874999999999</v>
      </c>
      <c r="F46" s="6" t="s">
        <v>174</v>
      </c>
      <c r="G46" s="62"/>
      <c r="H46" s="62"/>
      <c r="I46" s="62"/>
      <c r="J46" s="62"/>
      <c r="K46" s="62"/>
    </row>
    <row r="47" spans="1:11" x14ac:dyDescent="0.25">
      <c r="A47" s="23" t="s">
        <v>213</v>
      </c>
      <c r="B47" s="24" t="s">
        <v>121</v>
      </c>
      <c r="C47" s="64">
        <v>2.7003252545454548</v>
      </c>
      <c r="D47" s="64">
        <v>1.0900749999999999</v>
      </c>
      <c r="E47" s="64">
        <v>1.4608730000000001</v>
      </c>
      <c r="F47" s="8" t="s">
        <v>17</v>
      </c>
      <c r="G47" s="62"/>
      <c r="H47" s="62"/>
      <c r="I47" s="62"/>
      <c r="J47" s="62"/>
      <c r="K47" s="62"/>
    </row>
    <row r="48" spans="1:11" x14ac:dyDescent="0.25">
      <c r="A48" s="5" t="s">
        <v>214</v>
      </c>
      <c r="B48" s="7" t="s">
        <v>110</v>
      </c>
      <c r="C48" s="65">
        <v>2.6167289515151522</v>
      </c>
      <c r="D48" s="65">
        <v>-5.8454864999999998</v>
      </c>
      <c r="E48" s="65">
        <v>-0.15391999999999992</v>
      </c>
      <c r="F48" s="6" t="s">
        <v>17</v>
      </c>
      <c r="G48" s="62"/>
      <c r="H48" s="62"/>
      <c r="I48" s="62"/>
      <c r="J48" s="62"/>
      <c r="K48" s="62"/>
    </row>
    <row r="49" spans="1:11" x14ac:dyDescent="0.25">
      <c r="A49" s="23" t="s">
        <v>222</v>
      </c>
      <c r="B49" s="24" t="s">
        <v>122</v>
      </c>
      <c r="C49" s="64">
        <v>2.577567791741818</v>
      </c>
      <c r="D49" s="64">
        <v>4.2179803003499998</v>
      </c>
      <c r="E49" s="64">
        <v>0.87226334855000021</v>
      </c>
      <c r="F49" s="8" t="s">
        <v>17</v>
      </c>
      <c r="G49" s="62"/>
      <c r="H49" s="62"/>
      <c r="I49" s="62"/>
      <c r="J49" s="62"/>
      <c r="K49" s="62"/>
    </row>
    <row r="50" spans="1:11" x14ac:dyDescent="0.25">
      <c r="A50" s="5" t="s">
        <v>215</v>
      </c>
      <c r="B50" s="7" t="s">
        <v>155</v>
      </c>
      <c r="C50" s="65">
        <v>2.4325011878787879</v>
      </c>
      <c r="D50" s="65">
        <v>-0.84844700000000006</v>
      </c>
      <c r="E50" s="65">
        <v>0.75242370000000003</v>
      </c>
      <c r="F50" s="6" t="s">
        <v>14</v>
      </c>
      <c r="G50" s="62"/>
      <c r="H50" s="62"/>
      <c r="I50" s="62"/>
      <c r="J50" s="62"/>
      <c r="K50" s="62"/>
    </row>
    <row r="51" spans="1:11" x14ac:dyDescent="0.25">
      <c r="A51" s="23" t="s">
        <v>216</v>
      </c>
      <c r="B51" s="24" t="s">
        <v>123</v>
      </c>
      <c r="C51" s="64">
        <v>2.3505870848484851</v>
      </c>
      <c r="D51" s="64">
        <v>-9.4268640000000001</v>
      </c>
      <c r="E51" s="64">
        <v>0.25118849999999998</v>
      </c>
      <c r="F51" s="8" t="s">
        <v>17</v>
      </c>
      <c r="G51" s="62"/>
      <c r="H51" s="62"/>
      <c r="I51" s="62"/>
      <c r="J51" s="62"/>
      <c r="K51" s="62"/>
    </row>
    <row r="52" spans="1:11" x14ac:dyDescent="0.25">
      <c r="A52" s="5" t="s">
        <v>217</v>
      </c>
      <c r="B52" s="7" t="s">
        <v>120</v>
      </c>
      <c r="C52" s="65">
        <v>2.3495581802530299</v>
      </c>
      <c r="D52" s="65">
        <v>-3.5032836674700003</v>
      </c>
      <c r="E52" s="65">
        <v>0.90976255070000001</v>
      </c>
      <c r="F52" s="6" t="s">
        <v>10</v>
      </c>
      <c r="G52" s="62"/>
      <c r="H52" s="62"/>
      <c r="I52" s="62"/>
      <c r="J52" s="62"/>
      <c r="K52" s="62"/>
    </row>
    <row r="53" spans="1:11" x14ac:dyDescent="0.25">
      <c r="A53" s="23" t="s">
        <v>220</v>
      </c>
      <c r="B53" s="24" t="s">
        <v>107</v>
      </c>
      <c r="C53" s="64">
        <v>2.2166521000000001</v>
      </c>
      <c r="D53" s="64">
        <v>-4.8804805</v>
      </c>
      <c r="E53" s="64">
        <v>0.19528200000000001</v>
      </c>
      <c r="F53" s="8" t="s">
        <v>15</v>
      </c>
      <c r="G53" s="62"/>
      <c r="H53" s="62"/>
      <c r="I53" s="62"/>
      <c r="J53" s="62"/>
      <c r="K53" s="62"/>
    </row>
    <row r="54" spans="1:11" x14ac:dyDescent="0.25">
      <c r="A54" s="5" t="s">
        <v>218</v>
      </c>
      <c r="B54" s="7" t="s">
        <v>125</v>
      </c>
      <c r="C54" s="65">
        <v>2.2084362363636361</v>
      </c>
      <c r="D54" s="65">
        <v>-4.8693439999999999</v>
      </c>
      <c r="E54" s="65">
        <v>1.7959609999999999</v>
      </c>
      <c r="F54" s="6" t="s">
        <v>17</v>
      </c>
      <c r="G54" s="62"/>
      <c r="H54" s="62"/>
      <c r="I54" s="62"/>
      <c r="J54" s="62"/>
      <c r="K54" s="62"/>
    </row>
    <row r="55" spans="1:11" x14ac:dyDescent="0.25">
      <c r="A55" s="23" t="s">
        <v>221</v>
      </c>
      <c r="B55" s="24" t="s">
        <v>111</v>
      </c>
      <c r="C55" s="64">
        <v>2.1677011666666668</v>
      </c>
      <c r="D55" s="64">
        <v>3.6747879999999999</v>
      </c>
      <c r="E55" s="64">
        <v>0.80966649999999996</v>
      </c>
      <c r="F55" s="8" t="s">
        <v>11</v>
      </c>
      <c r="G55" s="62"/>
      <c r="H55" s="62"/>
      <c r="I55" s="62"/>
      <c r="J55" s="62"/>
      <c r="K55" s="62"/>
    </row>
    <row r="56" spans="1:11" x14ac:dyDescent="0.25">
      <c r="A56" s="5" t="s">
        <v>219</v>
      </c>
      <c r="B56" s="7" t="s">
        <v>57</v>
      </c>
      <c r="C56" s="65">
        <v>2.0799935612321208</v>
      </c>
      <c r="D56" s="65">
        <v>-6.3626379305000009</v>
      </c>
      <c r="E56" s="65">
        <v>0.40641407659999995</v>
      </c>
      <c r="F56" s="6" t="s">
        <v>11</v>
      </c>
      <c r="G56" s="62"/>
      <c r="H56" s="62"/>
      <c r="I56" s="62"/>
      <c r="J56" s="62"/>
      <c r="K56" s="62"/>
    </row>
    <row r="57" spans="1:11" x14ac:dyDescent="0.25">
      <c r="A57" s="23" t="s">
        <v>223</v>
      </c>
      <c r="B57" s="24" t="s">
        <v>94</v>
      </c>
      <c r="C57" s="64">
        <v>1.851254845454545</v>
      </c>
      <c r="D57" s="64">
        <v>-6.3540660000000004</v>
      </c>
      <c r="E57" s="64">
        <v>-0.731213</v>
      </c>
      <c r="F57" s="8" t="s">
        <v>11</v>
      </c>
      <c r="G57" s="62"/>
      <c r="H57" s="62"/>
      <c r="I57" s="62"/>
      <c r="J57" s="62"/>
      <c r="K57" s="62"/>
    </row>
    <row r="58" spans="1:11" x14ac:dyDescent="0.25">
      <c r="A58" s="5" t="s">
        <v>225</v>
      </c>
      <c r="B58" s="7" t="s">
        <v>115</v>
      </c>
      <c r="C58" s="65">
        <v>1.79800196969697</v>
      </c>
      <c r="D58" s="65">
        <v>1.6757245000000001</v>
      </c>
      <c r="E58" s="65">
        <v>1.481222</v>
      </c>
      <c r="F58" s="6" t="s">
        <v>13</v>
      </c>
      <c r="G58" s="62"/>
      <c r="H58" s="62"/>
      <c r="I58" s="62"/>
      <c r="J58" s="62"/>
      <c r="K58" s="62"/>
    </row>
    <row r="59" spans="1:11" x14ac:dyDescent="0.25">
      <c r="A59" s="23" t="s">
        <v>226</v>
      </c>
      <c r="B59" s="24" t="s">
        <v>132</v>
      </c>
      <c r="C59" s="64">
        <v>1.6944349393939391</v>
      </c>
      <c r="D59" s="64">
        <v>-8.6170665</v>
      </c>
      <c r="E59" s="64">
        <v>0.16263649999999999</v>
      </c>
      <c r="F59" s="8" t="s">
        <v>176</v>
      </c>
      <c r="G59" s="62"/>
      <c r="H59" s="62"/>
      <c r="I59" s="62"/>
      <c r="J59" s="62"/>
      <c r="K59" s="62"/>
    </row>
    <row r="60" spans="1:11" x14ac:dyDescent="0.25">
      <c r="A60" s="5" t="s">
        <v>224</v>
      </c>
      <c r="B60" s="7" t="s">
        <v>149</v>
      </c>
      <c r="C60" s="65">
        <v>1.650358863636364</v>
      </c>
      <c r="D60" s="65">
        <v>0.24198790000000001</v>
      </c>
      <c r="E60" s="65">
        <v>7.9236699999999993E-2</v>
      </c>
      <c r="F60" s="6" t="s">
        <v>177</v>
      </c>
      <c r="G60" s="62"/>
      <c r="H60" s="62"/>
      <c r="I60" s="62"/>
      <c r="J60" s="62"/>
      <c r="K60" s="62"/>
    </row>
    <row r="61" spans="1:11" x14ac:dyDescent="0.25">
      <c r="A61" s="23" t="s">
        <v>229</v>
      </c>
      <c r="B61" s="24" t="s">
        <v>133</v>
      </c>
      <c r="C61" s="64">
        <v>1.393111121212121</v>
      </c>
      <c r="D61" s="64">
        <v>0.72264299999999992</v>
      </c>
      <c r="E61" s="64">
        <v>4.1021000000000001</v>
      </c>
      <c r="F61" s="8" t="s">
        <v>174</v>
      </c>
      <c r="G61" s="62"/>
      <c r="H61" s="62"/>
      <c r="I61" s="62"/>
      <c r="J61" s="62"/>
      <c r="K61" s="62"/>
    </row>
    <row r="62" spans="1:11" x14ac:dyDescent="0.25">
      <c r="A62" s="5" t="s">
        <v>227</v>
      </c>
      <c r="B62" s="7" t="s">
        <v>141</v>
      </c>
      <c r="C62" s="65">
        <v>1.3190289090909089</v>
      </c>
      <c r="D62" s="65">
        <v>-1.50108</v>
      </c>
      <c r="E62" s="65">
        <v>-0.156384</v>
      </c>
      <c r="F62" s="6" t="s">
        <v>11</v>
      </c>
      <c r="G62" s="62"/>
      <c r="H62" s="62"/>
      <c r="I62" s="62"/>
      <c r="J62" s="62"/>
      <c r="K62" s="62"/>
    </row>
    <row r="63" spans="1:11" x14ac:dyDescent="0.25">
      <c r="A63" s="23" t="s">
        <v>228</v>
      </c>
      <c r="B63" s="24" t="s">
        <v>116</v>
      </c>
      <c r="C63" s="64">
        <v>1.3179449515151509</v>
      </c>
      <c r="D63" s="64">
        <v>3.5245259999999998</v>
      </c>
      <c r="E63" s="64">
        <v>-0.54827000000000004</v>
      </c>
      <c r="F63" s="8" t="s">
        <v>11</v>
      </c>
      <c r="G63" s="62"/>
      <c r="H63" s="62"/>
      <c r="I63" s="62"/>
      <c r="J63" s="62"/>
      <c r="K63" s="62"/>
    </row>
    <row r="64" spans="1:11" x14ac:dyDescent="0.25">
      <c r="A64" s="5" t="s">
        <v>230</v>
      </c>
      <c r="B64" s="7" t="s">
        <v>134</v>
      </c>
      <c r="C64" s="65">
        <v>1.2475071363636361</v>
      </c>
      <c r="D64" s="65">
        <v>2.4757185000000002</v>
      </c>
      <c r="E64" s="65">
        <v>-0.5506605</v>
      </c>
      <c r="F64" s="6" t="s">
        <v>177</v>
      </c>
      <c r="G64" s="62"/>
      <c r="H64" s="62"/>
      <c r="I64" s="62"/>
      <c r="J64" s="62"/>
      <c r="K64" s="62"/>
    </row>
    <row r="65" spans="1:11" x14ac:dyDescent="0.25">
      <c r="A65" s="23" t="s">
        <v>236</v>
      </c>
      <c r="B65" s="24" t="s">
        <v>97</v>
      </c>
      <c r="C65" s="64">
        <v>1.2423371182054539</v>
      </c>
      <c r="D65" s="64">
        <v>-5.5109886033800004</v>
      </c>
      <c r="E65" s="64">
        <v>-2.5646562200299998</v>
      </c>
      <c r="F65" s="8" t="s">
        <v>17</v>
      </c>
      <c r="G65" s="62"/>
      <c r="H65" s="62"/>
      <c r="I65" s="62"/>
      <c r="J65" s="62"/>
      <c r="K65" s="62"/>
    </row>
    <row r="66" spans="1:11" x14ac:dyDescent="0.25">
      <c r="A66" s="5" t="s">
        <v>234</v>
      </c>
      <c r="B66" s="7" t="s">
        <v>131</v>
      </c>
      <c r="C66" s="65">
        <v>1.2255799878787881</v>
      </c>
      <c r="D66" s="65">
        <v>-0.55819799999999997</v>
      </c>
      <c r="E66" s="65">
        <v>0.57705499999999998</v>
      </c>
      <c r="F66" s="6" t="s">
        <v>17</v>
      </c>
      <c r="G66" s="62"/>
      <c r="H66" s="62"/>
      <c r="I66" s="62"/>
      <c r="J66" s="62"/>
      <c r="K66" s="62"/>
    </row>
    <row r="67" spans="1:11" x14ac:dyDescent="0.25">
      <c r="A67" s="23" t="s">
        <v>276</v>
      </c>
      <c r="B67" s="24" t="s">
        <v>277</v>
      </c>
      <c r="C67" s="64">
        <v>1.1827121999999999</v>
      </c>
      <c r="D67" s="64">
        <v>-0.72630070000000002</v>
      </c>
      <c r="E67" s="64">
        <v>-0.72630070000000002</v>
      </c>
      <c r="F67" s="8" t="s">
        <v>177</v>
      </c>
      <c r="G67" s="62"/>
      <c r="H67" s="62"/>
      <c r="I67" s="62"/>
      <c r="J67" s="62"/>
      <c r="K67" s="62"/>
    </row>
    <row r="68" spans="1:11" x14ac:dyDescent="0.25">
      <c r="A68" s="5" t="s">
        <v>233</v>
      </c>
      <c r="B68" s="7" t="s">
        <v>96</v>
      </c>
      <c r="C68" s="65">
        <v>1.1561344369900002</v>
      </c>
      <c r="D68" s="65">
        <v>-1.9729423613599999</v>
      </c>
      <c r="E68" s="65">
        <v>-2.3130100625300001</v>
      </c>
      <c r="F68" s="6" t="s">
        <v>14</v>
      </c>
      <c r="G68" s="62"/>
      <c r="H68" s="62"/>
      <c r="I68" s="62"/>
      <c r="J68" s="62"/>
      <c r="K68" s="62"/>
    </row>
    <row r="69" spans="1:11" x14ac:dyDescent="0.25">
      <c r="A69" s="23" t="s">
        <v>231</v>
      </c>
      <c r="B69" s="24" t="s">
        <v>137</v>
      </c>
      <c r="C69" s="64">
        <v>1.134142357575757</v>
      </c>
      <c r="D69" s="64">
        <v>-0.1390895</v>
      </c>
      <c r="E69" s="64">
        <v>0.53740699999999997</v>
      </c>
      <c r="F69" s="8" t="s">
        <v>16</v>
      </c>
      <c r="G69" s="62"/>
      <c r="H69" s="62"/>
      <c r="I69" s="62"/>
      <c r="J69" s="62"/>
      <c r="K69" s="62"/>
    </row>
    <row r="70" spans="1:11" x14ac:dyDescent="0.25">
      <c r="A70" s="5" t="s">
        <v>235</v>
      </c>
      <c r="B70" s="7" t="s">
        <v>139</v>
      </c>
      <c r="C70" s="65">
        <v>1.053704636363636</v>
      </c>
      <c r="D70" s="65">
        <v>-3.5093869999999998</v>
      </c>
      <c r="E70" s="65">
        <v>-0.49863200000000002</v>
      </c>
      <c r="F70" s="6" t="s">
        <v>17</v>
      </c>
      <c r="G70" s="62"/>
      <c r="H70" s="62"/>
      <c r="I70" s="62"/>
      <c r="J70" s="62"/>
      <c r="K70" s="62"/>
    </row>
    <row r="71" spans="1:11" x14ac:dyDescent="0.25">
      <c r="A71" s="23" t="s">
        <v>232</v>
      </c>
      <c r="B71" s="24" t="s">
        <v>156</v>
      </c>
      <c r="C71" s="64">
        <v>1.02959703030303</v>
      </c>
      <c r="D71" s="64">
        <v>0.1111336</v>
      </c>
      <c r="E71" s="64">
        <v>-1.735E-3</v>
      </c>
      <c r="F71" s="8" t="s">
        <v>14</v>
      </c>
      <c r="G71" s="62"/>
      <c r="H71" s="62"/>
      <c r="I71" s="62"/>
      <c r="J71" s="62"/>
      <c r="K71" s="62"/>
    </row>
    <row r="72" spans="1:11" x14ac:dyDescent="0.25">
      <c r="A72" s="5" t="s">
        <v>244</v>
      </c>
      <c r="B72" s="7" t="s">
        <v>135</v>
      </c>
      <c r="C72" s="65">
        <v>0.92898836178242428</v>
      </c>
      <c r="D72" s="65">
        <v>-0.7135462320699999</v>
      </c>
      <c r="E72" s="65">
        <v>0.27870025192000003</v>
      </c>
      <c r="F72" s="6" t="s">
        <v>17</v>
      </c>
      <c r="G72" s="62"/>
      <c r="H72" s="62"/>
      <c r="I72" s="62"/>
      <c r="J72" s="62"/>
      <c r="K72" s="62"/>
    </row>
    <row r="73" spans="1:11" x14ac:dyDescent="0.25">
      <c r="A73" s="23" t="s">
        <v>237</v>
      </c>
      <c r="B73" s="24" t="s">
        <v>143</v>
      </c>
      <c r="C73" s="64">
        <v>0.88574242516381829</v>
      </c>
      <c r="D73" s="64">
        <v>-5.019728883</v>
      </c>
      <c r="E73" s="64">
        <v>-0.29142279240000019</v>
      </c>
      <c r="F73" s="8" t="s">
        <v>17</v>
      </c>
      <c r="G73" s="62"/>
      <c r="H73" s="62"/>
      <c r="I73" s="62"/>
      <c r="J73" s="62"/>
      <c r="K73" s="62"/>
    </row>
    <row r="74" spans="1:11" x14ac:dyDescent="0.25">
      <c r="A74" s="5" t="s">
        <v>238</v>
      </c>
      <c r="B74" s="7" t="s">
        <v>117</v>
      </c>
      <c r="C74" s="65">
        <v>0.86718783636363639</v>
      </c>
      <c r="D74" s="65">
        <v>-4.5125669999999998</v>
      </c>
      <c r="E74" s="65">
        <v>-0.21742300000000001</v>
      </c>
      <c r="F74" s="6" t="s">
        <v>177</v>
      </c>
      <c r="G74" s="62"/>
      <c r="H74" s="62"/>
      <c r="I74" s="62"/>
      <c r="J74" s="62"/>
      <c r="K74" s="62"/>
    </row>
    <row r="75" spans="1:11" x14ac:dyDescent="0.25">
      <c r="A75" s="23" t="s">
        <v>239</v>
      </c>
      <c r="B75" s="24" t="s">
        <v>100</v>
      </c>
      <c r="C75" s="64">
        <v>0.8620435969696969</v>
      </c>
      <c r="D75" s="64">
        <v>-5.2439840000000002</v>
      </c>
      <c r="E75" s="64">
        <v>-1.3654455000000001</v>
      </c>
      <c r="F75" s="8" t="s">
        <v>11</v>
      </c>
      <c r="G75" s="62"/>
      <c r="H75" s="62"/>
      <c r="I75" s="62"/>
      <c r="J75" s="62"/>
      <c r="K75" s="62"/>
    </row>
    <row r="76" spans="1:11" x14ac:dyDescent="0.25">
      <c r="A76" s="5" t="s">
        <v>241</v>
      </c>
      <c r="B76" s="7" t="s">
        <v>138</v>
      </c>
      <c r="C76" s="65">
        <v>0.83508266666666664</v>
      </c>
      <c r="D76" s="65">
        <v>-4.1868474999999998</v>
      </c>
      <c r="E76" s="65">
        <v>0.367863</v>
      </c>
      <c r="F76" s="6" t="s">
        <v>14</v>
      </c>
      <c r="G76" s="62"/>
      <c r="H76" s="62"/>
      <c r="I76" s="62"/>
      <c r="J76" s="62"/>
      <c r="K76" s="62"/>
    </row>
    <row r="77" spans="1:11" x14ac:dyDescent="0.25">
      <c r="A77" s="23" t="s">
        <v>243</v>
      </c>
      <c r="B77" s="24" t="s">
        <v>150</v>
      </c>
      <c r="C77" s="64">
        <v>0.7891592696969697</v>
      </c>
      <c r="D77" s="64">
        <v>-1.1109154999999999</v>
      </c>
      <c r="E77" s="64">
        <v>-0.43701250000000003</v>
      </c>
      <c r="F77" s="8" t="s">
        <v>17</v>
      </c>
      <c r="G77" s="62"/>
      <c r="H77" s="62"/>
      <c r="I77" s="62"/>
      <c r="J77" s="62"/>
      <c r="K77" s="62"/>
    </row>
    <row r="78" spans="1:11" x14ac:dyDescent="0.25">
      <c r="A78" s="5" t="s">
        <v>242</v>
      </c>
      <c r="B78" s="7" t="s">
        <v>128</v>
      </c>
      <c r="C78" s="65">
        <v>0.7765013297836364</v>
      </c>
      <c r="D78" s="65">
        <v>-0.37570548419999988</v>
      </c>
      <c r="E78" s="65">
        <v>-0.16999500015000002</v>
      </c>
      <c r="F78" s="6" t="s">
        <v>17</v>
      </c>
      <c r="G78" s="62"/>
      <c r="H78" s="62"/>
      <c r="I78" s="62"/>
      <c r="J78" s="62"/>
      <c r="K78" s="62"/>
    </row>
    <row r="79" spans="1:11" x14ac:dyDescent="0.25">
      <c r="A79" s="23" t="s">
        <v>240</v>
      </c>
      <c r="B79" s="24" t="s">
        <v>129</v>
      </c>
      <c r="C79" s="64">
        <v>0.76736213636363637</v>
      </c>
      <c r="D79" s="64">
        <v>1.2051689999999999</v>
      </c>
      <c r="E79" s="64">
        <v>5.7175499999999997E-2</v>
      </c>
      <c r="F79" s="8" t="s">
        <v>177</v>
      </c>
      <c r="G79" s="62"/>
      <c r="H79" s="62"/>
      <c r="I79" s="62"/>
      <c r="J79" s="62"/>
      <c r="K79" s="62"/>
    </row>
    <row r="80" spans="1:11" x14ac:dyDescent="0.25">
      <c r="A80" s="5" t="s">
        <v>245</v>
      </c>
      <c r="B80" s="7" t="s">
        <v>140</v>
      </c>
      <c r="C80" s="65">
        <v>0.74595809393939394</v>
      </c>
      <c r="D80" s="65">
        <v>-2.6198630000000001</v>
      </c>
      <c r="E80" s="65">
        <v>-0.151036</v>
      </c>
      <c r="F80" s="6" t="s">
        <v>17</v>
      </c>
      <c r="G80" s="62"/>
      <c r="H80" s="62"/>
      <c r="I80" s="62"/>
      <c r="J80" s="62"/>
      <c r="K80" s="62"/>
    </row>
    <row r="81" spans="1:11" x14ac:dyDescent="0.25">
      <c r="A81" s="23" t="s">
        <v>246</v>
      </c>
      <c r="B81" s="24" t="s">
        <v>130</v>
      </c>
      <c r="C81" s="64">
        <v>0.67689963333333325</v>
      </c>
      <c r="D81" s="64">
        <v>-0.46588299999999999</v>
      </c>
      <c r="E81" s="64">
        <v>-0.336899</v>
      </c>
      <c r="F81" s="8" t="s">
        <v>17</v>
      </c>
      <c r="G81" s="62"/>
      <c r="H81" s="62"/>
      <c r="I81" s="62"/>
      <c r="J81" s="62"/>
      <c r="K81" s="62"/>
    </row>
    <row r="82" spans="1:11" x14ac:dyDescent="0.25">
      <c r="A82" s="5" t="s">
        <v>248</v>
      </c>
      <c r="B82" s="7" t="s">
        <v>151</v>
      </c>
      <c r="C82" s="65">
        <v>0.57197565151515151</v>
      </c>
      <c r="D82" s="65">
        <v>-1.413921</v>
      </c>
      <c r="E82" s="65">
        <v>-0.21022099999999999</v>
      </c>
      <c r="F82" s="6" t="s">
        <v>175</v>
      </c>
      <c r="G82" s="62"/>
      <c r="H82" s="62"/>
      <c r="I82" s="62"/>
      <c r="J82" s="62"/>
      <c r="K82" s="62"/>
    </row>
    <row r="83" spans="1:11" x14ac:dyDescent="0.25">
      <c r="A83" s="23" t="s">
        <v>251</v>
      </c>
      <c r="B83" s="24" t="s">
        <v>162</v>
      </c>
      <c r="C83" s="64">
        <v>0.55879302424242427</v>
      </c>
      <c r="D83" s="64">
        <v>-1.6861120000000001</v>
      </c>
      <c r="E83" s="64">
        <v>-8.0964999999999995E-2</v>
      </c>
      <c r="F83" s="8" t="s">
        <v>14</v>
      </c>
      <c r="G83" s="62"/>
      <c r="H83" s="62"/>
      <c r="I83" s="62"/>
      <c r="J83" s="62"/>
      <c r="K83" s="62"/>
    </row>
    <row r="84" spans="1:11" x14ac:dyDescent="0.25">
      <c r="A84" s="5" t="s">
        <v>247</v>
      </c>
      <c r="B84" s="7" t="s">
        <v>89</v>
      </c>
      <c r="C84" s="65">
        <v>0.5430793181818182</v>
      </c>
      <c r="D84" s="65">
        <v>-3.2020629999999999</v>
      </c>
      <c r="E84" s="65">
        <v>0.45458799999999999</v>
      </c>
      <c r="F84" s="6" t="s">
        <v>11</v>
      </c>
      <c r="G84" s="62"/>
      <c r="H84" s="62"/>
      <c r="I84" s="62"/>
      <c r="J84" s="62"/>
      <c r="K84" s="62"/>
    </row>
    <row r="85" spans="1:11" x14ac:dyDescent="0.25">
      <c r="A85" s="23" t="s">
        <v>259</v>
      </c>
      <c r="B85" s="24" t="s">
        <v>165</v>
      </c>
      <c r="C85" s="64">
        <v>0.53678115151515149</v>
      </c>
      <c r="D85" s="64">
        <v>-3.9786250000000001</v>
      </c>
      <c r="E85" s="64">
        <v>-1.378541</v>
      </c>
      <c r="F85" s="8" t="s">
        <v>177</v>
      </c>
      <c r="G85" s="62"/>
      <c r="H85" s="62"/>
      <c r="I85" s="62"/>
      <c r="J85" s="62"/>
      <c r="K85" s="62"/>
    </row>
    <row r="86" spans="1:11" x14ac:dyDescent="0.25">
      <c r="A86" s="5" t="s">
        <v>250</v>
      </c>
      <c r="B86" s="7" t="s">
        <v>126</v>
      </c>
      <c r="C86" s="65">
        <v>0.47078385757575758</v>
      </c>
      <c r="D86" s="65">
        <v>-0.59172819999999993</v>
      </c>
      <c r="E86" s="65">
        <v>-0.2798428</v>
      </c>
      <c r="F86" s="6" t="s">
        <v>176</v>
      </c>
      <c r="G86" s="62"/>
      <c r="H86" s="62"/>
      <c r="I86" s="62"/>
      <c r="J86" s="62"/>
      <c r="K86" s="62"/>
    </row>
    <row r="87" spans="1:11" x14ac:dyDescent="0.25">
      <c r="A87" s="23" t="s">
        <v>249</v>
      </c>
      <c r="B87" s="24" t="s">
        <v>163</v>
      </c>
      <c r="C87" s="64">
        <v>0.45796555565151509</v>
      </c>
      <c r="D87" s="64">
        <v>1.8657945027999998</v>
      </c>
      <c r="E87" s="64">
        <v>0.30028556490000002</v>
      </c>
      <c r="F87" s="8" t="s">
        <v>177</v>
      </c>
      <c r="G87" s="62"/>
      <c r="H87" s="62"/>
      <c r="I87" s="62"/>
      <c r="J87" s="62"/>
      <c r="K87" s="62"/>
    </row>
    <row r="88" spans="1:11" x14ac:dyDescent="0.25">
      <c r="A88" s="5" t="s">
        <v>252</v>
      </c>
      <c r="B88" s="7" t="s">
        <v>168</v>
      </c>
      <c r="C88" s="65">
        <v>0.45662284848484852</v>
      </c>
      <c r="D88" s="65">
        <v>2.2399810000000002</v>
      </c>
      <c r="E88" s="65">
        <v>0.41390959999999999</v>
      </c>
      <c r="F88" s="6" t="s">
        <v>14</v>
      </c>
      <c r="G88" s="62"/>
      <c r="H88" s="62"/>
      <c r="I88" s="62"/>
      <c r="J88" s="62"/>
      <c r="K88" s="62"/>
    </row>
    <row r="89" spans="1:11" x14ac:dyDescent="0.25">
      <c r="A89" s="23" t="s">
        <v>260</v>
      </c>
      <c r="B89" s="24" t="s">
        <v>169</v>
      </c>
      <c r="C89" s="64">
        <v>0.4500185454545455</v>
      </c>
      <c r="D89" s="64">
        <v>-2.063666</v>
      </c>
      <c r="E89" s="64">
        <v>-0.93499900000000002</v>
      </c>
      <c r="F89" s="8" t="s">
        <v>10</v>
      </c>
      <c r="G89" s="62"/>
      <c r="H89" s="62"/>
      <c r="I89" s="62"/>
      <c r="J89" s="62"/>
      <c r="K89" s="62"/>
    </row>
    <row r="90" spans="1:11" x14ac:dyDescent="0.25">
      <c r="A90" s="5" t="s">
        <v>253</v>
      </c>
      <c r="B90" s="7" t="s">
        <v>153</v>
      </c>
      <c r="C90" s="65">
        <v>0.44877014848484847</v>
      </c>
      <c r="D90" s="65">
        <v>-3.8019449999999999</v>
      </c>
      <c r="E90" s="65">
        <v>-0.50625200000000004</v>
      </c>
      <c r="F90" s="6" t="s">
        <v>175</v>
      </c>
      <c r="G90" s="62"/>
      <c r="H90" s="62"/>
      <c r="I90" s="62"/>
      <c r="J90" s="62"/>
      <c r="K90" s="62"/>
    </row>
    <row r="91" spans="1:11" x14ac:dyDescent="0.25">
      <c r="A91" s="23" t="s">
        <v>257</v>
      </c>
      <c r="B91" s="24" t="s">
        <v>160</v>
      </c>
      <c r="C91" s="64">
        <v>0.43123004545454552</v>
      </c>
      <c r="D91" s="64">
        <v>0.70930300000000002</v>
      </c>
      <c r="E91" s="64">
        <v>5.7231999999999998E-2</v>
      </c>
      <c r="F91" s="8" t="s">
        <v>175</v>
      </c>
      <c r="G91" s="62"/>
      <c r="H91" s="62"/>
      <c r="I91" s="62"/>
      <c r="J91" s="62"/>
      <c r="K91" s="62"/>
    </row>
    <row r="92" spans="1:11" x14ac:dyDescent="0.25">
      <c r="A92" s="5" t="s">
        <v>262</v>
      </c>
      <c r="B92" s="7" t="s">
        <v>142</v>
      </c>
      <c r="C92" s="65">
        <v>0.41330896969696973</v>
      </c>
      <c r="D92" s="65">
        <v>-0.1206030000000001</v>
      </c>
      <c r="E92" s="65">
        <v>-0.22217700000000001</v>
      </c>
      <c r="F92" s="6" t="s">
        <v>11</v>
      </c>
      <c r="G92" s="62"/>
      <c r="H92" s="62"/>
      <c r="I92" s="62"/>
      <c r="J92" s="62"/>
      <c r="K92" s="62"/>
    </row>
    <row r="93" spans="1:11" x14ac:dyDescent="0.25">
      <c r="A93" s="23" t="s">
        <v>254</v>
      </c>
      <c r="B93" s="24" t="s">
        <v>161</v>
      </c>
      <c r="C93" s="64">
        <v>0.40011086666666656</v>
      </c>
      <c r="D93" s="64">
        <v>8.2652799999999998E-2</v>
      </c>
      <c r="E93" s="64">
        <v>6.78087E-2</v>
      </c>
      <c r="F93" s="8" t="s">
        <v>14</v>
      </c>
      <c r="G93" s="62"/>
      <c r="H93" s="62"/>
      <c r="I93" s="62"/>
      <c r="J93" s="62"/>
      <c r="K93" s="62"/>
    </row>
    <row r="94" spans="1:11" x14ac:dyDescent="0.25">
      <c r="A94" s="5" t="s">
        <v>255</v>
      </c>
      <c r="B94" s="7" t="s">
        <v>157</v>
      </c>
      <c r="C94" s="65">
        <v>0.39116165454545448</v>
      </c>
      <c r="D94" s="65">
        <v>-0.225185</v>
      </c>
      <c r="E94" s="65">
        <v>1.00401E-2</v>
      </c>
      <c r="F94" s="6" t="s">
        <v>177</v>
      </c>
      <c r="G94" s="62"/>
      <c r="H94" s="62"/>
      <c r="I94" s="62"/>
      <c r="J94" s="62"/>
      <c r="K94" s="62"/>
    </row>
    <row r="95" spans="1:11" x14ac:dyDescent="0.25">
      <c r="A95" s="23" t="s">
        <v>256</v>
      </c>
      <c r="B95" s="24" t="s">
        <v>118</v>
      </c>
      <c r="C95" s="64">
        <v>0.38257978787878788</v>
      </c>
      <c r="D95" s="64">
        <v>0.117121</v>
      </c>
      <c r="E95" s="64">
        <v>0.129555</v>
      </c>
      <c r="F95" s="8" t="s">
        <v>10</v>
      </c>
      <c r="G95" s="62"/>
      <c r="H95" s="62"/>
      <c r="I95" s="62"/>
      <c r="J95" s="62"/>
      <c r="K95" s="62"/>
    </row>
    <row r="96" spans="1:11" x14ac:dyDescent="0.25">
      <c r="A96" s="5" t="s">
        <v>264</v>
      </c>
      <c r="B96" s="7" t="s">
        <v>158</v>
      </c>
      <c r="C96" s="65">
        <v>0.37201476060606065</v>
      </c>
      <c r="D96" s="65">
        <v>-3.2779502999999997</v>
      </c>
      <c r="E96" s="65">
        <v>-0.87960240000000001</v>
      </c>
      <c r="F96" s="6" t="s">
        <v>16</v>
      </c>
      <c r="G96" s="62"/>
      <c r="H96" s="62"/>
      <c r="I96" s="62"/>
      <c r="J96" s="62"/>
      <c r="K96" s="62"/>
    </row>
    <row r="97" spans="1:11" x14ac:dyDescent="0.25">
      <c r="A97" s="23" t="s">
        <v>263</v>
      </c>
      <c r="B97" s="24" t="s">
        <v>159</v>
      </c>
      <c r="C97" s="64">
        <v>0.36187503636363633</v>
      </c>
      <c r="D97" s="64">
        <v>-2.788630000000001E-2</v>
      </c>
      <c r="E97" s="64">
        <v>3.5949999999999992E-3</v>
      </c>
      <c r="F97" s="8" t="s">
        <v>13</v>
      </c>
      <c r="G97" s="62"/>
      <c r="H97" s="62"/>
      <c r="I97" s="62"/>
      <c r="J97" s="62"/>
      <c r="K97" s="62"/>
    </row>
    <row r="98" spans="1:11" x14ac:dyDescent="0.25">
      <c r="A98" s="5" t="s">
        <v>265</v>
      </c>
      <c r="B98" s="7" t="s">
        <v>166</v>
      </c>
      <c r="C98" s="65">
        <v>0.34337112121212121</v>
      </c>
      <c r="D98" s="65">
        <v>-8.8925000000000004E-2</v>
      </c>
      <c r="E98" s="65">
        <v>0.21087700000000001</v>
      </c>
      <c r="F98" s="6" t="s">
        <v>14</v>
      </c>
      <c r="G98" s="62"/>
      <c r="H98" s="62"/>
      <c r="I98" s="62"/>
      <c r="J98" s="62"/>
      <c r="K98" s="62"/>
    </row>
    <row r="99" spans="1:11" x14ac:dyDescent="0.25">
      <c r="A99" s="23" t="s">
        <v>261</v>
      </c>
      <c r="B99" s="24" t="s">
        <v>136</v>
      </c>
      <c r="C99" s="64">
        <v>0.3407188333333333</v>
      </c>
      <c r="D99" s="64">
        <v>-0.61431500000000006</v>
      </c>
      <c r="E99" s="64">
        <v>3.9399999999999998E-4</v>
      </c>
      <c r="F99" s="8" t="s">
        <v>17</v>
      </c>
      <c r="G99" s="62"/>
      <c r="H99" s="62"/>
      <c r="I99" s="62"/>
      <c r="J99" s="62"/>
      <c r="K99" s="62"/>
    </row>
    <row r="100" spans="1:11" x14ac:dyDescent="0.25">
      <c r="A100" s="5" t="s">
        <v>258</v>
      </c>
      <c r="B100" s="7" t="s">
        <v>164</v>
      </c>
      <c r="C100" s="65">
        <v>0.32681663636363639</v>
      </c>
      <c r="D100" s="65">
        <v>0.88034699999999988</v>
      </c>
      <c r="E100" s="65">
        <v>0</v>
      </c>
      <c r="F100" s="6" t="s">
        <v>13</v>
      </c>
      <c r="G100" s="62"/>
      <c r="H100" s="62"/>
      <c r="I100" s="62"/>
      <c r="J100" s="62"/>
      <c r="K100" s="62"/>
    </row>
    <row r="101" spans="1:11" x14ac:dyDescent="0.25">
      <c r="A101" s="54" t="s">
        <v>171</v>
      </c>
      <c r="B101" s="55" t="s">
        <v>172</v>
      </c>
      <c r="C101" s="66">
        <v>0.2994907575757576</v>
      </c>
      <c r="D101" s="66">
        <v>7.7783000000000005E-2</v>
      </c>
      <c r="E101" s="66">
        <v>-3.8500300000000001E-2</v>
      </c>
      <c r="F101" s="9" t="s">
        <v>175</v>
      </c>
      <c r="G101" s="62"/>
      <c r="H101" s="62"/>
      <c r="I101" s="62"/>
      <c r="J101" s="62"/>
      <c r="K101" s="62"/>
    </row>
    <row r="102" spans="1:11" x14ac:dyDescent="0.25">
      <c r="A102" s="51"/>
      <c r="B102" s="10"/>
      <c r="C102" s="10"/>
      <c r="D102" s="10"/>
      <c r="E102" s="10"/>
      <c r="F102" s="52"/>
      <c r="H102" s="44"/>
      <c r="J102" s="45"/>
    </row>
    <row r="104" spans="1:11" x14ac:dyDescent="0.25">
      <c r="A104" s="11" t="s">
        <v>67</v>
      </c>
    </row>
    <row r="105" spans="1:11" x14ac:dyDescent="0.25">
      <c r="A105" s="11" t="s">
        <v>82</v>
      </c>
    </row>
    <row r="106" spans="1:11" x14ac:dyDescent="0.25">
      <c r="A106" s="11" t="s">
        <v>146</v>
      </c>
    </row>
    <row r="107" spans="1:11" x14ac:dyDescent="0.25">
      <c r="A107" s="11" t="s">
        <v>145</v>
      </c>
    </row>
    <row r="108" spans="1:11" x14ac:dyDescent="0.25">
      <c r="A108" s="11" t="s">
        <v>152</v>
      </c>
    </row>
    <row r="109" spans="1:11" x14ac:dyDescent="0.25">
      <c r="A109" s="11" t="s">
        <v>75</v>
      </c>
    </row>
  </sheetData>
  <conditionalFormatting sqref="D2:E101">
    <cfRule type="cellIs" dxfId="0" priority="1" operator="lessThan">
      <formula>0</formula>
    </cfRule>
  </conditionalFormatting>
  <pageMargins left="0.7" right="0.7" top="0.75" bottom="0.75" header="0.3" footer="0.3"/>
  <pageSetup scale="65"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Eugene Ang</cp:lastModifiedBy>
  <cp:lastPrinted>2021-05-10T01:23:04Z</cp:lastPrinted>
  <dcterms:created xsi:type="dcterms:W3CDTF">2020-01-13T01:31:10Z</dcterms:created>
  <dcterms:modified xsi:type="dcterms:W3CDTF">2024-02-19T07:52:50Z</dcterms:modified>
</cp:coreProperties>
</file>