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4ACCDBB-2772-4A27-A021-5CB61B0A87E8}"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<sst xmlns="http://schemas.openxmlformats.org/spreadsheetml/2006/main" count="139" uniqueCount="89">
  <si>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</si>
  <si>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</si>
  <si>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</si>
  <si>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</si>
  <si>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</si>
  <si>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</si>
  <si>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</si>
  <si>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</si>
  <si>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</si>
  <si>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</si>
  <si>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</si>
  <si>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</si>
  <si>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</si>
  <si>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</si>
  <si>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</si>
  <si>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</si>
  <si>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</si>
  <si>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</si>
  <si>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</si>
  <si>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</si>
  <si>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</si>
  <si>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</si>
  <si>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</si>
  <si>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</si>
  <si>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</si>
  <si>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</si>
  <si>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</si>
  <si>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</si>
  <si>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</si>
  <si>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</si>
  <si>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</si>
  <si>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</si>
  <si>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</si>
  <si>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</si>
  <si>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</si>
  <si>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</si>
  <si>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</si>
  <si>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</si>
  <si>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 xml:space="preserve">AEM </t>
  </si>
  <si>
    <t>AWX</t>
  </si>
  <si>
    <t>Sembcorp Industries</t>
  </si>
  <si>
    <t>U96</t>
  </si>
  <si>
    <t>Yangzijiang Shipbuilding</t>
  </si>
  <si>
    <t>BS6</t>
  </si>
  <si>
    <t>SIA</t>
  </si>
  <si>
    <t>C6L</t>
  </si>
  <si>
    <t>iFast Corporation</t>
  </si>
  <si>
    <t>AIY</t>
  </si>
  <si>
    <t>ST Engineering</t>
  </si>
  <si>
    <t>S63</t>
  </si>
  <si>
    <t>SATS</t>
  </si>
  <si>
    <t>S58</t>
  </si>
  <si>
    <t>UOB</t>
  </si>
  <si>
    <t>U11</t>
  </si>
  <si>
    <t>UMS</t>
  </si>
  <si>
    <t>558</t>
  </si>
  <si>
    <t>8YZ</t>
  </si>
  <si>
    <t>Jardine Matheson</t>
  </si>
  <si>
    <t>J36</t>
  </si>
  <si>
    <t>CapitaLand Integrated Commercial Trust</t>
  </si>
  <si>
    <t>C38U</t>
  </si>
  <si>
    <t>NTDU</t>
  </si>
  <si>
    <t>ULG</t>
  </si>
  <si>
    <t>Yangzijiang Maritime</t>
  </si>
  <si>
    <t>NTT DC REIT</t>
  </si>
  <si>
    <t>UltraGreen.ai</t>
  </si>
  <si>
    <t>Venture Corporation</t>
  </si>
  <si>
    <t>V03</t>
  </si>
  <si>
    <t>Frasers Logistics &amp; Commercial Trust</t>
  </si>
  <si>
    <t>BUOU</t>
  </si>
  <si>
    <t>Haw Par</t>
  </si>
  <si>
    <t>H02</t>
  </si>
  <si>
    <t>A31</t>
  </si>
  <si>
    <t>CSE Global</t>
  </si>
  <si>
    <t>544</t>
  </si>
  <si>
    <t>UOB Kay Hian</t>
  </si>
  <si>
    <t>U10</t>
  </si>
  <si>
    <t>Keppel</t>
  </si>
  <si>
    <t>BN4</t>
  </si>
  <si>
    <t>Thai Beverage</t>
  </si>
  <si>
    <t>Y92</t>
  </si>
  <si>
    <t>City Developments</t>
  </si>
  <si>
    <t>C09</t>
  </si>
  <si>
    <t>Nam Cheong</t>
  </si>
  <si>
    <t>1MZ</t>
  </si>
  <si>
    <t>Week of 13 April 2026</t>
  </si>
  <si>
    <r>
      <t xml:space="preserve">Institutional investors net </t>
    </r>
    <r>
      <rPr>
        <b/>
        <sz val="11"/>
        <rFont val="Arial"/>
        <family val="2"/>
      </rPr>
      <t>sell</t>
    </r>
    <r>
      <rPr>
        <sz val="11"/>
        <rFont val="Arial"/>
        <family val="2"/>
      </rPr>
      <t xml:space="preserve"> (-S$357.4m) vs. (-S$162.7m) a week ago</t>
    </r>
  </si>
  <si>
    <r>
      <t xml:space="preserve">Retail investors net </t>
    </r>
    <r>
      <rPr>
        <b/>
        <sz val="11"/>
        <rFont val="Arial"/>
        <family val="2"/>
      </rPr>
      <t>buy</t>
    </r>
    <r>
      <rPr>
        <sz val="11"/>
        <rFont val="Arial"/>
        <family val="2"/>
      </rPr>
      <t xml:space="preserve"> (+S$194.9m) vs. (-S$148.4m) a week ago</t>
    </r>
  </si>
  <si>
    <t>Addvalue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</si>
</sst>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85</v>
      </c>
      <c r="C1" s="59"/>
    </row>
    <row r="2" spans="1:13" ht="15" x14ac:dyDescent="0.25">
      <c r="A2" s="52" t="s">
        <v>86</v>
      </c>
      <c r="I2" s="40"/>
    </row>
    <row r="3" spans="1:13" ht="15" x14ac:dyDescent="0.25">
      <c r="A3" s="52" t="s">
        <v>87</v>
      </c>
      <c r="I3" s="40"/>
    </row>
    <row r="5" spans="1:13" ht="29.25" customHeight="1" x14ac:dyDescent="0.2">
      <c r="A5" s="3" t="s">
        <v>0</v>
      </c>
      <c r="B5" s="3" t="s">
        <v>1</v>
      </c>
      <c r="C5" s="4" t="s">
        <v>85</v>
      </c>
      <c r="D5" s="43" t="s">
        <v>2</v>
      </c>
      <c r="E5" s="43" t="s">
        <v>1</v>
      </c>
      <c r="F5" s="44" t="str">
        <f>+C5</f>
        <v>Week of 13 April 2026</v>
      </c>
      <c r="I5" s="2"/>
    </row>
    <row r="6" spans="1:13" ht="15" x14ac:dyDescent="0.25">
      <c r="A6" s="28" t="s">
        <v>66</v>
      </c>
      <c r="B6" s="46" t="s">
        <v>67</v>
      </c>
      <c r="C6" s="5">
        <v>9.3469250000000006</v>
      </c>
      <c r="D6" s="28" t="s">
        <v>22</v>
      </c>
      <c r="E6" s="46" t="s">
        <v>21</v>
      </c>
      <c r="F6" s="5">
        <v>-158.41349600000001</v>
      </c>
      <c r="G6" s="61"/>
      <c r="H6"/>
      <c r="I6" s="2"/>
      <c r="M6"/>
    </row>
    <row r="7" spans="1:13" ht="15" x14ac:dyDescent="0.25">
      <c r="A7" s="29" t="s">
        <v>64</v>
      </c>
      <c r="B7" s="9" t="s">
        <v>61</v>
      </c>
      <c r="C7" s="7">
        <v>8.785077084800001</v>
      </c>
      <c r="D7" s="29" t="s">
        <v>36</v>
      </c>
      <c r="E7" s="9" t="s">
        <v>37</v>
      </c>
      <c r="F7" s="7">
        <v>-144.45088699999999</v>
      </c>
      <c r="G7" s="61"/>
      <c r="H7"/>
      <c r="I7" s="2"/>
      <c r="L7"/>
      <c r="M7"/>
    </row>
    <row r="8" spans="1:13" ht="15" x14ac:dyDescent="0.25">
      <c r="A8" s="30" t="s">
        <v>44</v>
      </c>
      <c r="B8" s="46" t="s">
        <v>45</v>
      </c>
      <c r="C8" s="5">
        <v>8.6153639999999996</v>
      </c>
      <c r="D8" s="30" t="s">
        <v>77</v>
      </c>
      <c r="E8" s="46" t="s">
        <v>78</v>
      </c>
      <c r="F8" s="5">
        <v>-25.935362999999999</v>
      </c>
      <c r="G8" s="61"/>
      <c r="H8"/>
      <c r="I8" s="2"/>
      <c r="L8"/>
      <c r="M8"/>
    </row>
    <row r="9" spans="1:13" ht="15" x14ac:dyDescent="0.25">
      <c r="A9" s="29" t="s">
        <v>63</v>
      </c>
      <c r="B9" s="9" t="s">
        <v>56</v>
      </c>
      <c r="C9" s="7">
        <v>7.7255725000000002</v>
      </c>
      <c r="D9" s="29" t="s">
        <v>79</v>
      </c>
      <c r="E9" s="9" t="s">
        <v>80</v>
      </c>
      <c r="F9" s="7">
        <v>-21.878461000000001</v>
      </c>
      <c r="G9" s="61"/>
      <c r="H9"/>
      <c r="I9" s="2"/>
      <c r="L9"/>
      <c r="M9"/>
    </row>
    <row r="10" spans="1:13" ht="15" x14ac:dyDescent="0.25">
      <c r="A10" s="30" t="s">
        <v>46</v>
      </c>
      <c r="B10" s="46" t="s">
        <v>47</v>
      </c>
      <c r="C10" s="5">
        <v>7.6640839999999999</v>
      </c>
      <c r="D10" s="30" t="s">
        <v>50</v>
      </c>
      <c r="E10" s="46" t="s">
        <v>51</v>
      </c>
      <c r="F10" s="5">
        <v>-18.992913000000001</v>
      </c>
      <c r="G10" s="61"/>
      <c r="H10"/>
      <c r="I10" s="2"/>
      <c r="L10"/>
      <c r="M10"/>
    </row>
    <row r="11" spans="1:13" ht="15" x14ac:dyDescent="0.25">
      <c r="A11" s="29" t="s">
        <v>68</v>
      </c>
      <c r="B11" s="9" t="s">
        <v>69</v>
      </c>
      <c r="C11" s="7">
        <v>7.6633120000000003</v>
      </c>
      <c r="D11" s="29" t="s">
        <v>34</v>
      </c>
      <c r="E11" s="9" t="s">
        <v>35</v>
      </c>
      <c r="F11" s="7">
        <v>-11.376719</v>
      </c>
      <c r="G11" s="61"/>
      <c r="H11"/>
      <c r="I11" s="2"/>
      <c r="L11"/>
      <c r="M11"/>
    </row>
    <row r="12" spans="1:13" ht="15" x14ac:dyDescent="0.25">
      <c r="A12" s="30" t="s">
        <v>70</v>
      </c>
      <c r="B12" s="46" t="s">
        <v>71</v>
      </c>
      <c r="C12" s="5">
        <v>6.4774419999999999</v>
      </c>
      <c r="D12" s="30" t="s">
        <v>59</v>
      </c>
      <c r="E12" s="46" t="s">
        <v>60</v>
      </c>
      <c r="F12" s="5">
        <v>-11.225735999999999</v>
      </c>
      <c r="G12" s="61"/>
      <c r="H12"/>
      <c r="I12" s="2"/>
      <c r="L12"/>
      <c r="M12"/>
    </row>
    <row r="13" spans="1:13" ht="15" x14ac:dyDescent="0.25">
      <c r="A13" s="29" t="s">
        <v>88</v>
      </c>
      <c r="B13" s="9" t="s">
        <v>72</v>
      </c>
      <c r="C13" s="7">
        <v>6.1831630000000004</v>
      </c>
      <c r="D13" s="29" t="s">
        <v>57</v>
      </c>
      <c r="E13" s="9" t="s">
        <v>58</v>
      </c>
      <c r="F13" s="7">
        <v>-9.9793623397999998</v>
      </c>
      <c r="G13" s="61"/>
      <c r="H13"/>
      <c r="I13" s="2"/>
      <c r="L13"/>
      <c r="M13"/>
    </row>
    <row r="14" spans="1:13" ht="15" x14ac:dyDescent="0.25">
      <c r="A14" s="30" t="s">
        <v>73</v>
      </c>
      <c r="B14" s="46" t="s">
        <v>74</v>
      </c>
      <c r="C14" s="5">
        <v>5.9453170000000002</v>
      </c>
      <c r="D14" s="30" t="s">
        <v>42</v>
      </c>
      <c r="E14" s="46" t="s">
        <v>43</v>
      </c>
      <c r="F14" s="5">
        <v>-9.5539260000000006</v>
      </c>
      <c r="G14" s="61"/>
      <c r="H14"/>
      <c r="I14" s="2"/>
      <c r="L14"/>
      <c r="M14"/>
    </row>
    <row r="15" spans="1:13" ht="15" x14ac:dyDescent="0.25">
      <c r="A15" s="31" t="s">
        <v>75</v>
      </c>
      <c r="B15" s="27" t="s">
        <v>76</v>
      </c>
      <c r="C15" s="8">
        <v>5.5741779999999999</v>
      </c>
      <c r="D15" s="31" t="s">
        <v>81</v>
      </c>
      <c r="E15" s="27" t="s">
        <v>82</v>
      </c>
      <c r="F15" s="8">
        <v>-9.1531000000000002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13 April 2026</v>
      </c>
      <c r="D18" s="45" t="s">
        <v>4</v>
      </c>
      <c r="E18" s="43" t="s">
        <v>1</v>
      </c>
      <c r="F18" s="44" t="str">
        <f>+C18</f>
        <v>Week of 13 April 2026</v>
      </c>
    </row>
    <row r="19" spans="1:9" x14ac:dyDescent="0.2">
      <c r="A19" s="30" t="s">
        <v>34</v>
      </c>
      <c r="B19" s="46" t="s">
        <v>35</v>
      </c>
      <c r="C19" s="16">
        <v>70.800528</v>
      </c>
      <c r="D19" s="30" t="s">
        <v>73</v>
      </c>
      <c r="E19" s="15" t="s">
        <v>74</v>
      </c>
      <c r="F19" s="5">
        <v>-15.66676</v>
      </c>
      <c r="I19" s="2"/>
    </row>
    <row r="20" spans="1:9" ht="15" x14ac:dyDescent="0.25">
      <c r="A20" s="29" t="s">
        <v>36</v>
      </c>
      <c r="B20" s="9" t="s">
        <v>37</v>
      </c>
      <c r="C20" s="7">
        <v>64.226091999999994</v>
      </c>
      <c r="D20" s="29" t="s">
        <v>88</v>
      </c>
      <c r="E20" s="17" t="s">
        <v>72</v>
      </c>
      <c r="F20" s="7">
        <v>-13.572577600000001</v>
      </c>
      <c r="G20" s="61"/>
      <c r="I20" s="2"/>
    </row>
    <row r="21" spans="1:9" ht="15" x14ac:dyDescent="0.25">
      <c r="A21" s="30" t="s">
        <v>44</v>
      </c>
      <c r="B21" s="46" t="s">
        <v>45</v>
      </c>
      <c r="C21" s="5">
        <v>39.294752000000003</v>
      </c>
      <c r="D21" s="30" t="s">
        <v>46</v>
      </c>
      <c r="E21" s="6" t="s">
        <v>47</v>
      </c>
      <c r="F21" s="5">
        <v>-13.298702</v>
      </c>
      <c r="G21" s="61"/>
      <c r="I21" s="2"/>
    </row>
    <row r="22" spans="1:9" ht="15" x14ac:dyDescent="0.25">
      <c r="A22" s="29" t="s">
        <v>77</v>
      </c>
      <c r="B22" s="9" t="s">
        <v>78</v>
      </c>
      <c r="C22" s="7">
        <v>39.150384000000003</v>
      </c>
      <c r="D22" s="29" t="s">
        <v>54</v>
      </c>
      <c r="E22" s="17" t="s">
        <v>55</v>
      </c>
      <c r="F22" s="7">
        <v>-11.639105000000001</v>
      </c>
      <c r="G22" s="61"/>
      <c r="I22" s="2"/>
    </row>
    <row r="23" spans="1:9" ht="15" x14ac:dyDescent="0.25">
      <c r="A23" s="30" t="s">
        <v>50</v>
      </c>
      <c r="B23" s="46" t="s">
        <v>51</v>
      </c>
      <c r="C23" s="5">
        <v>26.978133</v>
      </c>
      <c r="D23" s="30" t="s">
        <v>40</v>
      </c>
      <c r="E23" s="6" t="s">
        <v>41</v>
      </c>
      <c r="F23" s="5">
        <v>-11.447134</v>
      </c>
      <c r="G23" s="61"/>
      <c r="I23" s="2"/>
    </row>
    <row r="24" spans="1:9" ht="15" x14ac:dyDescent="0.25">
      <c r="A24" s="29" t="s">
        <v>79</v>
      </c>
      <c r="B24" s="9" t="s">
        <v>80</v>
      </c>
      <c r="C24" s="7">
        <v>22.595579000000001</v>
      </c>
      <c r="D24" s="29" t="s">
        <v>38</v>
      </c>
      <c r="E24" s="17" t="s">
        <v>39</v>
      </c>
      <c r="F24" s="7">
        <v>-10.469118</v>
      </c>
      <c r="G24" s="61"/>
      <c r="I24" s="2"/>
    </row>
    <row r="25" spans="1:9" ht="15" x14ac:dyDescent="0.25">
      <c r="A25" s="30" t="s">
        <v>48</v>
      </c>
      <c r="B25" s="46" t="s">
        <v>49</v>
      </c>
      <c r="C25" s="5">
        <v>15.831201999999999</v>
      </c>
      <c r="D25" s="29" t="s">
        <v>63</v>
      </c>
      <c r="E25" s="6" t="s">
        <v>56</v>
      </c>
      <c r="F25" s="5">
        <v>-9.7624270000000006</v>
      </c>
      <c r="G25" s="61"/>
      <c r="I25" s="2"/>
    </row>
    <row r="26" spans="1:9" ht="15" x14ac:dyDescent="0.25">
      <c r="A26" s="29" t="s">
        <v>52</v>
      </c>
      <c r="B26" s="9" t="s">
        <v>53</v>
      </c>
      <c r="C26" s="7">
        <v>15.439893</v>
      </c>
      <c r="D26" s="29" t="s">
        <v>70</v>
      </c>
      <c r="E26" s="17" t="s">
        <v>71</v>
      </c>
      <c r="F26" s="7">
        <v>-9.0777979999999996</v>
      </c>
      <c r="G26" s="61"/>
      <c r="I26" s="2"/>
    </row>
    <row r="27" spans="1:9" ht="15" x14ac:dyDescent="0.25">
      <c r="A27" s="30" t="s">
        <v>65</v>
      </c>
      <c r="B27" s="46" t="s">
        <v>62</v>
      </c>
      <c r="C27" s="5">
        <v>9.598447342</v>
      </c>
      <c r="D27" s="30" t="s">
        <v>66</v>
      </c>
      <c r="E27" s="6" t="s">
        <v>67</v>
      </c>
      <c r="F27" s="5">
        <v>-8.5488870000000006</v>
      </c>
      <c r="G27" s="61"/>
      <c r="I27" s="2"/>
    </row>
    <row r="28" spans="1:9" ht="15" x14ac:dyDescent="0.25">
      <c r="A28" s="27" t="s">
        <v>81</v>
      </c>
      <c r="B28" s="56" t="s">
        <v>82</v>
      </c>
      <c r="C28" s="8">
        <v>9.3907930000000004</v>
      </c>
      <c r="D28" s="27" t="s">
        <v>83</v>
      </c>
      <c r="E28" s="56" t="s">
        <v>84</v>
      </c>
      <c r="F28" s="8">
        <v>-7.5732869999999997</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7" t="s">
        <v>33</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4 E19: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-121.08642328948004</v>
      </c>
      <c r="B3" s="54">
        <v>46104</v>
      </c>
      <c r="C3" s="14">
        <v>-2.62647488575</v>
      </c>
      <c r="D3" s="14">
        <v>33.32474399369999</v>
      </c>
      <c r="E3" s="14">
        <v>0.13641330000000007</v>
      </c>
      <c r="F3" s="14">
        <v>3.822436099999996</v>
      </c>
      <c r="G3" s="14">
        <v>9.2661078435999968</v>
      </c>
      <c r="H3" s="14">
        <v>-20.845874090400002</v>
      </c>
      <c r="I3" s="14">
        <v>0.46384969999999981</v>
      </c>
      <c r="J3" s="14">
        <v>-34.6149589893</v>
      </c>
      <c r="K3" s="14">
        <v>-171.13796041133003</v>
      </c>
      <c r="L3" s="14">
        <v>5.9785694499999957</v>
      </c>
      <c r="M3" s="14">
        <v>-24.007428200000003</v>
      </c>
      <c r="N3" s="14">
        <v>79.1541529</v>
      </c>
    </row>
    <row r="4" spans="1:15" ht="15" x14ac:dyDescent="0.25">
      <c r="A4" s="38">
        <f>SUM(C4:N4)</f>
        <v>32.95671571880996</v>
      </c>
      <c r="B4" s="42">
        <v>46111</v>
      </c>
      <c r="C4" s="53">
        <v>-5.6585336360000398E-2</v>
      </c>
      <c r="D4" s="53">
        <v>25.85905279</v>
      </c>
      <c r="E4" s="53">
        <v>3.3092533000000004</v>
      </c>
      <c r="F4" s="53">
        <v>-60.740215700000022</v>
      </c>
      <c r="G4" s="53">
        <v>4.749135966199999</v>
      </c>
      <c r="H4" s="53">
        <v>49.813223833949976</v>
      </c>
      <c r="I4" s="53">
        <v>-2.6565061999999999</v>
      </c>
      <c r="J4" s="53">
        <v>-1.9897073785999979</v>
      </c>
      <c r="K4" s="53">
        <v>-8.9936035563800054</v>
      </c>
      <c r="L4" s="53">
        <v>-27.867987199999998</v>
      </c>
      <c r="M4" s="53">
        <v>3.8292985999999978</v>
      </c>
      <c r="N4" s="53">
        <v>47.701356600000004</v>
      </c>
    </row>
    <row r="5" spans="1:15" ht="15" x14ac:dyDescent="0.25">
      <c r="A5" s="38">
        <f>SUM(C5:N5)</f>
        <v>-162.72652362157004</v>
      </c>
      <c r="B5" s="66">
        <v>46118</v>
      </c>
      <c r="C5" s="14">
        <v>3.0254066735399996</v>
      </c>
      <c r="D5" s="14">
        <v>7.6585280450000015</v>
      </c>
      <c r="E5" s="14">
        <v>-7.9809181000000002</v>
      </c>
      <c r="F5" s="14">
        <v>-248.66741830000001</v>
      </c>
      <c r="G5" s="14">
        <v>7.3808060532000006</v>
      </c>
      <c r="H5" s="14">
        <v>42.485528601750005</v>
      </c>
      <c r="I5" s="14">
        <v>-1.5046863000000004</v>
      </c>
      <c r="J5" s="14">
        <v>15.541534539699997</v>
      </c>
      <c r="K5" s="14">
        <v>6.8530665652399936</v>
      </c>
      <c r="L5" s="14">
        <v>85.600479199999995</v>
      </c>
      <c r="M5" s="14">
        <v>-101.4428539</v>
      </c>
      <c r="N5" s="14">
        <v>28.324003300000001</v>
      </c>
    </row>
    <row r="6" spans="1:15" ht="15" x14ac:dyDescent="0.25">
      <c r="A6" s="38">
        <f>SUM(C6:N6)</f>
        <v>-357.44986196277006</v>
      </c>
      <c r="B6" s="58">
        <v>46125</v>
      </c>
      <c r="C6" s="53">
        <v>6.1141201936800016</v>
      </c>
      <c r="D6" s="53">
        <v>-26.696586815700002</v>
      </c>
      <c r="E6" s="53">
        <v>-3.2732348999999998</v>
      </c>
      <c r="F6" s="53">
        <v>-182.41578999999999</v>
      </c>
      <c r="G6" s="53">
        <v>-0.29985381449999987</v>
      </c>
      <c r="H6" s="53">
        <v>-46.182626853649992</v>
      </c>
      <c r="I6" s="53">
        <v>-1.0260273</v>
      </c>
      <c r="J6" s="53">
        <v>-10.624705756000001</v>
      </c>
      <c r="K6" s="53">
        <v>-10.038164932999999</v>
      </c>
      <c r="L6" s="53">
        <v>50.666613816399988</v>
      </c>
      <c r="M6" s="53">
        <v>-140.1813008</v>
      </c>
      <c r="N6" s="53">
        <v>6.5076951999999997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95.854071177799966</v>
      </c>
      <c r="B3" s="47">
        <v>46104</v>
      </c>
      <c r="C3" s="60">
        <v>0.90917014230999915</v>
      </c>
      <c r="D3" s="60">
        <v>-33.912101700399994</v>
      </c>
      <c r="E3" s="60">
        <v>-5.8554699999999738E-2</v>
      </c>
      <c r="F3" s="60">
        <v>-8.2551763000000058</v>
      </c>
      <c r="G3" s="60">
        <v>-7.8793399815999967</v>
      </c>
      <c r="H3" s="60">
        <v>75.482862291500041</v>
      </c>
      <c r="I3" s="60">
        <v>-0.45727799999999952</v>
      </c>
      <c r="J3" s="60">
        <v>12.778125041000001</v>
      </c>
      <c r="K3" s="60">
        <v>164.92324328498995</v>
      </c>
      <c r="L3" s="60">
        <v>-19.169640300000008</v>
      </c>
      <c r="M3" s="60">
        <v>36.829791700000001</v>
      </c>
      <c r="N3" s="60">
        <v>-125.33703030000001</v>
      </c>
      <c r="P3" s="13"/>
    </row>
    <row r="4" spans="1:20" ht="15" x14ac:dyDescent="0.25">
      <c r="A4" s="48">
        <f>SUM(C4:N4)</f>
        <v>-27.536545156449989</v>
      </c>
      <c r="B4" s="58">
        <v>46111</v>
      </c>
      <c r="C4" s="55">
        <v>7.614705786780001</v>
      </c>
      <c r="D4" s="55">
        <v>-27.985287609399997</v>
      </c>
      <c r="E4" s="55">
        <v>-4.6959549999999997</v>
      </c>
      <c r="F4" s="55">
        <v>-6.8649088999999988</v>
      </c>
      <c r="G4" s="55">
        <v>-14.0405981411</v>
      </c>
      <c r="H4" s="55">
        <v>5.4457340663499885</v>
      </c>
      <c r="I4" s="55">
        <v>4.8311683000000007</v>
      </c>
      <c r="J4" s="55">
        <v>14.681047388199998</v>
      </c>
      <c r="K4" s="55">
        <v>18.48203165272</v>
      </c>
      <c r="L4" s="55">
        <v>33.693647700000014</v>
      </c>
      <c r="M4" s="55">
        <v>-8.4583463999999999</v>
      </c>
      <c r="N4" s="55">
        <v>-50.239784</v>
      </c>
      <c r="P4" s="13"/>
    </row>
    <row r="5" spans="1:20" ht="15" x14ac:dyDescent="0.25">
      <c r="A5" s="48">
        <f>SUM(C5:N5)</f>
        <v>-148.36424241341999</v>
      </c>
      <c r="B5" s="66">
        <v>46118</v>
      </c>
      <c r="C5" s="60">
        <v>-3.9537460244800005</v>
      </c>
      <c r="D5" s="60">
        <v>-28.450908786900001</v>
      </c>
      <c r="E5" s="60">
        <v>10.0688312</v>
      </c>
      <c r="F5" s="60">
        <v>101.97912909999999</v>
      </c>
      <c r="G5" s="60">
        <v>-23.420833841900009</v>
      </c>
      <c r="H5" s="60">
        <v>-63.713010307549993</v>
      </c>
      <c r="I5" s="60">
        <v>2.2575047000000006</v>
      </c>
      <c r="J5" s="60">
        <v>-15.907090697999998</v>
      </c>
      <c r="K5" s="60">
        <v>-18.482830138589996</v>
      </c>
      <c r="L5" s="60">
        <v>-142.107694216</v>
      </c>
      <c r="M5" s="60">
        <v>69.45226000000001</v>
      </c>
      <c r="N5" s="60">
        <v>-36.085853400000005</v>
      </c>
      <c r="P5" s="13"/>
    </row>
    <row r="6" spans="1:20" ht="15" x14ac:dyDescent="0.25">
      <c r="A6" s="48">
        <f>SUM(C6:N6)</f>
        <v>194.88145804061</v>
      </c>
      <c r="B6" s="58">
        <v>46125</v>
      </c>
      <c r="C6" s="55">
        <v>-2.8058384625999997</v>
      </c>
      <c r="D6" s="55">
        <v>43.871815760099999</v>
      </c>
      <c r="E6" s="55">
        <v>-7.2312048000000004</v>
      </c>
      <c r="F6" s="55">
        <v>89.517740000000003</v>
      </c>
      <c r="G6" s="55">
        <v>5.085898428800002</v>
      </c>
      <c r="H6" s="55">
        <v>127.46797113917999</v>
      </c>
      <c r="I6" s="55">
        <v>3.9820511000000005</v>
      </c>
      <c r="J6" s="55">
        <v>14.727465067300001</v>
      </c>
      <c r="K6" s="55">
        <v>-24.149271883769991</v>
      </c>
      <c r="L6" s="55">
        <v>-93.609490008399973</v>
      </c>
      <c r="M6" s="55">
        <v>51.781019699999995</v>
      </c>
      <c r="N6" s="55">
        <v>-13.756698</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2026-04-20T02:16:52Z</dcterms:modified>
</cp:coreProperties>
</file>