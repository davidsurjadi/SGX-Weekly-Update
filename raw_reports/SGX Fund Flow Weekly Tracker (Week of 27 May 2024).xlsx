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8_{737E7253-A5A6-4681-9B71-ECBE3D304EBC}" xr6:coauthVersionLast="47" xr6:coauthVersionMax="47" xr10:uidLastSave="{00000000-0000-0000-0000-000000000000}"/>
  <bookViews>
    <workbookView xWindow="-9270" yWindow="-21600" windowWidth="19200" windowHeight="2100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2" i="4" l="1"/>
  <c r="C32" i="4"/>
  <c r="A6" i="2" l="1"/>
  <c r="A5" i="2"/>
  <c r="A4" i="2"/>
  <c r="A3" i="2"/>
  <c r="A3" i="3"/>
  <c r="A4" i="3"/>
  <c r="A5" i="3"/>
  <c r="A6" i="3" l="1"/>
  <c r="A1" i="5"/>
  <c r="A1" i="4" l="1"/>
  <c r="C18" i="1" l="1"/>
  <c r="F18" i="1" s="1"/>
  <c r="F5" i="1"/>
</calcChain>
</file>

<file path=xl/sharedStrings.xml><?xml version="1.0" encoding="utf-8"?>
<sst xmlns="http://schemas.openxmlformats.org/spreadsheetml/2006/main" count="516" uniqueCount="277">
  <si>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</si>
  <si>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</si>
  <si>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</si>
  <si>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</si>
  <si>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</si>
  <si>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</si>
  <si>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</si>
  <si>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</si>
  <si>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</si>
  <si>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</si>
  <si>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</si>
  <si>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</si>
  <si>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</si>
  <si>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</si>
  <si>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</si>
  <si>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</si>
  <si>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</si>
  <si>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</si>
  <si>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</si>
  <si>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</si>
  <si>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</si>
  <si>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</si>
  <si>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</si>
  <si>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</si>
  <si>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</si>
  <si>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</si>
  <si>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</si>
  <si>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</si>
  <si>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</si>
  <si>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</si>
  <si>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</si>
  <si>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</si>
  <si>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</si>
  <si>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</si>
  <si>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</si>
  <si>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</si>
  <si>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</si>
  <si>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</si>
  <si>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</si>
  <si>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</si>
  <si>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</si>
  <si>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</si>
  <si>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</si>
  <si>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</si>
  <si>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</si>
  <si>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</si>
  <si>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</si>
  <si>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</si>
  <si>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</si>
  <si>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</si>
  <si>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</si>
  <si>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</si>
  <si>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</si>
  <si>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</si>
  <si>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</si>
  <si>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</si>
  <si>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</si>
  <si>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</si>
  <si>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</si>
  <si>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</si>
  <si>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</si>
  <si>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</si>
  <si>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</si>
  <si>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</si>
  <si>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</si>
  <si>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</si>
  <si>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</si>
  <si>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</si>
  <si>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</si>
  <si>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</si>
  <si>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</si>
  <si>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</si>
  <si>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</si>
  <si>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</si>
  <si>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</si>
  <si>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</si>
  <si>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</si>
  <si>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</si>
  <si>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</si>
  <si>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</si>
  <si>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</si>
  <si>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</si>
  <si>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</si>
  <si>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</si>
  <si>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</si>
  <si>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</si>
  <si>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</si>
  <si>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</si>
  <si>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</si>
  <si>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</si>
  <si>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</si>
  <si>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</si>
  <si>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</si>
  <si>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</si>
  <si>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</si>
  <si>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</si>
  <si>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</si>
  <si>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</si>
  <si>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</si>
  <si>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</si>
  <si>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</si>
  <si>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</si>
  <si>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</si>
  <si>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</si>
  <si>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</si>
  <si>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</si>
  <si>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</si>
  <si>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</si>
  <si>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</si>
  <si>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</si>
  <si>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</si>
  <si>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</si>
  <si>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</si>
  <si>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</si>
  <si>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</si>
  <si>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</si>
  <si>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</si>
  <si>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</si>
  <si>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</si>
  <si>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</si>
  <si>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</si>
  <si>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</si>
  <si>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</si>
  <si>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</si>
  <si>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</si>
  <si>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</si>
  <si>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</si>
  <si>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</si>
  <si>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</si>
  <si>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</si>
  <si>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</si>
  <si>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</si>
  <si>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</si>
  <si>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</si>
  <si>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</si>
  <si>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</si>
  <si>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</si>
  <si>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</si>
  <si>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</si>
  <si>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</si>
  <si>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</si>
  <si>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</si>
  <si>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</si>
  <si>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</si>
  <si>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</si>
  <si>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</si>
  <si>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</si>
  <si>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</si>
  <si>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</si>
  <si>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</si>
  <si>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</si>
  <si>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</si>
  <si>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</si>
  <si>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</si>
  <si>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</si>
  <si>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</si>
  <si>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</si>
  <si>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</si>
  <si>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</si>
  <si>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</si>
  <si>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</si>
  <si>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</si>
  <si>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</si>
  <si>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</si>
  <si>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</si>
  <si>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</si>
  <si>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</si>
  <si>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</si>
  <si>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</si>
  <si>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</si>
  <si>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</si>
  <si>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</si>
  <si>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</si>
  <si>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</si>
  <si>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</si>
  <si>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</si>
  <si>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</si>
  <si>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</si>
  <si>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</si>
  <si>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</si>
  <si>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</si>
  <si>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</si>
  <si>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</si>
  <si>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</si>
  <si>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</si>
  <si>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</si>
  <si>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</si>
  <si>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</si>
  <si>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</si>
  <si>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</si>
  <si>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</si>
  <si>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</si>
  <si>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</si>
  <si>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</si>
  <si>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</si>
  <si>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</si>
  <si>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</si>
  <si>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</si>
  <si>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</si>
  <si>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</si>
  <si>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</si>
  <si>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</si>
  <si>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</si>
  <si>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</si>
  <si>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</si>
  <si>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</si>
  <si>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</si>
  <si>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</si>
  <si>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</si>
  <si>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</si>
  <si>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</si>
  <si>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</si>
  <si>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</si>
  <si>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</si>
  <si>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</si>
  <si>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</si>
  <si>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</si>
  <si>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</si>
  <si>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</si>
  <si>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</si>
  <si>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</si>
  <si>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</si>
  <si>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</si>
  <si>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</si>
  <si>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</si>
  <si>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</si>
  <si>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</si>
  <si>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</si>
  <si>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</si>
  <si>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</si>
  <si>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</si>
  <si>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</si>
  <si>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</si>
  <si>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</si>
  <si>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</si>
  <si>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</si>
  <si>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</si>
  <si>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</si>
  <si>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</si>
  <si>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</si>
  <si>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</si>
  <si>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</si>
  <si>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</si>
  <si>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</si>
  <si>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</si>
  <si>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</si>
  <si>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</si>
  <si>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</si>
  <si>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</si>
  <si>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</si>
  <si>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</si>
  <si>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</si>
  <si>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Wing Tai</t>
  </si>
  <si>
    <t>W05</t>
  </si>
  <si>
    <t>Straits Trading</t>
  </si>
  <si>
    <t>S20</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</si>
  <si>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</si>
  <si>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</si>
  <si>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</si>
  <si>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Mermaid Maritime</t>
  </si>
  <si>
    <t>DU4</t>
  </si>
  <si>
    <t>Bumitama Agri</t>
  </si>
  <si>
    <t>P8Z</t>
  </si>
  <si>
    <t>Great Eastern</t>
  </si>
  <si>
    <t>G07</t>
  </si>
  <si>
    <t>5E2</t>
  </si>
  <si>
    <t>Jardine Matheson Holdings</t>
  </si>
  <si>
    <t>Golden Agri-Resources</t>
  </si>
  <si>
    <t>Japfa</t>
  </si>
  <si>
    <t>UD2</t>
  </si>
  <si>
    <t>Week of 27 May 2024</t>
  </si>
  <si>
    <t>Samudera Shipping Line</t>
  </si>
  <si>
    <t>AEM Holdings</t>
  </si>
  <si>
    <t>Netlink NBN Trust</t>
  </si>
  <si>
    <r>
      <t xml:space="preserve">Institutional investors net </t>
    </r>
    <r>
      <rPr>
        <b/>
        <sz val="11"/>
        <rFont val="Arial"/>
        <family val="2"/>
      </rPr>
      <t>sell</t>
    </r>
    <r>
      <rPr>
        <sz val="11"/>
        <rFont val="Arial"/>
        <family val="2"/>
      </rPr>
      <t xml:space="preserve"> (-S$59.3m) vs. (+S$91.0m) a week ago</t>
    </r>
  </si>
  <si>
    <r>
      <t xml:space="preserve">Retail investors net </t>
    </r>
    <r>
      <rPr>
        <b/>
        <sz val="11"/>
        <rFont val="Arial"/>
        <family val="2"/>
      </rPr>
      <t>sell</t>
    </r>
    <r>
      <rPr>
        <sz val="11"/>
        <rFont val="Arial"/>
        <family val="2"/>
      </rPr>
      <t xml:space="preserve"> (-S$71.9m) vs. (-S$31.8m) a week ago</t>
    </r>
  </si>
  <si>
    <t>Seatrium Ltd (from 7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</si>
</sst>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270</v>
      </c>
    </row>
    <row r="2" spans="1:13" x14ac:dyDescent="0.3">
      <c r="A2" s="75" t="s">
        <v>274</v>
      </c>
      <c r="I2" s="53"/>
    </row>
    <row r="3" spans="1:13" x14ac:dyDescent="0.3">
      <c r="A3" s="75" t="s">
        <v>275</v>
      </c>
      <c r="I3" s="53"/>
    </row>
    <row r="5" spans="1:13" ht="29.25" customHeight="1" x14ac:dyDescent="0.3">
      <c r="A5" s="3" t="s">
        <v>0</v>
      </c>
      <c r="B5" s="3" t="s">
        <v>1</v>
      </c>
      <c r="C5" s="4" t="s">
        <v>270</v>
      </c>
      <c r="D5" s="65" t="s">
        <v>2</v>
      </c>
      <c r="E5" s="65" t="s">
        <v>1</v>
      </c>
      <c r="F5" s="66" t="str">
        <f>+C5</f>
        <v>Week of 27 May 2024</v>
      </c>
    </row>
    <row r="6" spans="1:13" ht="14.5" x14ac:dyDescent="0.35">
      <c r="A6" s="34" t="s">
        <v>28</v>
      </c>
      <c r="B6" s="68" t="s">
        <v>23</v>
      </c>
      <c r="C6" s="6">
        <v>77.730508999999998</v>
      </c>
      <c r="D6" s="34" t="s">
        <v>63</v>
      </c>
      <c r="E6" s="68" t="s">
        <v>54</v>
      </c>
      <c r="F6" s="6">
        <v>-138.30100400000001</v>
      </c>
      <c r="K6" s="45"/>
      <c r="L6"/>
      <c r="M6"/>
    </row>
    <row r="7" spans="1:13" ht="14.5" x14ac:dyDescent="0.35">
      <c r="A7" s="35" t="s">
        <v>26</v>
      </c>
      <c r="B7" s="10" t="s">
        <v>21</v>
      </c>
      <c r="C7" s="8">
        <v>74.025227000000001</v>
      </c>
      <c r="D7" s="35" t="s">
        <v>251</v>
      </c>
      <c r="E7" s="10" t="s">
        <v>58</v>
      </c>
      <c r="F7" s="8">
        <v>-88.512315999999998</v>
      </c>
      <c r="K7" s="45"/>
      <c r="L7"/>
      <c r="M7"/>
    </row>
    <row r="8" spans="1:13" ht="14.5" x14ac:dyDescent="0.35">
      <c r="A8" s="36" t="s">
        <v>61</v>
      </c>
      <c r="B8" s="68" t="s">
        <v>53</v>
      </c>
      <c r="C8" s="6">
        <v>69.588049999999996</v>
      </c>
      <c r="D8" s="36" t="s">
        <v>40</v>
      </c>
      <c r="E8" s="68" t="s">
        <v>38</v>
      </c>
      <c r="F8" s="6">
        <v>-87.151285999999999</v>
      </c>
      <c r="K8" s="45"/>
      <c r="L8"/>
      <c r="M8"/>
    </row>
    <row r="9" spans="1:13" ht="14.5" x14ac:dyDescent="0.35">
      <c r="A9" s="35" t="s">
        <v>27</v>
      </c>
      <c r="B9" s="10" t="s">
        <v>22</v>
      </c>
      <c r="C9" s="8">
        <v>47.428277000000001</v>
      </c>
      <c r="D9" s="35" t="s">
        <v>145</v>
      </c>
      <c r="E9" s="10" t="s">
        <v>265</v>
      </c>
      <c r="F9" s="8">
        <v>-82.592198999999994</v>
      </c>
      <c r="K9" s="45"/>
      <c r="L9"/>
      <c r="M9"/>
    </row>
    <row r="10" spans="1:13" ht="14.5" x14ac:dyDescent="0.35">
      <c r="A10" s="36" t="s">
        <v>49</v>
      </c>
      <c r="B10" s="68" t="s">
        <v>47</v>
      </c>
      <c r="C10" s="6">
        <v>37.665099299999987</v>
      </c>
      <c r="D10" s="36" t="s">
        <v>50</v>
      </c>
      <c r="E10" s="68" t="s">
        <v>48</v>
      </c>
      <c r="F10" s="6">
        <v>-47.310084000000003</v>
      </c>
      <c r="K10" s="45"/>
      <c r="L10"/>
      <c r="M10"/>
    </row>
    <row r="11" spans="1:13" ht="14.5" x14ac:dyDescent="0.35">
      <c r="A11" s="35" t="s">
        <v>29</v>
      </c>
      <c r="B11" s="10" t="s">
        <v>24</v>
      </c>
      <c r="C11" s="8">
        <v>28.619126999999999</v>
      </c>
      <c r="D11" s="35" t="s">
        <v>266</v>
      </c>
      <c r="E11" s="10" t="s">
        <v>52</v>
      </c>
      <c r="F11" s="8">
        <v>-15.574434058650001</v>
      </c>
      <c r="K11" s="45"/>
      <c r="L11"/>
      <c r="M11"/>
    </row>
    <row r="12" spans="1:13" ht="14.5" x14ac:dyDescent="0.35">
      <c r="A12" s="36" t="s">
        <v>151</v>
      </c>
      <c r="B12" s="68" t="s">
        <v>32</v>
      </c>
      <c r="C12" s="6">
        <v>21.671996</v>
      </c>
      <c r="D12" s="36" t="s">
        <v>272</v>
      </c>
      <c r="E12" s="68" t="s">
        <v>91</v>
      </c>
      <c r="F12" s="6">
        <v>-10.128579</v>
      </c>
      <c r="K12" s="45"/>
      <c r="L12"/>
      <c r="M12"/>
    </row>
    <row r="13" spans="1:13" ht="14.5" x14ac:dyDescent="0.35">
      <c r="A13" s="35" t="s">
        <v>34</v>
      </c>
      <c r="B13" s="10" t="s">
        <v>30</v>
      </c>
      <c r="C13" s="8">
        <v>18.797609999999999</v>
      </c>
      <c r="D13" s="35" t="s">
        <v>65</v>
      </c>
      <c r="E13" s="10" t="s">
        <v>59</v>
      </c>
      <c r="F13" s="8">
        <v>-9.0107759999999999</v>
      </c>
      <c r="K13" s="45"/>
      <c r="L13"/>
      <c r="M13"/>
    </row>
    <row r="14" spans="1:13" ht="14.5" x14ac:dyDescent="0.35">
      <c r="A14" s="36" t="s">
        <v>86</v>
      </c>
      <c r="B14" s="68" t="s">
        <v>85</v>
      </c>
      <c r="C14" s="6">
        <v>17.224345</v>
      </c>
      <c r="D14" s="36" t="s">
        <v>36</v>
      </c>
      <c r="E14" s="68" t="s">
        <v>35</v>
      </c>
      <c r="F14" s="6">
        <v>-8.5371129999999997</v>
      </c>
      <c r="K14" s="45"/>
      <c r="L14"/>
      <c r="M14"/>
    </row>
    <row r="15" spans="1:13" ht="14.5" x14ac:dyDescent="0.35">
      <c r="A15" s="37" t="s">
        <v>39</v>
      </c>
      <c r="B15" s="33" t="s">
        <v>37</v>
      </c>
      <c r="C15" s="9">
        <v>13.548662</v>
      </c>
      <c r="D15" s="37" t="s">
        <v>273</v>
      </c>
      <c r="E15" s="33" t="s">
        <v>117</v>
      </c>
      <c r="F15" s="9">
        <v>-6.1838965000000004</v>
      </c>
      <c r="K15" s="45"/>
      <c r="L15"/>
      <c r="M15"/>
    </row>
    <row r="16" spans="1:13" ht="15.5" x14ac:dyDescent="0.35">
      <c r="A16" s="10"/>
      <c r="B16" s="10"/>
      <c r="C16" s="10"/>
      <c r="D16" s="31"/>
      <c r="E16" s="10"/>
      <c r="F16" s="10"/>
    </row>
    <row r="17" spans="1:13" x14ac:dyDescent="0.3">
      <c r="A17" s="10"/>
      <c r="B17" s="10"/>
      <c r="C17" s="10"/>
      <c r="D17" s="10"/>
      <c r="E17" s="10"/>
      <c r="F17" s="10"/>
    </row>
    <row r="18" spans="1:13" ht="28.5" customHeight="1" x14ac:dyDescent="0.3">
      <c r="A18" s="39" t="s">
        <v>3</v>
      </c>
      <c r="B18" s="3" t="s">
        <v>1</v>
      </c>
      <c r="C18" s="4" t="str">
        <f>C5</f>
        <v>Week of 27 May 2024</v>
      </c>
      <c r="D18" s="67" t="s">
        <v>4</v>
      </c>
      <c r="E18" s="65" t="s">
        <v>1</v>
      </c>
      <c r="F18" s="66" t="str">
        <f>+C18</f>
        <v>Week of 27 May 2024</v>
      </c>
    </row>
    <row r="19" spans="1:13" ht="14.5" x14ac:dyDescent="0.35">
      <c r="A19" s="62" t="s">
        <v>63</v>
      </c>
      <c r="B19" s="68" t="s">
        <v>54</v>
      </c>
      <c r="C19" s="6">
        <v>30.625578999999998</v>
      </c>
      <c r="D19" s="34" t="s">
        <v>61</v>
      </c>
      <c r="E19" s="68" t="s">
        <v>53</v>
      </c>
      <c r="F19" s="6">
        <v>-94.241446999999994</v>
      </c>
      <c r="I19" s="38"/>
      <c r="K19" s="45"/>
      <c r="L19"/>
      <c r="M19"/>
    </row>
    <row r="20" spans="1:13" ht="14.5" x14ac:dyDescent="0.35">
      <c r="A20" s="35" t="s">
        <v>50</v>
      </c>
      <c r="B20" s="10" t="s">
        <v>48</v>
      </c>
      <c r="C20" s="8">
        <v>15.617357</v>
      </c>
      <c r="D20" s="35" t="s">
        <v>34</v>
      </c>
      <c r="E20" s="10" t="s">
        <v>30</v>
      </c>
      <c r="F20" s="8">
        <v>-36.061354999999999</v>
      </c>
      <c r="I20" s="38"/>
      <c r="K20" s="45"/>
      <c r="L20"/>
      <c r="M20"/>
    </row>
    <row r="21" spans="1:13" ht="14.5" x14ac:dyDescent="0.35">
      <c r="A21" s="36" t="s">
        <v>44</v>
      </c>
      <c r="B21" s="68" t="s">
        <v>41</v>
      </c>
      <c r="C21" s="6">
        <v>14.261875</v>
      </c>
      <c r="D21" s="36" t="s">
        <v>28</v>
      </c>
      <c r="E21" s="68" t="s">
        <v>23</v>
      </c>
      <c r="F21" s="6">
        <v>-27.340350999999998</v>
      </c>
      <c r="I21" s="38"/>
      <c r="K21" s="45"/>
      <c r="L21"/>
      <c r="M21"/>
    </row>
    <row r="22" spans="1:13" ht="14.5" x14ac:dyDescent="0.35">
      <c r="A22" s="35" t="s">
        <v>40</v>
      </c>
      <c r="B22" s="10" t="s">
        <v>38</v>
      </c>
      <c r="C22" s="8">
        <v>12.072641000000001</v>
      </c>
      <c r="D22" s="35" t="s">
        <v>145</v>
      </c>
      <c r="E22" s="10" t="s">
        <v>265</v>
      </c>
      <c r="F22" s="8">
        <v>-23.19061</v>
      </c>
      <c r="I22" s="38"/>
      <c r="K22" s="45"/>
      <c r="L22"/>
      <c r="M22"/>
    </row>
    <row r="23" spans="1:13" ht="14.5" x14ac:dyDescent="0.35">
      <c r="A23" s="36" t="s">
        <v>272</v>
      </c>
      <c r="B23" s="68" t="s">
        <v>91</v>
      </c>
      <c r="C23" s="6">
        <v>11.474394</v>
      </c>
      <c r="D23" s="36" t="s">
        <v>29</v>
      </c>
      <c r="E23" s="68" t="s">
        <v>24</v>
      </c>
      <c r="F23" s="6">
        <v>-21.148869000000001</v>
      </c>
      <c r="I23" s="47"/>
      <c r="K23" s="45"/>
      <c r="L23"/>
      <c r="M23"/>
    </row>
    <row r="24" spans="1:13" ht="14.5" x14ac:dyDescent="0.35">
      <c r="A24" s="35" t="s">
        <v>251</v>
      </c>
      <c r="B24" s="10" t="s">
        <v>58</v>
      </c>
      <c r="C24" s="8">
        <v>10.919438</v>
      </c>
      <c r="D24" s="35" t="s">
        <v>26</v>
      </c>
      <c r="E24" s="10" t="s">
        <v>21</v>
      </c>
      <c r="F24" s="8">
        <v>-16.043502</v>
      </c>
      <c r="I24" s="38"/>
      <c r="K24" s="45"/>
      <c r="L24"/>
      <c r="M24"/>
    </row>
    <row r="25" spans="1:13" ht="14.5" x14ac:dyDescent="0.35">
      <c r="A25" s="36" t="s">
        <v>65</v>
      </c>
      <c r="B25" s="68" t="s">
        <v>59</v>
      </c>
      <c r="C25" s="6">
        <v>10.506729999999999</v>
      </c>
      <c r="D25" s="36" t="s">
        <v>27</v>
      </c>
      <c r="E25" s="68" t="s">
        <v>22</v>
      </c>
      <c r="F25" s="6">
        <v>-9.8111289999999993</v>
      </c>
      <c r="I25" s="38"/>
      <c r="K25" s="45"/>
      <c r="L25"/>
      <c r="M25"/>
    </row>
    <row r="26" spans="1:13" ht="14.5" x14ac:dyDescent="0.35">
      <c r="A26" s="35" t="s">
        <v>267</v>
      </c>
      <c r="B26" s="10" t="s">
        <v>109</v>
      </c>
      <c r="C26" s="8">
        <v>8.0389824999999995</v>
      </c>
      <c r="D26" s="35" t="s">
        <v>86</v>
      </c>
      <c r="E26" s="10" t="s">
        <v>85</v>
      </c>
      <c r="F26" s="8">
        <v>-4.8815920000000004</v>
      </c>
      <c r="I26" s="38"/>
      <c r="K26" s="45"/>
      <c r="L26"/>
      <c r="M26"/>
    </row>
    <row r="27" spans="1:13" ht="14.5" x14ac:dyDescent="0.35">
      <c r="A27" s="36" t="s">
        <v>33</v>
      </c>
      <c r="B27" s="68" t="s">
        <v>31</v>
      </c>
      <c r="C27" s="6">
        <v>7.518167</v>
      </c>
      <c r="D27" s="36" t="s">
        <v>49</v>
      </c>
      <c r="E27" s="68" t="s">
        <v>47</v>
      </c>
      <c r="F27" s="6">
        <v>-3.3591771000000001</v>
      </c>
      <c r="I27" s="38"/>
      <c r="K27" s="45"/>
      <c r="L27"/>
      <c r="M27"/>
    </row>
    <row r="28" spans="1:13" ht="14.5" x14ac:dyDescent="0.35">
      <c r="A28" s="37" t="s">
        <v>89</v>
      </c>
      <c r="B28" s="33" t="s">
        <v>25</v>
      </c>
      <c r="C28" s="9">
        <v>7.1894819999999999</v>
      </c>
      <c r="D28" s="37" t="s">
        <v>271</v>
      </c>
      <c r="E28" s="33" t="s">
        <v>96</v>
      </c>
      <c r="F28" s="9">
        <v>-2.521436</v>
      </c>
      <c r="I28" s="38"/>
      <c r="K28" s="45"/>
      <c r="L28"/>
      <c r="M28"/>
    </row>
    <row r="29" spans="1:13" x14ac:dyDescent="0.3">
      <c r="A29" s="10"/>
      <c r="B29" s="10"/>
      <c r="C29" s="10"/>
      <c r="D29" s="10"/>
      <c r="E29" s="10"/>
      <c r="F29" s="10"/>
    </row>
    <row r="30" spans="1:13" ht="14.5" x14ac:dyDescent="0.35">
      <c r="A30" s="11" t="s">
        <v>250</v>
      </c>
      <c r="B30" s="11"/>
      <c r="C30" s="10"/>
      <c r="D30" s="10"/>
      <c r="E30" s="10"/>
      <c r="F30" s="10"/>
    </row>
    <row r="31" spans="1:13" ht="14.5" x14ac:dyDescent="0.35">
      <c r="A31" s="11" t="s">
        <v>82</v>
      </c>
      <c r="B31" s="11"/>
      <c r="C31" s="10"/>
      <c r="D31" s="10"/>
      <c r="E31" s="10"/>
      <c r="F31" s="10"/>
    </row>
    <row r="32" spans="1:13" ht="14.5" x14ac:dyDescent="0.35">
      <c r="A32" s="11" t="s">
        <v>256</v>
      </c>
      <c r="B32" s="11"/>
      <c r="C32" s="10"/>
      <c r="D32" s="10"/>
      <c r="E32" s="10"/>
      <c r="F32" s="10"/>
    </row>
    <row r="33" spans="1:9" ht="14.5" x14ac:dyDescent="0.35">
      <c r="A33" s="11" t="s">
        <v>6</v>
      </c>
      <c r="B33" s="11"/>
      <c r="C33" s="10"/>
      <c r="D33" s="10"/>
      <c r="E33" s="10"/>
      <c r="F33" s="10"/>
    </row>
    <row r="34" spans="1:9" ht="14.5" x14ac:dyDescent="0.35">
      <c r="A34" s="11" t="s">
        <v>75</v>
      </c>
      <c r="B34" s="11"/>
      <c r="C34" s="10"/>
      <c r="D34" s="10"/>
      <c r="E34" s="10"/>
      <c r="F34" s="10"/>
      <c r="G34" s="72"/>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69</v>
      </c>
      <c r="B38" s="24"/>
      <c r="C38" s="25"/>
      <c r="D38" s="25"/>
      <c r="E38" s="24"/>
      <c r="F38" s="24"/>
      <c r="I38" s="38"/>
    </row>
    <row r="39" spans="1:9" s="30" customFormat="1" ht="19.399999999999999" customHeight="1" x14ac:dyDescent="0.35">
      <c r="A39" s="27" t="s">
        <v>70</v>
      </c>
      <c r="B39" s="28"/>
      <c r="C39" s="29"/>
      <c r="D39" s="29"/>
      <c r="E39" s="28"/>
      <c r="F39" s="28"/>
      <c r="I39" s="41"/>
    </row>
    <row r="40" spans="1:9" ht="169.4" customHeight="1" x14ac:dyDescent="0.3">
      <c r="A40" s="82" t="s">
        <v>257</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9 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60" customHeight="1" x14ac:dyDescent="0.3">
      <c r="A2" s="84"/>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x14ac:dyDescent="0.3">
      <c r="A3" s="46">
        <f>SUM(C3:N3)</f>
        <v>124.70649665725998</v>
      </c>
      <c r="B3" s="12">
        <v>45418</v>
      </c>
      <c r="C3" s="76">
        <v>-17.911718757929993</v>
      </c>
      <c r="D3" s="76">
        <v>-15.4012514303</v>
      </c>
      <c r="E3" s="76">
        <v>-0.40725060000000013</v>
      </c>
      <c r="F3" s="76">
        <v>128.7305897</v>
      </c>
      <c r="G3" s="76">
        <v>2.7845384587000002</v>
      </c>
      <c r="H3" s="76">
        <v>-10.609760772119991</v>
      </c>
      <c r="I3" s="76">
        <v>-6.0727683000000017</v>
      </c>
      <c r="J3" s="76">
        <v>2.9949091475999996</v>
      </c>
      <c r="K3" s="76">
        <v>33.551183911309991</v>
      </c>
      <c r="L3" s="76">
        <v>-2.9943274999999994</v>
      </c>
      <c r="M3" s="76">
        <v>6.2730607999999997</v>
      </c>
      <c r="N3" s="76">
        <v>3.7692920000000001</v>
      </c>
    </row>
    <row r="4" spans="1:15" x14ac:dyDescent="0.3">
      <c r="A4" s="46">
        <f t="shared" ref="A4:A6" si="0">SUM(C4:N4)</f>
        <v>-106.58834516336997</v>
      </c>
      <c r="B4" s="77">
        <v>45425</v>
      </c>
      <c r="C4" s="15">
        <v>-20.940494964500001</v>
      </c>
      <c r="D4" s="15">
        <v>-15.548860985599999</v>
      </c>
      <c r="E4" s="15">
        <v>-1.3942749000000001</v>
      </c>
      <c r="F4" s="15">
        <v>29.255693200000007</v>
      </c>
      <c r="G4" s="15">
        <v>4.3151437214000001</v>
      </c>
      <c r="H4" s="15">
        <v>-26.967878252479991</v>
      </c>
      <c r="I4" s="15">
        <v>-0.54562960000000005</v>
      </c>
      <c r="J4" s="15">
        <v>-5.3899594733999985</v>
      </c>
      <c r="K4" s="15">
        <v>-33.791815808789998</v>
      </c>
      <c r="L4" s="15">
        <v>-25.479082399999999</v>
      </c>
      <c r="M4" s="15">
        <v>-6.007526099999998</v>
      </c>
      <c r="N4" s="15">
        <v>-4.0936595999999996</v>
      </c>
    </row>
    <row r="5" spans="1:15" x14ac:dyDescent="0.3">
      <c r="A5" s="46">
        <f t="shared" si="0"/>
        <v>90.950839829749981</v>
      </c>
      <c r="B5" s="12">
        <v>45432</v>
      </c>
      <c r="C5" s="76">
        <v>-3.3811991785999993</v>
      </c>
      <c r="D5" s="76">
        <v>-7.746848288499999</v>
      </c>
      <c r="E5" s="76">
        <v>2.6645278999999995</v>
      </c>
      <c r="F5" s="76">
        <v>130.3242765</v>
      </c>
      <c r="G5" s="76">
        <v>-1.7509683724</v>
      </c>
      <c r="H5" s="76">
        <v>-8.9666438385299969</v>
      </c>
      <c r="I5" s="76">
        <v>-1.2840878999999998</v>
      </c>
      <c r="J5" s="76">
        <v>7.2235349025999991</v>
      </c>
      <c r="K5" s="76">
        <v>1.8357673051799963</v>
      </c>
      <c r="L5" s="76">
        <v>-1.1199564999999998</v>
      </c>
      <c r="M5" s="76">
        <v>-14.6817098</v>
      </c>
      <c r="N5" s="76">
        <v>-12.165852900000001</v>
      </c>
    </row>
    <row r="6" spans="1:15" x14ac:dyDescent="0.3">
      <c r="A6" s="46">
        <f t="shared" si="0"/>
        <v>-59.269809679790079</v>
      </c>
      <c r="B6" s="77">
        <v>45439</v>
      </c>
      <c r="C6" s="15">
        <v>-55.218660307199976</v>
      </c>
      <c r="D6" s="15">
        <v>-2.3118358691000007</v>
      </c>
      <c r="E6" s="15">
        <v>1.1539393999999992</v>
      </c>
      <c r="F6" s="15">
        <v>245.08139429999994</v>
      </c>
      <c r="G6" s="15">
        <v>3.2490208500000242E-2</v>
      </c>
      <c r="H6" s="15">
        <v>37.845274606839986</v>
      </c>
      <c r="I6" s="15">
        <v>-2.9404397000000002</v>
      </c>
      <c r="J6" s="15">
        <v>-138.50282655080005</v>
      </c>
      <c r="K6" s="15">
        <v>-169.14480146802993</v>
      </c>
      <c r="L6" s="15">
        <v>-18.191488700000001</v>
      </c>
      <c r="M6" s="15">
        <v>31.774944399999988</v>
      </c>
      <c r="N6" s="15">
        <v>11.152200000000001</v>
      </c>
    </row>
    <row r="7" spans="1:15" ht="14.5" x14ac:dyDescent="0.35">
      <c r="A7" s="74"/>
      <c r="B7" s="61"/>
      <c r="C7" s="78"/>
      <c r="D7" s="78"/>
      <c r="E7" s="78"/>
      <c r="F7" s="78"/>
      <c r="G7" s="78"/>
      <c r="H7" s="78"/>
      <c r="I7" s="78"/>
      <c r="J7" s="78"/>
      <c r="K7" s="78"/>
      <c r="L7" s="78"/>
      <c r="M7" s="78"/>
      <c r="N7" s="78"/>
    </row>
    <row r="8" spans="1:15" ht="14.5" x14ac:dyDescent="0.35">
      <c r="B8" s="11" t="s">
        <v>5</v>
      </c>
      <c r="C8" s="11"/>
      <c r="D8" s="11"/>
    </row>
    <row r="9" spans="1:15" ht="14.5" x14ac:dyDescent="0.35">
      <c r="B9" s="11" t="s">
        <v>82</v>
      </c>
      <c r="C9" s="11"/>
      <c r="D9" s="11"/>
    </row>
    <row r="10" spans="1:15" ht="14.5" x14ac:dyDescent="0.35">
      <c r="B10" s="11" t="s">
        <v>6</v>
      </c>
      <c r="C10" s="11"/>
      <c r="D10" s="11"/>
    </row>
    <row r="11" spans="1:15" ht="14.5" x14ac:dyDescent="0.35">
      <c r="B11" s="11" t="s">
        <v>75</v>
      </c>
      <c r="C11" s="12"/>
      <c r="D11" s="12"/>
    </row>
    <row r="12" spans="1:15" ht="14.5" x14ac:dyDescent="0.35">
      <c r="B12"/>
    </row>
    <row r="13" spans="1:15" ht="14.5" x14ac:dyDescent="0.35">
      <c r="C13" s="73"/>
      <c r="D13" s="73"/>
      <c r="E13" s="73"/>
      <c r="F13" s="73"/>
      <c r="G13" s="73"/>
      <c r="H13" s="73"/>
      <c r="I13" s="73"/>
      <c r="J13" s="73"/>
      <c r="K13" s="73"/>
      <c r="L13" s="73"/>
      <c r="M13" s="73"/>
      <c r="N13" s="73"/>
    </row>
    <row r="14" spans="1:15" ht="14.5" x14ac:dyDescent="0.35">
      <c r="B14" s="52"/>
      <c r="C14" s="52"/>
      <c r="D14" s="52"/>
      <c r="E14" s="52"/>
      <c r="F14" s="52"/>
      <c r="G14" s="52"/>
      <c r="H14" s="52"/>
      <c r="I14" s="52"/>
      <c r="J14" s="52"/>
      <c r="K14" s="52"/>
      <c r="L14" s="52"/>
      <c r="M14" s="52"/>
      <c r="N14"/>
      <c r="O14" s="44"/>
    </row>
    <row r="15" spans="1:15" ht="14.5" x14ac:dyDescent="0.35">
      <c r="C15" s="52"/>
      <c r="D15" s="52"/>
      <c r="E15" s="52"/>
      <c r="F15" s="52"/>
      <c r="G15" s="52"/>
      <c r="H15" s="52"/>
      <c r="I15" s="52"/>
      <c r="J15" s="52"/>
      <c r="K15" s="52"/>
      <c r="L15" s="52"/>
      <c r="M15" s="52"/>
      <c r="N15" s="52"/>
      <c r="O15" s="52"/>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x14ac:dyDescent="0.3">
      <c r="A3" s="70">
        <f t="shared" ref="A3:A5" si="0">SUM(C3:N3)</f>
        <v>63.31067978027</v>
      </c>
      <c r="B3" s="55">
        <v>45418</v>
      </c>
      <c r="C3" s="54">
        <v>15.372235274060007</v>
      </c>
      <c r="D3" s="54">
        <v>16.382064420900004</v>
      </c>
      <c r="E3" s="54">
        <v>1.5295723000000001</v>
      </c>
      <c r="F3" s="54">
        <v>1.4069826000000003</v>
      </c>
      <c r="G3" s="54">
        <v>-5.0418600209000006</v>
      </c>
      <c r="H3" s="54">
        <v>31.741800637429993</v>
      </c>
      <c r="I3" s="54">
        <v>5.6613613999999997</v>
      </c>
      <c r="J3" s="54">
        <v>-1.6617374810999992</v>
      </c>
      <c r="K3" s="54">
        <v>-4.2441917501199988</v>
      </c>
      <c r="L3" s="54">
        <v>7.020941399999999</v>
      </c>
      <c r="M3" s="54">
        <v>-4.7274271000000008</v>
      </c>
      <c r="N3" s="54">
        <v>-0.12906190000000001</v>
      </c>
      <c r="P3" s="14"/>
    </row>
    <row r="4" spans="1:18" x14ac:dyDescent="0.3">
      <c r="A4" s="70">
        <f t="shared" si="0"/>
        <v>-22.079065220779945</v>
      </c>
      <c r="B4" s="69">
        <v>45425</v>
      </c>
      <c r="C4" s="60">
        <v>0.45044828552000216</v>
      </c>
      <c r="D4" s="60">
        <v>8.2820858774000001</v>
      </c>
      <c r="E4" s="60">
        <v>2.2149374999999996</v>
      </c>
      <c r="F4" s="60">
        <v>-96.736715699999991</v>
      </c>
      <c r="G4" s="60">
        <v>-6.0726962048000006</v>
      </c>
      <c r="H4" s="60">
        <v>54.770784977080041</v>
      </c>
      <c r="I4" s="60">
        <v>1.9033915999999995</v>
      </c>
      <c r="J4" s="60">
        <v>6.8271315668000021</v>
      </c>
      <c r="K4" s="60">
        <v>-8.4749953227799999</v>
      </c>
      <c r="L4" s="60">
        <v>32.082610799999991</v>
      </c>
      <c r="M4" s="60">
        <v>-17.877677299999998</v>
      </c>
      <c r="N4" s="60">
        <v>0.55162870000000008</v>
      </c>
      <c r="P4" s="14"/>
    </row>
    <row r="5" spans="1:18" x14ac:dyDescent="0.3">
      <c r="A5" s="70">
        <f t="shared" si="0"/>
        <v>-31.788735860900001</v>
      </c>
      <c r="B5" s="71">
        <v>45432</v>
      </c>
      <c r="C5" s="54">
        <v>4.7952799309500014</v>
      </c>
      <c r="D5" s="54">
        <v>13.2529792751</v>
      </c>
      <c r="E5" s="54">
        <v>-3.6951339000000005</v>
      </c>
      <c r="F5" s="54">
        <v>-104.87388050000001</v>
      </c>
      <c r="G5" s="54">
        <v>2.5919452950000004</v>
      </c>
      <c r="H5" s="54">
        <v>13.978187998510004</v>
      </c>
      <c r="I5" s="54">
        <v>1.7456267000000001</v>
      </c>
      <c r="J5" s="54">
        <v>4.7347579693999995</v>
      </c>
      <c r="K5" s="54">
        <v>12.029793170140001</v>
      </c>
      <c r="L5" s="54">
        <v>-2.6889438999999991</v>
      </c>
      <c r="M5" s="54">
        <v>9.9018136999999999</v>
      </c>
      <c r="N5" s="54">
        <v>16.438838399999998</v>
      </c>
      <c r="P5" s="14"/>
    </row>
    <row r="6" spans="1:18" x14ac:dyDescent="0.3">
      <c r="A6" s="70">
        <f t="shared" ref="A6" si="1">SUM(C6:N6)</f>
        <v>-71.890234943379923</v>
      </c>
      <c r="B6" s="69">
        <v>45439</v>
      </c>
      <c r="C6" s="60">
        <v>20.009574702980018</v>
      </c>
      <c r="D6" s="60">
        <v>24.899001416899996</v>
      </c>
      <c r="E6" s="60">
        <v>-3.1446797000000002</v>
      </c>
      <c r="F6" s="60">
        <v>-80.149201699999992</v>
      </c>
      <c r="G6" s="60">
        <v>2.5115267703000002</v>
      </c>
      <c r="H6" s="60">
        <v>-149.73478923023995</v>
      </c>
      <c r="I6" s="60">
        <v>0.7330973999999999</v>
      </c>
      <c r="J6" s="60">
        <v>39.770185179500004</v>
      </c>
      <c r="K6" s="60">
        <v>53.746167617180021</v>
      </c>
      <c r="L6" s="60">
        <v>22.198093699999994</v>
      </c>
      <c r="M6" s="60">
        <v>-1.1261781000000002</v>
      </c>
      <c r="N6" s="60">
        <v>-1.6030329999999999</v>
      </c>
      <c r="P6" s="14"/>
    </row>
    <row r="7" spans="1:18" ht="14.5" x14ac:dyDescent="0.35">
      <c r="A7" s="74"/>
      <c r="B7" s="55"/>
      <c r="C7" s="78"/>
      <c r="D7" s="78"/>
      <c r="E7" s="78"/>
      <c r="F7" s="78"/>
      <c r="G7" s="78"/>
      <c r="H7" s="78"/>
      <c r="I7" s="78"/>
      <c r="J7" s="78"/>
      <c r="K7" s="78"/>
      <c r="L7" s="78"/>
      <c r="M7" s="78"/>
      <c r="N7" s="78"/>
      <c r="P7" s="14"/>
    </row>
    <row r="8" spans="1:18" ht="14.5" x14ac:dyDescent="0.35">
      <c r="B8" s="11" t="s">
        <v>5</v>
      </c>
      <c r="C8" s="11"/>
      <c r="D8" s="11"/>
    </row>
    <row r="9" spans="1:18" ht="14.5" x14ac:dyDescent="0.35">
      <c r="B9" s="11" t="s">
        <v>84</v>
      </c>
      <c r="C9" s="11"/>
      <c r="D9" s="11"/>
    </row>
    <row r="10" spans="1:18" ht="14.5" x14ac:dyDescent="0.35">
      <c r="B10" s="11" t="s">
        <v>6</v>
      </c>
      <c r="C10" s="11"/>
      <c r="D10" s="11"/>
    </row>
    <row r="11" spans="1:18" ht="14.5" x14ac:dyDescent="0.35">
      <c r="B11" s="11" t="s">
        <v>75</v>
      </c>
      <c r="C11" s="12"/>
      <c r="D11" s="12"/>
    </row>
    <row r="12" spans="1:18" ht="14.5" x14ac:dyDescent="0.35">
      <c r="C12" s="52"/>
      <c r="D12" s="52"/>
      <c r="E12" s="52"/>
      <c r="F12" s="52"/>
      <c r="G12" s="52"/>
      <c r="H12" s="52"/>
      <c r="I12" s="52"/>
      <c r="J12" s="52"/>
      <c r="K12" s="52"/>
      <c r="L12" s="52"/>
      <c r="M12" s="52"/>
      <c r="N12" s="52"/>
    </row>
    <row r="13" spans="1:18" ht="14.5" x14ac:dyDescent="0.35">
      <c r="B13"/>
      <c r="C13" s="52"/>
      <c r="D13" s="52"/>
      <c r="E13" s="52"/>
      <c r="F13" s="52"/>
      <c r="G13" s="52"/>
      <c r="H13" s="52"/>
      <c r="I13" s="52"/>
      <c r="J13" s="52"/>
      <c r="K13" s="52"/>
      <c r="L13" s="52"/>
      <c r="M13" s="52"/>
      <c r="N13" s="52"/>
      <c r="O13" s="44"/>
      <c r="P13"/>
      <c r="Q13"/>
      <c r="R13"/>
    </row>
    <row r="14" spans="1:18" ht="14.5" x14ac:dyDescent="0.35">
      <c r="B14"/>
      <c r="C14"/>
      <c r="D14"/>
      <c r="E14"/>
      <c r="F14"/>
      <c r="G14"/>
      <c r="H14"/>
      <c r="I14"/>
      <c r="J14"/>
      <c r="K14"/>
      <c r="L14"/>
      <c r="M14"/>
      <c r="N14"/>
      <c r="O14"/>
      <c r="P14"/>
      <c r="Q14"/>
      <c r="R14"/>
    </row>
    <row r="15" spans="1:18" ht="14.5" x14ac:dyDescent="0.35">
      <c r="C15" s="52"/>
      <c r="D15" s="52"/>
      <c r="E15" s="52"/>
      <c r="F15" s="52"/>
      <c r="G15" s="52"/>
      <c r="H15" s="52"/>
      <c r="I15" s="52"/>
      <c r="J15" s="52"/>
      <c r="K15" s="52"/>
      <c r="L15" s="52"/>
      <c r="M15" s="52"/>
      <c r="N15" s="52"/>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5" ht="56" x14ac:dyDescent="0.35">
      <c r="A1" s="32" t="str">
        <f>CONCATENATE("STI Constituents - ",'Weekly Top 10'!$C$5)</f>
        <v>STI Constituents - Week of 27 May 2024</v>
      </c>
      <c r="B1" s="16" t="s">
        <v>1</v>
      </c>
      <c r="C1" s="17" t="s">
        <v>73</v>
      </c>
      <c r="D1" s="17" t="s">
        <v>74</v>
      </c>
    </row>
    <row r="2" spans="1:5" x14ac:dyDescent="0.35">
      <c r="A2" s="18" t="s">
        <v>89</v>
      </c>
      <c r="B2" s="19" t="s">
        <v>25</v>
      </c>
      <c r="C2" s="20">
        <v>4.0408920000000004</v>
      </c>
      <c r="D2" s="20">
        <v>7.1894819999999999</v>
      </c>
      <c r="E2" s="38"/>
    </row>
    <row r="3" spans="1:5" x14ac:dyDescent="0.35">
      <c r="A3" s="21" t="s">
        <v>79</v>
      </c>
      <c r="B3" s="22" t="s">
        <v>56</v>
      </c>
      <c r="C3" s="8">
        <v>2.1003919999999998</v>
      </c>
      <c r="D3" s="8">
        <v>3.8201350000000001</v>
      </c>
      <c r="E3" s="38"/>
    </row>
    <row r="4" spans="1:5" x14ac:dyDescent="0.35">
      <c r="A4" s="5" t="s">
        <v>86</v>
      </c>
      <c r="B4" s="7" t="s">
        <v>85</v>
      </c>
      <c r="C4" s="6">
        <v>17.224345</v>
      </c>
      <c r="D4" s="6">
        <v>-4.8815920000000004</v>
      </c>
      <c r="E4" s="38"/>
    </row>
    <row r="5" spans="1:5" x14ac:dyDescent="0.35">
      <c r="A5" s="21" t="s">
        <v>63</v>
      </c>
      <c r="B5" s="22" t="s">
        <v>54</v>
      </c>
      <c r="C5" s="8">
        <v>-138.30100400000001</v>
      </c>
      <c r="D5" s="8">
        <v>30.625578999999998</v>
      </c>
      <c r="E5" s="38"/>
    </row>
    <row r="6" spans="1:5" x14ac:dyDescent="0.35">
      <c r="A6" s="5" t="s">
        <v>26</v>
      </c>
      <c r="B6" s="7" t="s">
        <v>21</v>
      </c>
      <c r="C6" s="6">
        <v>74.025227000000001</v>
      </c>
      <c r="D6" s="6">
        <v>-16.043502</v>
      </c>
      <c r="E6" s="38"/>
    </row>
    <row r="7" spans="1:5" x14ac:dyDescent="0.35">
      <c r="A7" s="21" t="s">
        <v>87</v>
      </c>
      <c r="B7" s="22" t="s">
        <v>57</v>
      </c>
      <c r="C7" s="8">
        <v>-0.79786206909999946</v>
      </c>
      <c r="D7" s="8">
        <v>0.39814421690000018</v>
      </c>
      <c r="E7" s="38"/>
    </row>
    <row r="8" spans="1:5" x14ac:dyDescent="0.35">
      <c r="A8" s="5" t="s">
        <v>258</v>
      </c>
      <c r="B8" s="7" t="s">
        <v>110</v>
      </c>
      <c r="C8" s="6">
        <v>7.342625</v>
      </c>
      <c r="D8" s="6">
        <v>-2.0072E-2</v>
      </c>
      <c r="E8" s="38"/>
    </row>
    <row r="9" spans="1:5" x14ac:dyDescent="0.35">
      <c r="A9" s="21" t="s">
        <v>81</v>
      </c>
      <c r="B9" s="22" t="s">
        <v>80</v>
      </c>
      <c r="C9" s="8">
        <v>-0.17655699999999999</v>
      </c>
      <c r="D9" s="8">
        <v>2.1330930000000001</v>
      </c>
      <c r="E9" s="38"/>
    </row>
    <row r="10" spans="1:5" x14ac:dyDescent="0.35">
      <c r="A10" s="5" t="s">
        <v>36</v>
      </c>
      <c r="B10" s="7" t="s">
        <v>35</v>
      </c>
      <c r="C10" s="6">
        <v>-8.5371129999999997</v>
      </c>
      <c r="D10" s="6">
        <v>4.4863710000000001</v>
      </c>
      <c r="E10" s="38"/>
    </row>
    <row r="11" spans="1:5" x14ac:dyDescent="0.35">
      <c r="A11" s="21" t="s">
        <v>64</v>
      </c>
      <c r="B11" s="22" t="s">
        <v>55</v>
      </c>
      <c r="C11" s="8">
        <v>8.0201027491999994</v>
      </c>
      <c r="D11" s="8">
        <v>-0.94763512049999987</v>
      </c>
      <c r="E11" s="38"/>
    </row>
    <row r="12" spans="1:5" x14ac:dyDescent="0.35">
      <c r="A12" s="5" t="s">
        <v>50</v>
      </c>
      <c r="B12" s="7" t="s">
        <v>48</v>
      </c>
      <c r="C12" s="6">
        <v>-47.310084000000003</v>
      </c>
      <c r="D12" s="6">
        <v>15.617357</v>
      </c>
      <c r="E12" s="38"/>
    </row>
    <row r="13" spans="1:5" x14ac:dyDescent="0.35">
      <c r="A13" s="21" t="s">
        <v>62</v>
      </c>
      <c r="B13" s="22" t="s">
        <v>52</v>
      </c>
      <c r="C13" s="8">
        <v>-15.574434058650001</v>
      </c>
      <c r="D13" s="8">
        <v>3.3492241960000002</v>
      </c>
      <c r="E13" s="38"/>
    </row>
    <row r="14" spans="1:5" x14ac:dyDescent="0.35">
      <c r="A14" s="5" t="s">
        <v>151</v>
      </c>
      <c r="B14" s="7" t="s">
        <v>32</v>
      </c>
      <c r="C14" s="6">
        <v>21.671996</v>
      </c>
      <c r="D14" s="6">
        <v>2.0572699999999999</v>
      </c>
      <c r="E14" s="38"/>
    </row>
    <row r="15" spans="1:5" x14ac:dyDescent="0.35">
      <c r="A15" s="21" t="s">
        <v>77</v>
      </c>
      <c r="B15" s="22" t="s">
        <v>76</v>
      </c>
      <c r="C15" s="8">
        <v>-2.9946320000000002</v>
      </c>
      <c r="D15" s="8">
        <v>4.409942</v>
      </c>
      <c r="E15" s="38"/>
    </row>
    <row r="16" spans="1:5" x14ac:dyDescent="0.35">
      <c r="A16" s="5" t="s">
        <v>40</v>
      </c>
      <c r="B16" s="7" t="s">
        <v>38</v>
      </c>
      <c r="C16" s="6">
        <v>-87.151285999999999</v>
      </c>
      <c r="D16" s="6">
        <v>12.072641000000001</v>
      </c>
      <c r="E16" s="38"/>
    </row>
    <row r="17" spans="1:5" x14ac:dyDescent="0.35">
      <c r="A17" s="21" t="s">
        <v>251</v>
      </c>
      <c r="B17" s="22" t="s">
        <v>58</v>
      </c>
      <c r="C17" s="8">
        <v>-88.512315999999998</v>
      </c>
      <c r="D17" s="8">
        <v>10.919438</v>
      </c>
      <c r="E17" s="38"/>
    </row>
    <row r="18" spans="1:5" x14ac:dyDescent="0.35">
      <c r="A18" s="5" t="s">
        <v>27</v>
      </c>
      <c r="B18" s="7" t="s">
        <v>22</v>
      </c>
      <c r="C18" s="6">
        <v>47.428277000000001</v>
      </c>
      <c r="D18" s="6">
        <v>-9.8111289999999993</v>
      </c>
      <c r="E18" s="38"/>
    </row>
    <row r="19" spans="1:5" x14ac:dyDescent="0.35">
      <c r="A19" s="21" t="s">
        <v>34</v>
      </c>
      <c r="B19" s="22" t="s">
        <v>30</v>
      </c>
      <c r="C19" s="8">
        <v>18.797609999999999</v>
      </c>
      <c r="D19" s="8">
        <v>-36.061354999999999</v>
      </c>
      <c r="E19" s="38"/>
    </row>
    <row r="20" spans="1:5" x14ac:dyDescent="0.35">
      <c r="A20" s="5" t="s">
        <v>145</v>
      </c>
      <c r="B20" s="7" t="s">
        <v>265</v>
      </c>
      <c r="C20" s="6">
        <v>-82.592198999999994</v>
      </c>
      <c r="D20" s="6">
        <v>-23.19061</v>
      </c>
      <c r="E20" s="38"/>
    </row>
    <row r="21" spans="1:5" x14ac:dyDescent="0.35">
      <c r="A21" s="21" t="s">
        <v>45</v>
      </c>
      <c r="B21" s="22" t="s">
        <v>42</v>
      </c>
      <c r="C21" s="8">
        <v>11.15901</v>
      </c>
      <c r="D21" s="8">
        <v>-1.6188769999999999</v>
      </c>
      <c r="E21" s="38"/>
    </row>
    <row r="22" spans="1:5" x14ac:dyDescent="0.35">
      <c r="A22" s="5" t="s">
        <v>33</v>
      </c>
      <c r="B22" s="7" t="s">
        <v>31</v>
      </c>
      <c r="C22" s="6">
        <v>6.0935750000000004</v>
      </c>
      <c r="D22" s="6">
        <v>7.518167</v>
      </c>
      <c r="E22" s="38"/>
    </row>
    <row r="23" spans="1:5" x14ac:dyDescent="0.35">
      <c r="A23" s="21" t="s">
        <v>29</v>
      </c>
      <c r="B23" s="22" t="s">
        <v>24</v>
      </c>
      <c r="C23" s="8">
        <v>28.619126999999999</v>
      </c>
      <c r="D23" s="8">
        <v>-21.148869000000001</v>
      </c>
      <c r="E23" s="38"/>
    </row>
    <row r="24" spans="1:5" x14ac:dyDescent="0.35">
      <c r="A24" s="5" t="s">
        <v>39</v>
      </c>
      <c r="B24" s="7" t="s">
        <v>37</v>
      </c>
      <c r="C24" s="6">
        <v>13.548662</v>
      </c>
      <c r="D24" s="6">
        <v>-1.532044</v>
      </c>
      <c r="E24" s="38"/>
    </row>
    <row r="25" spans="1:5" x14ac:dyDescent="0.35">
      <c r="A25" s="21" t="s">
        <v>49</v>
      </c>
      <c r="B25" s="22" t="s">
        <v>47</v>
      </c>
      <c r="C25" s="8">
        <v>37.665099299999987</v>
      </c>
      <c r="D25" s="8">
        <v>-3.3591771000000001</v>
      </c>
      <c r="E25" s="38"/>
    </row>
    <row r="26" spans="1:5" x14ac:dyDescent="0.35">
      <c r="A26" s="5" t="s">
        <v>60</v>
      </c>
      <c r="B26" s="7" t="s">
        <v>51</v>
      </c>
      <c r="C26" s="6">
        <v>3.7822974999999999</v>
      </c>
      <c r="D26" s="6">
        <v>0.83904299999999998</v>
      </c>
      <c r="E26" s="38"/>
    </row>
    <row r="27" spans="1:5" x14ac:dyDescent="0.35">
      <c r="A27" s="21" t="s">
        <v>28</v>
      </c>
      <c r="B27" s="22" t="s">
        <v>23</v>
      </c>
      <c r="C27" s="8">
        <v>77.730508999999998</v>
      </c>
      <c r="D27" s="8">
        <v>-27.340350999999998</v>
      </c>
      <c r="E27" s="38"/>
    </row>
    <row r="28" spans="1:5" x14ac:dyDescent="0.35">
      <c r="A28" s="5" t="s">
        <v>65</v>
      </c>
      <c r="B28" s="7" t="s">
        <v>59</v>
      </c>
      <c r="C28" s="6">
        <v>-9.0107759999999999</v>
      </c>
      <c r="D28" s="6">
        <v>10.506729999999999</v>
      </c>
      <c r="E28" s="38"/>
    </row>
    <row r="29" spans="1:5" x14ac:dyDescent="0.35">
      <c r="A29" s="21" t="s">
        <v>46</v>
      </c>
      <c r="B29" s="22" t="s">
        <v>43</v>
      </c>
      <c r="C29" s="8">
        <v>-2.3492570000000002</v>
      </c>
      <c r="D29" s="8">
        <v>-0.478126</v>
      </c>
      <c r="E29" s="38"/>
    </row>
    <row r="30" spans="1:5" x14ac:dyDescent="0.35">
      <c r="A30" s="5" t="s">
        <v>44</v>
      </c>
      <c r="B30" s="7" t="s">
        <v>41</v>
      </c>
      <c r="C30" s="6">
        <v>2.0711080000000002</v>
      </c>
      <c r="D30" s="6">
        <v>14.261875</v>
      </c>
      <c r="E30" s="38"/>
    </row>
    <row r="31" spans="1:5" ht="15" thickBot="1" x14ac:dyDescent="0.4">
      <c r="A31" s="21" t="s">
        <v>61</v>
      </c>
      <c r="B31" s="22" t="s">
        <v>53</v>
      </c>
      <c r="C31" s="8">
        <v>69.588049999999996</v>
      </c>
      <c r="D31" s="8">
        <v>-94.241446999999994</v>
      </c>
      <c r="E31" s="38"/>
    </row>
    <row r="32" spans="1:5" ht="21" customHeight="1" thickBot="1" x14ac:dyDescent="0.4">
      <c r="A32" s="88" t="s">
        <v>66</v>
      </c>
      <c r="B32" s="89"/>
      <c r="C32" s="63">
        <f>SUM(C2:C31)</f>
        <v>-32.398615578550022</v>
      </c>
      <c r="D32" s="64">
        <f>SUM(D2:D31)</f>
        <v>-110.4702948076</v>
      </c>
    </row>
    <row r="34" spans="1:5" x14ac:dyDescent="0.35">
      <c r="A34" s="11" t="s">
        <v>67</v>
      </c>
      <c r="B34" s="51"/>
      <c r="C34" s="51"/>
      <c r="D34" s="51"/>
      <c r="E34" s="51"/>
    </row>
    <row r="35" spans="1:5" x14ac:dyDescent="0.35">
      <c r="A35" s="11" t="s">
        <v>82</v>
      </c>
    </row>
    <row r="36" spans="1:5" x14ac:dyDescent="0.35">
      <c r="A36" s="11" t="s">
        <v>83</v>
      </c>
    </row>
    <row r="37" spans="1:5" x14ac:dyDescent="0.35">
      <c r="A37" s="11" t="s">
        <v>75</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s>
  <sheetData>
    <row r="1" spans="1:11" ht="42" x14ac:dyDescent="0.35">
      <c r="A1" s="32" t="str">
        <f>CONCATENATE("100 Most Traded Stocks YTD - ",'Weekly Top 10'!$C$5)</f>
        <v>100 Most Traded Stocks YTD - Week of 27 May 2024</v>
      </c>
      <c r="B1" s="16" t="s">
        <v>1</v>
      </c>
      <c r="C1" s="50" t="s">
        <v>100</v>
      </c>
      <c r="D1" s="17" t="s">
        <v>99</v>
      </c>
      <c r="E1" s="17" t="s">
        <v>101</v>
      </c>
      <c r="F1" s="17" t="s">
        <v>102</v>
      </c>
    </row>
    <row r="2" spans="1:11" x14ac:dyDescent="0.35">
      <c r="A2" s="18" t="s">
        <v>26</v>
      </c>
      <c r="B2" s="19" t="s">
        <v>21</v>
      </c>
      <c r="C2" s="57">
        <v>143.78028319844231</v>
      </c>
      <c r="D2" s="57">
        <v>127.2223845</v>
      </c>
      <c r="E2" s="57">
        <v>74.025227000000001</v>
      </c>
      <c r="F2" s="20" t="s">
        <v>13</v>
      </c>
      <c r="G2" s="56"/>
      <c r="H2" s="56"/>
      <c r="I2" s="56"/>
    </row>
    <row r="3" spans="1:11" x14ac:dyDescent="0.35">
      <c r="A3" s="21" t="s">
        <v>276</v>
      </c>
      <c r="B3" s="22" t="s">
        <v>265</v>
      </c>
      <c r="C3" s="58">
        <v>90.193742443333335</v>
      </c>
      <c r="D3" s="58">
        <v>-225.48783</v>
      </c>
      <c r="E3" s="58">
        <v>-82.592198999999994</v>
      </c>
      <c r="F3" s="8" t="s">
        <v>14</v>
      </c>
      <c r="G3" s="56"/>
      <c r="H3" s="56"/>
      <c r="I3" s="56"/>
    </row>
    <row r="4" spans="1:11" x14ac:dyDescent="0.35">
      <c r="A4" s="5" t="s">
        <v>28</v>
      </c>
      <c r="B4" s="7" t="s">
        <v>23</v>
      </c>
      <c r="C4" s="59">
        <v>86.768093141586547</v>
      </c>
      <c r="D4" s="59">
        <v>329.53500400000001</v>
      </c>
      <c r="E4" s="59">
        <v>77.730508999999998</v>
      </c>
      <c r="F4" s="6" t="s">
        <v>13</v>
      </c>
      <c r="G4" s="56"/>
      <c r="H4" s="56"/>
      <c r="I4" s="56"/>
    </row>
    <row r="5" spans="1:11" x14ac:dyDescent="0.35">
      <c r="A5" s="21" t="s">
        <v>166</v>
      </c>
      <c r="B5" s="22" t="s">
        <v>22</v>
      </c>
      <c r="C5" s="58">
        <v>73.609376035644232</v>
      </c>
      <c r="D5" s="58">
        <v>271.3239906</v>
      </c>
      <c r="E5" s="58">
        <v>47.428277000000001</v>
      </c>
      <c r="F5" s="8" t="s">
        <v>13</v>
      </c>
      <c r="G5" s="56"/>
      <c r="H5" s="56"/>
      <c r="I5" s="56"/>
    </row>
    <row r="6" spans="1:11" x14ac:dyDescent="0.35">
      <c r="A6" s="5" t="s">
        <v>49</v>
      </c>
      <c r="B6" s="7" t="s">
        <v>47</v>
      </c>
      <c r="C6" s="59">
        <v>72.444573954211535</v>
      </c>
      <c r="D6" s="59">
        <v>15.5413101</v>
      </c>
      <c r="E6" s="59">
        <v>37.665099299999994</v>
      </c>
      <c r="F6" s="6" t="s">
        <v>162</v>
      </c>
      <c r="G6" s="56"/>
      <c r="H6" s="56"/>
      <c r="I6" s="56"/>
    </row>
    <row r="7" spans="1:11" x14ac:dyDescent="0.35">
      <c r="A7" s="21" t="s">
        <v>167</v>
      </c>
      <c r="B7" s="22" t="s">
        <v>56</v>
      </c>
      <c r="C7" s="58">
        <v>43.30777495701922</v>
      </c>
      <c r="D7" s="58">
        <v>-11.973490999999999</v>
      </c>
      <c r="E7" s="58">
        <v>2.1003919999999998</v>
      </c>
      <c r="F7" s="8" t="s">
        <v>17</v>
      </c>
      <c r="G7" s="56"/>
      <c r="H7" s="56"/>
      <c r="I7" s="56"/>
    </row>
    <row r="8" spans="1:11" x14ac:dyDescent="0.35">
      <c r="A8" s="5" t="s">
        <v>169</v>
      </c>
      <c r="B8" s="7" t="s">
        <v>53</v>
      </c>
      <c r="C8" s="59">
        <v>40.221053101923076</v>
      </c>
      <c r="D8" s="59">
        <v>232.49478099999999</v>
      </c>
      <c r="E8" s="59">
        <v>69.588049999999996</v>
      </c>
      <c r="F8" s="6" t="s">
        <v>14</v>
      </c>
      <c r="G8" s="56"/>
      <c r="H8" s="56"/>
      <c r="I8" s="56"/>
    </row>
    <row r="9" spans="1:11" x14ac:dyDescent="0.35">
      <c r="A9" s="21" t="s">
        <v>33</v>
      </c>
      <c r="B9" s="22" t="s">
        <v>31</v>
      </c>
      <c r="C9" s="58">
        <v>38.55243501490385</v>
      </c>
      <c r="D9" s="58">
        <v>-197.93888200000001</v>
      </c>
      <c r="E9" s="58">
        <v>6.0935750000000004</v>
      </c>
      <c r="F9" s="8" t="s">
        <v>14</v>
      </c>
      <c r="G9" s="56"/>
      <c r="H9" s="56"/>
      <c r="I9" s="56"/>
    </row>
    <row r="10" spans="1:11" x14ac:dyDescent="0.35">
      <c r="A10" s="5" t="s">
        <v>168</v>
      </c>
      <c r="B10" s="7" t="s">
        <v>25</v>
      </c>
      <c r="C10" s="59">
        <v>36.222310202115388</v>
      </c>
      <c r="D10" s="59">
        <v>-119.896766</v>
      </c>
      <c r="E10" s="59">
        <v>4.0408920000000004</v>
      </c>
      <c r="F10" s="6" t="s">
        <v>17</v>
      </c>
      <c r="G10" s="56"/>
      <c r="H10" s="56"/>
      <c r="I10" s="56"/>
    </row>
    <row r="11" spans="1:11" x14ac:dyDescent="0.35">
      <c r="A11" s="21" t="s">
        <v>171</v>
      </c>
      <c r="B11" s="22" t="s">
        <v>38</v>
      </c>
      <c r="C11" s="58">
        <v>34.897210937692307</v>
      </c>
      <c r="D11" s="58">
        <v>-247.88641799999999</v>
      </c>
      <c r="E11" s="58">
        <v>-87.151285999999999</v>
      </c>
      <c r="F11" s="8" t="s">
        <v>17</v>
      </c>
      <c r="G11" s="56"/>
      <c r="H11" s="56"/>
      <c r="I11" s="56"/>
    </row>
    <row r="12" spans="1:11" x14ac:dyDescent="0.35">
      <c r="A12" s="5" t="s">
        <v>172</v>
      </c>
      <c r="B12" s="7" t="s">
        <v>35</v>
      </c>
      <c r="C12" s="59">
        <v>29.149258352567312</v>
      </c>
      <c r="D12" s="59">
        <v>-61.157460999999998</v>
      </c>
      <c r="E12" s="59">
        <v>-8.5371129999999997</v>
      </c>
      <c r="F12" s="6" t="s">
        <v>10</v>
      </c>
      <c r="G12" s="56"/>
      <c r="H12" s="56"/>
      <c r="I12" s="56"/>
    </row>
    <row r="13" spans="1:11" x14ac:dyDescent="0.35">
      <c r="A13" s="21" t="s">
        <v>170</v>
      </c>
      <c r="B13" s="22" t="s">
        <v>85</v>
      </c>
      <c r="C13" s="58">
        <v>28.046138088740388</v>
      </c>
      <c r="D13" s="58">
        <v>-139.50808799999999</v>
      </c>
      <c r="E13" s="58">
        <v>17.224345</v>
      </c>
      <c r="F13" s="8" t="s">
        <v>13</v>
      </c>
      <c r="G13" s="56"/>
      <c r="H13" s="56"/>
      <c r="I13" s="56"/>
    </row>
    <row r="14" spans="1:11" x14ac:dyDescent="0.35">
      <c r="A14" s="5" t="s">
        <v>151</v>
      </c>
      <c r="B14" s="7" t="s">
        <v>32</v>
      </c>
      <c r="C14" s="59">
        <v>24.767032620875</v>
      </c>
      <c r="D14" s="59">
        <v>59.649230000000003</v>
      </c>
      <c r="E14" s="59">
        <v>21.671996</v>
      </c>
      <c r="F14" s="6" t="s">
        <v>14</v>
      </c>
      <c r="G14" s="56"/>
      <c r="H14" s="56"/>
      <c r="I14" s="56"/>
    </row>
    <row r="15" spans="1:11" x14ac:dyDescent="0.35">
      <c r="A15" s="21" t="s">
        <v>178</v>
      </c>
      <c r="B15" s="22" t="s">
        <v>58</v>
      </c>
      <c r="C15" s="58">
        <v>23.634767795673081</v>
      </c>
      <c r="D15" s="58">
        <v>-184.94333399999999</v>
      </c>
      <c r="E15" s="58">
        <v>-88.512315999999998</v>
      </c>
      <c r="F15" s="8" t="s">
        <v>17</v>
      </c>
      <c r="G15" s="56"/>
      <c r="H15" s="56"/>
      <c r="I15" s="56"/>
    </row>
    <row r="16" spans="1:11" x14ac:dyDescent="0.35">
      <c r="A16" s="5" t="s">
        <v>180</v>
      </c>
      <c r="B16" s="7" t="s">
        <v>48</v>
      </c>
      <c r="C16" s="59">
        <v>22.894062516442311</v>
      </c>
      <c r="D16" s="59">
        <v>-119.893733</v>
      </c>
      <c r="E16" s="59">
        <v>-47.310084000000003</v>
      </c>
      <c r="F16" s="6" t="s">
        <v>10</v>
      </c>
      <c r="G16" s="56"/>
      <c r="H16" s="56"/>
      <c r="I16" s="56"/>
      <c r="J16" s="56"/>
      <c r="K16" s="56"/>
    </row>
    <row r="17" spans="1:11" x14ac:dyDescent="0.35">
      <c r="A17" s="21" t="s">
        <v>182</v>
      </c>
      <c r="B17" s="22" t="s">
        <v>54</v>
      </c>
      <c r="C17" s="58">
        <v>20.637685199423078</v>
      </c>
      <c r="D17" s="58">
        <v>-186.6643436</v>
      </c>
      <c r="E17" s="58">
        <v>-138.30100400000001</v>
      </c>
      <c r="F17" s="8" t="s">
        <v>16</v>
      </c>
      <c r="G17" s="56"/>
      <c r="H17" s="56"/>
      <c r="I17" s="56"/>
      <c r="J17" s="56"/>
      <c r="K17" s="56"/>
    </row>
    <row r="18" spans="1:11" x14ac:dyDescent="0.35">
      <c r="A18" s="5" t="s">
        <v>175</v>
      </c>
      <c r="B18" s="7" t="s">
        <v>41</v>
      </c>
      <c r="C18" s="59">
        <v>17.838885442894231</v>
      </c>
      <c r="D18" s="59">
        <v>-30.521851000000002</v>
      </c>
      <c r="E18" s="59">
        <v>2.0711080000000002</v>
      </c>
      <c r="F18" s="6" t="s">
        <v>11</v>
      </c>
      <c r="G18" s="56"/>
      <c r="H18" s="56"/>
      <c r="I18" s="56"/>
      <c r="J18" s="56"/>
      <c r="K18" s="56"/>
    </row>
    <row r="19" spans="1:11" x14ac:dyDescent="0.35">
      <c r="A19" s="21" t="s">
        <v>176</v>
      </c>
      <c r="B19" s="22" t="s">
        <v>42</v>
      </c>
      <c r="C19" s="58">
        <v>17.828244383846162</v>
      </c>
      <c r="D19" s="58">
        <v>13.501044199999999</v>
      </c>
      <c r="E19" s="58">
        <v>11.15901</v>
      </c>
      <c r="F19" s="8" t="s">
        <v>19</v>
      </c>
      <c r="G19" s="56"/>
      <c r="H19" s="56"/>
      <c r="I19" s="56"/>
      <c r="J19" s="56"/>
      <c r="K19" s="56"/>
    </row>
    <row r="20" spans="1:11" x14ac:dyDescent="0.35">
      <c r="A20" s="5" t="s">
        <v>29</v>
      </c>
      <c r="B20" s="7" t="s">
        <v>24</v>
      </c>
      <c r="C20" s="59">
        <v>17.628737269230772</v>
      </c>
      <c r="D20" s="59">
        <v>-67.788901999999993</v>
      </c>
      <c r="E20" s="59">
        <v>28.619126999999999</v>
      </c>
      <c r="F20" s="6" t="s">
        <v>13</v>
      </c>
      <c r="G20" s="56"/>
      <c r="H20" s="56"/>
      <c r="I20" s="56"/>
      <c r="J20" s="56"/>
      <c r="K20" s="56"/>
    </row>
    <row r="21" spans="1:11" x14ac:dyDescent="0.35">
      <c r="A21" s="21" t="s">
        <v>179</v>
      </c>
      <c r="B21" s="22" t="s">
        <v>51</v>
      </c>
      <c r="C21" s="58">
        <v>17.537171620192311</v>
      </c>
      <c r="D21" s="58">
        <v>57.023802000000011</v>
      </c>
      <c r="E21" s="58">
        <v>3.7822974999999999</v>
      </c>
      <c r="F21" s="8" t="s">
        <v>11</v>
      </c>
      <c r="G21" s="56"/>
      <c r="H21" s="56"/>
      <c r="I21" s="56"/>
      <c r="J21" s="56"/>
      <c r="K21" s="56"/>
    </row>
    <row r="22" spans="1:11" x14ac:dyDescent="0.35">
      <c r="A22" s="5" t="s">
        <v>39</v>
      </c>
      <c r="B22" s="7" t="s">
        <v>37</v>
      </c>
      <c r="C22" s="59">
        <v>16.481667399038461</v>
      </c>
      <c r="D22" s="59">
        <v>95.421319999999994</v>
      </c>
      <c r="E22" s="59">
        <v>13.548662</v>
      </c>
      <c r="F22" s="6" t="s">
        <v>14</v>
      </c>
      <c r="G22" s="56"/>
      <c r="H22" s="56"/>
      <c r="I22" s="56"/>
      <c r="J22" s="56"/>
      <c r="K22" s="56"/>
    </row>
    <row r="23" spans="1:11" x14ac:dyDescent="0.35">
      <c r="A23" s="21" t="s">
        <v>174</v>
      </c>
      <c r="B23" s="22" t="s">
        <v>52</v>
      </c>
      <c r="C23" s="58">
        <v>16.056491079816961</v>
      </c>
      <c r="D23" s="58">
        <v>8.3005385513499998</v>
      </c>
      <c r="E23" s="58">
        <v>-15.574434058650001</v>
      </c>
      <c r="F23" s="8" t="s">
        <v>14</v>
      </c>
      <c r="G23" s="56"/>
      <c r="H23" s="56"/>
      <c r="I23" s="56"/>
      <c r="J23" s="56"/>
      <c r="K23" s="56"/>
    </row>
    <row r="24" spans="1:11" x14ac:dyDescent="0.35">
      <c r="A24" s="5" t="s">
        <v>181</v>
      </c>
      <c r="B24" s="7" t="s">
        <v>59</v>
      </c>
      <c r="C24" s="59">
        <v>15.64224789317308</v>
      </c>
      <c r="D24" s="59">
        <v>-116.293734</v>
      </c>
      <c r="E24" s="59">
        <v>-9.0107759999999999</v>
      </c>
      <c r="F24" s="6" t="s">
        <v>16</v>
      </c>
      <c r="G24" s="56"/>
      <c r="H24" s="56"/>
      <c r="I24" s="56"/>
      <c r="J24" s="56"/>
      <c r="K24" s="56"/>
    </row>
    <row r="25" spans="1:11" x14ac:dyDescent="0.35">
      <c r="A25" s="21" t="s">
        <v>177</v>
      </c>
      <c r="B25" s="22" t="s">
        <v>76</v>
      </c>
      <c r="C25" s="58">
        <v>13.174833511923079</v>
      </c>
      <c r="D25" s="58">
        <v>-61.302641000000001</v>
      </c>
      <c r="E25" s="58">
        <v>-2.9946320000000002</v>
      </c>
      <c r="F25" s="8" t="s">
        <v>17</v>
      </c>
      <c r="G25" s="56"/>
      <c r="H25" s="56"/>
      <c r="I25" s="56"/>
      <c r="J25" s="56"/>
      <c r="K25" s="56"/>
    </row>
    <row r="26" spans="1:11" x14ac:dyDescent="0.35">
      <c r="A26" s="5" t="s">
        <v>34</v>
      </c>
      <c r="B26" s="7" t="s">
        <v>30</v>
      </c>
      <c r="C26" s="59">
        <v>11.73953495673077</v>
      </c>
      <c r="D26" s="59">
        <v>-12.495585</v>
      </c>
      <c r="E26" s="59">
        <v>18.797609999999999</v>
      </c>
      <c r="F26" s="6" t="s">
        <v>14</v>
      </c>
      <c r="G26" s="56"/>
      <c r="H26" s="56"/>
      <c r="I26" s="56"/>
      <c r="J26" s="56"/>
      <c r="K26" s="56"/>
    </row>
    <row r="27" spans="1:11" x14ac:dyDescent="0.35">
      <c r="A27" s="21" t="s">
        <v>186</v>
      </c>
      <c r="B27" s="22" t="s">
        <v>80</v>
      </c>
      <c r="C27" s="58">
        <v>11.69464454567308</v>
      </c>
      <c r="D27" s="58">
        <v>-70.5210005</v>
      </c>
      <c r="E27" s="58">
        <v>-0.17655699999999999</v>
      </c>
      <c r="F27" s="8" t="s">
        <v>17</v>
      </c>
      <c r="G27" s="56"/>
      <c r="H27" s="56"/>
      <c r="I27" s="56"/>
      <c r="J27" s="56"/>
      <c r="K27" s="56"/>
    </row>
    <row r="28" spans="1:11" x14ac:dyDescent="0.35">
      <c r="A28" s="5" t="s">
        <v>173</v>
      </c>
      <c r="B28" s="7" t="s">
        <v>78</v>
      </c>
      <c r="C28" s="59">
        <v>11.24633402615385</v>
      </c>
      <c r="D28" s="59">
        <v>-46.621032999999997</v>
      </c>
      <c r="E28" s="59">
        <v>3.1506340000000002</v>
      </c>
      <c r="F28" s="6" t="s">
        <v>17</v>
      </c>
      <c r="G28" s="56"/>
      <c r="H28" s="56"/>
      <c r="I28" s="56"/>
      <c r="J28" s="56"/>
      <c r="K28" s="56"/>
    </row>
    <row r="29" spans="1:11" x14ac:dyDescent="0.35">
      <c r="A29" s="21" t="s">
        <v>183</v>
      </c>
      <c r="B29" s="22" t="s">
        <v>43</v>
      </c>
      <c r="C29" s="58">
        <v>10.877501313038461</v>
      </c>
      <c r="D29" s="58">
        <v>57.197944</v>
      </c>
      <c r="E29" s="58">
        <v>-2.3492570000000002</v>
      </c>
      <c r="F29" s="8" t="s">
        <v>163</v>
      </c>
      <c r="G29" s="56"/>
      <c r="H29" s="56"/>
      <c r="I29" s="56"/>
      <c r="J29" s="56"/>
      <c r="K29" s="56"/>
    </row>
    <row r="30" spans="1:11" x14ac:dyDescent="0.35">
      <c r="A30" s="5" t="s">
        <v>187</v>
      </c>
      <c r="B30" s="7" t="s">
        <v>55</v>
      </c>
      <c r="C30" s="59">
        <v>9.3510221743898079</v>
      </c>
      <c r="D30" s="59">
        <v>20.433749960900002</v>
      </c>
      <c r="E30" s="59">
        <v>8.0201027492000012</v>
      </c>
      <c r="F30" s="6" t="s">
        <v>16</v>
      </c>
      <c r="G30" s="56"/>
      <c r="H30" s="56"/>
      <c r="I30" s="56"/>
      <c r="J30" s="56"/>
      <c r="K30" s="56"/>
    </row>
    <row r="31" spans="1:11" x14ac:dyDescent="0.35">
      <c r="A31" s="21" t="s">
        <v>188</v>
      </c>
      <c r="B31" s="22" t="s">
        <v>90</v>
      </c>
      <c r="C31" s="58">
        <v>8.7199402740384624</v>
      </c>
      <c r="D31" s="58">
        <v>-22.566421999999999</v>
      </c>
      <c r="E31" s="58">
        <v>3.752132</v>
      </c>
      <c r="F31" s="8" t="s">
        <v>17</v>
      </c>
      <c r="G31" s="56"/>
      <c r="H31" s="56"/>
      <c r="I31" s="56"/>
      <c r="J31" s="56"/>
      <c r="K31" s="56"/>
    </row>
    <row r="32" spans="1:11" x14ac:dyDescent="0.35">
      <c r="A32" s="5" t="s">
        <v>142</v>
      </c>
      <c r="B32" s="7" t="s">
        <v>107</v>
      </c>
      <c r="C32" s="59">
        <v>8.3366749182692317</v>
      </c>
      <c r="D32" s="59">
        <v>64.228441000000004</v>
      </c>
      <c r="E32" s="59">
        <v>-3.1463999999999992E-2</v>
      </c>
      <c r="F32" s="6" t="s">
        <v>14</v>
      </c>
      <c r="G32" s="56"/>
      <c r="H32" s="56"/>
      <c r="I32" s="56"/>
      <c r="J32" s="56"/>
      <c r="K32" s="56"/>
    </row>
    <row r="33" spans="1:11" x14ac:dyDescent="0.35">
      <c r="A33" s="21" t="s">
        <v>185</v>
      </c>
      <c r="B33" s="22" t="s">
        <v>110</v>
      </c>
      <c r="C33" s="58">
        <v>7.2893576913461535</v>
      </c>
      <c r="D33" s="58">
        <v>10.410933999999999</v>
      </c>
      <c r="E33" s="58">
        <v>7.342625</v>
      </c>
      <c r="F33" s="8" t="s">
        <v>17</v>
      </c>
      <c r="G33" s="56"/>
      <c r="H33" s="56"/>
      <c r="I33" s="56"/>
      <c r="J33" s="56"/>
      <c r="K33" s="56"/>
    </row>
    <row r="34" spans="1:11" x14ac:dyDescent="0.35">
      <c r="A34" s="5" t="s">
        <v>184</v>
      </c>
      <c r="B34" s="7" t="s">
        <v>103</v>
      </c>
      <c r="C34" s="59">
        <v>6.9594893768461539</v>
      </c>
      <c r="D34" s="59">
        <v>-8.3523434999999999</v>
      </c>
      <c r="E34" s="59">
        <v>-4.0289580000000003</v>
      </c>
      <c r="F34" s="6" t="s">
        <v>17</v>
      </c>
      <c r="G34" s="56"/>
      <c r="H34" s="56"/>
      <c r="I34" s="56"/>
      <c r="J34" s="56"/>
      <c r="K34" s="56"/>
    </row>
    <row r="35" spans="1:11" x14ac:dyDescent="0.35">
      <c r="A35" s="21" t="s">
        <v>192</v>
      </c>
      <c r="B35" s="22">
        <v>558</v>
      </c>
      <c r="C35" s="58">
        <v>6.4983051413461546</v>
      </c>
      <c r="D35" s="58">
        <v>-20.245788000000001</v>
      </c>
      <c r="E35" s="58">
        <v>-1.921743</v>
      </c>
      <c r="F35" s="8" t="s">
        <v>163</v>
      </c>
      <c r="G35" s="56"/>
      <c r="H35" s="56"/>
      <c r="I35" s="56"/>
      <c r="J35" s="56"/>
      <c r="K35" s="56"/>
    </row>
    <row r="36" spans="1:11" x14ac:dyDescent="0.35">
      <c r="A36" s="5" t="s">
        <v>189</v>
      </c>
      <c r="B36" s="7" t="s">
        <v>91</v>
      </c>
      <c r="C36" s="59">
        <v>5.9604955386923084</v>
      </c>
      <c r="D36" s="59">
        <v>-82.227149223999987</v>
      </c>
      <c r="E36" s="59">
        <v>-10.128579</v>
      </c>
      <c r="F36" s="6" t="s">
        <v>163</v>
      </c>
      <c r="G36" s="56"/>
      <c r="H36" s="56"/>
      <c r="I36" s="56"/>
      <c r="J36" s="56"/>
      <c r="K36" s="56"/>
    </row>
    <row r="37" spans="1:11" x14ac:dyDescent="0.35">
      <c r="A37" s="21" t="s">
        <v>191</v>
      </c>
      <c r="B37" s="22" t="s">
        <v>111</v>
      </c>
      <c r="C37" s="58">
        <v>5.7145922298076917</v>
      </c>
      <c r="D37" s="58">
        <v>20.664117999999998</v>
      </c>
      <c r="E37" s="58">
        <v>0.36010199999999998</v>
      </c>
      <c r="F37" s="8" t="s">
        <v>163</v>
      </c>
      <c r="G37" s="56"/>
      <c r="H37" s="56"/>
      <c r="I37" s="56"/>
      <c r="J37" s="56"/>
      <c r="K37" s="56"/>
    </row>
    <row r="38" spans="1:11" x14ac:dyDescent="0.35">
      <c r="A38" s="5" t="s">
        <v>190</v>
      </c>
      <c r="B38" s="7" t="s">
        <v>93</v>
      </c>
      <c r="C38" s="59">
        <v>4.8704439646634619</v>
      </c>
      <c r="D38" s="59">
        <v>-38.789241500000003</v>
      </c>
      <c r="E38" s="59">
        <v>-0.25229849999999998</v>
      </c>
      <c r="F38" s="6" t="s">
        <v>17</v>
      </c>
      <c r="G38" s="56"/>
      <c r="H38" s="56"/>
      <c r="I38" s="56"/>
      <c r="J38" s="56"/>
      <c r="K38" s="56"/>
    </row>
    <row r="39" spans="1:11" x14ac:dyDescent="0.35">
      <c r="A39" s="21" t="s">
        <v>195</v>
      </c>
      <c r="B39" s="22" t="s">
        <v>125</v>
      </c>
      <c r="C39" s="58">
        <v>4.3513156677884615</v>
      </c>
      <c r="D39" s="58">
        <v>1.1835370000000001</v>
      </c>
      <c r="E39" s="58">
        <v>-2.2076799999999999</v>
      </c>
      <c r="F39" s="8" t="s">
        <v>163</v>
      </c>
      <c r="G39" s="56"/>
      <c r="H39" s="56"/>
      <c r="I39" s="56"/>
      <c r="J39" s="56"/>
      <c r="K39" s="56"/>
    </row>
    <row r="40" spans="1:11" x14ac:dyDescent="0.35">
      <c r="A40" s="5" t="s">
        <v>193</v>
      </c>
      <c r="B40" s="7" t="s">
        <v>122</v>
      </c>
      <c r="C40" s="59">
        <v>4.0161688894230769</v>
      </c>
      <c r="D40" s="59">
        <v>10.417927499999999</v>
      </c>
      <c r="E40" s="59">
        <v>-1.025174</v>
      </c>
      <c r="F40" s="6" t="s">
        <v>164</v>
      </c>
      <c r="G40" s="56"/>
      <c r="H40" s="56"/>
      <c r="I40" s="56"/>
      <c r="J40" s="56"/>
      <c r="K40" s="56"/>
    </row>
    <row r="41" spans="1:11" x14ac:dyDescent="0.35">
      <c r="A41" s="21" t="s">
        <v>209</v>
      </c>
      <c r="B41" s="22" t="s">
        <v>109</v>
      </c>
      <c r="C41" s="58">
        <v>4.0106541176923081</v>
      </c>
      <c r="D41" s="58">
        <v>-36.189753500000002</v>
      </c>
      <c r="E41" s="58">
        <v>-6.0978205000000001</v>
      </c>
      <c r="F41" s="8" t="s">
        <v>11</v>
      </c>
      <c r="G41" s="56"/>
      <c r="H41" s="56"/>
      <c r="I41" s="56"/>
      <c r="J41" s="56"/>
      <c r="K41" s="56"/>
    </row>
    <row r="42" spans="1:11" x14ac:dyDescent="0.35">
      <c r="A42" s="5" t="s">
        <v>214</v>
      </c>
      <c r="B42" s="7" t="s">
        <v>130</v>
      </c>
      <c r="C42" s="59">
        <v>3.8461475211538456</v>
      </c>
      <c r="D42" s="59">
        <v>17.945026500000001</v>
      </c>
      <c r="E42" s="59">
        <v>-1.5975E-2</v>
      </c>
      <c r="F42" s="6" t="s">
        <v>164</v>
      </c>
      <c r="G42" s="56"/>
      <c r="H42" s="56"/>
      <c r="I42" s="56"/>
      <c r="J42" s="56"/>
      <c r="K42" s="56"/>
    </row>
    <row r="43" spans="1:11" x14ac:dyDescent="0.35">
      <c r="A43" s="21" t="s">
        <v>196</v>
      </c>
      <c r="B43" s="22" t="s">
        <v>112</v>
      </c>
      <c r="C43" s="58">
        <v>3.475994529807692</v>
      </c>
      <c r="D43" s="58">
        <v>-19.256849500000001</v>
      </c>
      <c r="E43" s="58">
        <v>-2.216046</v>
      </c>
      <c r="F43" s="8" t="s">
        <v>163</v>
      </c>
      <c r="G43" s="56"/>
      <c r="H43" s="56"/>
      <c r="I43" s="56"/>
      <c r="J43" s="56"/>
      <c r="K43" s="56"/>
    </row>
    <row r="44" spans="1:11" x14ac:dyDescent="0.35">
      <c r="A44" s="5" t="s">
        <v>197</v>
      </c>
      <c r="B44" s="7" t="s">
        <v>104</v>
      </c>
      <c r="C44" s="59">
        <v>3.4133666419230768</v>
      </c>
      <c r="D44" s="59">
        <v>1.030527</v>
      </c>
      <c r="E44" s="59">
        <v>0.41348600000000013</v>
      </c>
      <c r="F44" s="6" t="s">
        <v>17</v>
      </c>
      <c r="G44" s="56"/>
      <c r="H44" s="56"/>
      <c r="I44" s="56"/>
      <c r="J44" s="56"/>
      <c r="K44" s="56"/>
    </row>
    <row r="45" spans="1:11" x14ac:dyDescent="0.35">
      <c r="A45" s="21" t="s">
        <v>194</v>
      </c>
      <c r="B45" s="22" t="s">
        <v>96</v>
      </c>
      <c r="C45" s="58">
        <v>3.1490523557692311</v>
      </c>
      <c r="D45" s="58">
        <v>10.3444755</v>
      </c>
      <c r="E45" s="58">
        <v>2.0985404999999999</v>
      </c>
      <c r="F45" s="8" t="s">
        <v>14</v>
      </c>
      <c r="G45" s="56"/>
      <c r="H45" s="56"/>
      <c r="I45" s="56"/>
      <c r="J45" s="56"/>
      <c r="K45" s="56"/>
    </row>
    <row r="46" spans="1:11" x14ac:dyDescent="0.35">
      <c r="A46" s="5" t="s">
        <v>198</v>
      </c>
      <c r="B46" s="7" t="s">
        <v>117</v>
      </c>
      <c r="C46" s="59">
        <v>2.9225546484615381</v>
      </c>
      <c r="D46" s="59">
        <v>-15.352821</v>
      </c>
      <c r="E46" s="59">
        <v>-6.1838965000000004</v>
      </c>
      <c r="F46" s="6" t="s">
        <v>162</v>
      </c>
      <c r="G46" s="56"/>
      <c r="H46" s="56"/>
      <c r="I46" s="56"/>
      <c r="J46" s="56"/>
      <c r="K46" s="56"/>
    </row>
    <row r="47" spans="1:11" x14ac:dyDescent="0.35">
      <c r="A47" s="21" t="s">
        <v>218</v>
      </c>
      <c r="B47" s="22" t="s">
        <v>132</v>
      </c>
      <c r="C47" s="58">
        <v>2.8525184867307689</v>
      </c>
      <c r="D47" s="58">
        <v>8.5406569999999995</v>
      </c>
      <c r="E47" s="58">
        <v>2.069744</v>
      </c>
      <c r="F47" s="8" t="s">
        <v>165</v>
      </c>
      <c r="G47" s="56"/>
      <c r="H47" s="56"/>
      <c r="I47" s="56"/>
      <c r="J47" s="56"/>
      <c r="K47" s="56"/>
    </row>
    <row r="48" spans="1:11" x14ac:dyDescent="0.35">
      <c r="A48" s="5" t="s">
        <v>208</v>
      </c>
      <c r="B48" s="7" t="s">
        <v>105</v>
      </c>
      <c r="C48" s="59">
        <v>2.6503827615384608</v>
      </c>
      <c r="D48" s="59">
        <v>-16.8321845</v>
      </c>
      <c r="E48" s="59">
        <v>-2.4003044999999998</v>
      </c>
      <c r="F48" s="6" t="s">
        <v>15</v>
      </c>
      <c r="G48" s="56"/>
      <c r="H48" s="56"/>
      <c r="I48" s="56"/>
      <c r="J48" s="56"/>
      <c r="K48" s="56"/>
    </row>
    <row r="49" spans="1:11" x14ac:dyDescent="0.35">
      <c r="A49" s="21" t="s">
        <v>201</v>
      </c>
      <c r="B49" s="22" t="s">
        <v>119</v>
      </c>
      <c r="C49" s="58">
        <v>2.622914430605769</v>
      </c>
      <c r="D49" s="58">
        <v>-2.5384430000000009</v>
      </c>
      <c r="E49" s="58">
        <v>-0.59256699999999995</v>
      </c>
      <c r="F49" s="8" t="s">
        <v>17</v>
      </c>
      <c r="G49" s="56"/>
      <c r="H49" s="56"/>
      <c r="I49" s="56"/>
      <c r="J49" s="56"/>
      <c r="K49" s="56"/>
    </row>
    <row r="50" spans="1:11" x14ac:dyDescent="0.35">
      <c r="A50" s="5" t="s">
        <v>202</v>
      </c>
      <c r="B50" s="7" t="s">
        <v>108</v>
      </c>
      <c r="C50" s="59">
        <v>2.5666715528846149</v>
      </c>
      <c r="D50" s="59">
        <v>-18.549585</v>
      </c>
      <c r="E50" s="59">
        <v>-0.30448900000000012</v>
      </c>
      <c r="F50" s="6" t="s">
        <v>17</v>
      </c>
      <c r="G50" s="56"/>
      <c r="H50" s="56"/>
      <c r="I50" s="56"/>
      <c r="J50" s="56"/>
      <c r="K50" s="56"/>
    </row>
    <row r="51" spans="1:11" x14ac:dyDescent="0.35">
      <c r="A51" s="21" t="s">
        <v>199</v>
      </c>
      <c r="B51" s="22" t="s">
        <v>97</v>
      </c>
      <c r="C51" s="58">
        <v>2.5000651976923081</v>
      </c>
      <c r="D51" s="58">
        <v>-43.169289499999998</v>
      </c>
      <c r="E51" s="58">
        <v>-2.0625745000000002</v>
      </c>
      <c r="F51" s="8" t="s">
        <v>17</v>
      </c>
      <c r="G51" s="56"/>
      <c r="H51" s="56"/>
      <c r="I51" s="56"/>
      <c r="J51" s="56"/>
      <c r="K51" s="56"/>
    </row>
    <row r="52" spans="1:11" x14ac:dyDescent="0.35">
      <c r="A52" s="5" t="s">
        <v>200</v>
      </c>
      <c r="B52" s="7" t="s">
        <v>106</v>
      </c>
      <c r="C52" s="59">
        <v>2.2948504432692309</v>
      </c>
      <c r="D52" s="59">
        <v>-3.1126452999999996</v>
      </c>
      <c r="E52" s="59">
        <v>4.49383E-2</v>
      </c>
      <c r="F52" s="6" t="s">
        <v>164</v>
      </c>
      <c r="G52" s="56"/>
      <c r="H52" s="56"/>
      <c r="I52" s="56"/>
      <c r="J52" s="56"/>
      <c r="K52" s="56"/>
    </row>
    <row r="53" spans="1:11" x14ac:dyDescent="0.35">
      <c r="A53" s="21" t="s">
        <v>210</v>
      </c>
      <c r="B53" s="22" t="s">
        <v>120</v>
      </c>
      <c r="C53" s="58">
        <v>2.254800150810385</v>
      </c>
      <c r="D53" s="58">
        <v>5.3803469245500022</v>
      </c>
      <c r="E53" s="58">
        <v>-1.75401718585</v>
      </c>
      <c r="F53" s="8" t="s">
        <v>17</v>
      </c>
      <c r="G53" s="56"/>
      <c r="H53" s="56"/>
      <c r="I53" s="56"/>
      <c r="J53" s="56"/>
      <c r="K53" s="56"/>
    </row>
    <row r="54" spans="1:11" x14ac:dyDescent="0.35">
      <c r="A54" s="5" t="s">
        <v>207</v>
      </c>
      <c r="B54" s="7" t="s">
        <v>57</v>
      </c>
      <c r="C54" s="59">
        <v>2.2340856166090388</v>
      </c>
      <c r="D54" s="59">
        <v>-9.7821797296999993</v>
      </c>
      <c r="E54" s="59">
        <v>-0.79786206910000002</v>
      </c>
      <c r="F54" s="6" t="s">
        <v>11</v>
      </c>
      <c r="G54" s="56"/>
      <c r="H54" s="56"/>
      <c r="I54" s="56"/>
      <c r="J54" s="56"/>
      <c r="K54" s="56"/>
    </row>
    <row r="55" spans="1:11" x14ac:dyDescent="0.35">
      <c r="A55" s="21" t="s">
        <v>227</v>
      </c>
      <c r="B55" s="22" t="s">
        <v>98</v>
      </c>
      <c r="C55" s="58">
        <v>2.208952473076923</v>
      </c>
      <c r="D55" s="58">
        <v>2.8690215000000001</v>
      </c>
      <c r="E55" s="58">
        <v>0.847387</v>
      </c>
      <c r="F55" s="8" t="s">
        <v>11</v>
      </c>
      <c r="G55" s="56"/>
      <c r="H55" s="56"/>
      <c r="I55" s="56"/>
      <c r="J55" s="56"/>
      <c r="K55" s="56"/>
    </row>
    <row r="56" spans="1:11" x14ac:dyDescent="0.35">
      <c r="A56" s="5" t="s">
        <v>206</v>
      </c>
      <c r="B56" s="7" t="s">
        <v>123</v>
      </c>
      <c r="C56" s="59">
        <v>2.156287709615385</v>
      </c>
      <c r="D56" s="59">
        <v>-20.652987</v>
      </c>
      <c r="E56" s="59">
        <v>-0.83611100000000005</v>
      </c>
      <c r="F56" s="6" t="s">
        <v>17</v>
      </c>
      <c r="G56" s="56"/>
      <c r="H56" s="56"/>
      <c r="I56" s="56"/>
      <c r="J56" s="56"/>
      <c r="K56" s="56"/>
    </row>
    <row r="57" spans="1:11" x14ac:dyDescent="0.35">
      <c r="A57" s="21" t="s">
        <v>211</v>
      </c>
      <c r="B57" s="22" t="s">
        <v>92</v>
      </c>
      <c r="C57" s="58">
        <v>2.1177105461538464</v>
      </c>
      <c r="D57" s="58">
        <v>-27.960944000000001</v>
      </c>
      <c r="E57" s="58">
        <v>-1.306209</v>
      </c>
      <c r="F57" s="8" t="s">
        <v>11</v>
      </c>
      <c r="G57" s="56"/>
      <c r="H57" s="56"/>
      <c r="I57" s="56"/>
      <c r="J57" s="56"/>
      <c r="K57" s="56"/>
    </row>
    <row r="58" spans="1:11" x14ac:dyDescent="0.35">
      <c r="A58" s="5" t="s">
        <v>216</v>
      </c>
      <c r="B58" s="7" t="s">
        <v>114</v>
      </c>
      <c r="C58" s="59">
        <v>1.945897781730769</v>
      </c>
      <c r="D58" s="59">
        <v>3.8930210000000001</v>
      </c>
      <c r="E58" s="59">
        <v>0.52334499999999995</v>
      </c>
      <c r="F58" s="6" t="s">
        <v>11</v>
      </c>
      <c r="G58" s="56"/>
      <c r="H58" s="56"/>
      <c r="I58" s="56"/>
      <c r="J58" s="56"/>
      <c r="K58" s="56"/>
    </row>
    <row r="59" spans="1:11" x14ac:dyDescent="0.35">
      <c r="A59" s="21" t="s">
        <v>204</v>
      </c>
      <c r="B59" s="22" t="s">
        <v>121</v>
      </c>
      <c r="C59" s="58">
        <v>1.856393972692308</v>
      </c>
      <c r="D59" s="58">
        <v>-12.4820615</v>
      </c>
      <c r="E59" s="58">
        <v>0.144423</v>
      </c>
      <c r="F59" s="8" t="s">
        <v>17</v>
      </c>
      <c r="G59" s="56"/>
      <c r="H59" s="56"/>
      <c r="I59" s="56"/>
      <c r="J59" s="56"/>
      <c r="K59" s="56"/>
    </row>
    <row r="60" spans="1:11" x14ac:dyDescent="0.35">
      <c r="A60" s="5" t="s">
        <v>263</v>
      </c>
      <c r="B60" s="7" t="s">
        <v>264</v>
      </c>
      <c r="C60" s="59">
        <v>1.8357009086538461</v>
      </c>
      <c r="D60" s="59">
        <v>13.020867000000001</v>
      </c>
      <c r="E60" s="59">
        <v>-0.15609700000000001</v>
      </c>
      <c r="F60" s="6" t="s">
        <v>13</v>
      </c>
      <c r="G60" s="56"/>
      <c r="H60" s="56"/>
      <c r="I60" s="56"/>
      <c r="J60" s="56"/>
      <c r="K60" s="56"/>
    </row>
    <row r="61" spans="1:11" x14ac:dyDescent="0.35">
      <c r="A61" s="21" t="s">
        <v>213</v>
      </c>
      <c r="B61" s="22" t="s">
        <v>113</v>
      </c>
      <c r="C61" s="58">
        <v>1.792151985576923</v>
      </c>
      <c r="D61" s="58">
        <v>5.2966509999999998</v>
      </c>
      <c r="E61" s="58">
        <v>0.38916400000000001</v>
      </c>
      <c r="F61" s="8" t="s">
        <v>13</v>
      </c>
      <c r="G61" s="56"/>
      <c r="H61" s="56"/>
      <c r="I61" s="56"/>
      <c r="J61" s="56"/>
      <c r="K61" s="56"/>
    </row>
    <row r="62" spans="1:11" x14ac:dyDescent="0.35">
      <c r="A62" s="5" t="s">
        <v>203</v>
      </c>
      <c r="B62" s="7" t="s">
        <v>152</v>
      </c>
      <c r="C62" s="59">
        <v>1.605893432692308</v>
      </c>
      <c r="D62" s="59">
        <v>-0.50861280000000031</v>
      </c>
      <c r="E62" s="59">
        <v>0.18931909999999988</v>
      </c>
      <c r="F62" s="6" t="s">
        <v>14</v>
      </c>
      <c r="G62" s="56"/>
      <c r="H62" s="56"/>
      <c r="I62" s="56"/>
      <c r="J62" s="56"/>
      <c r="K62" s="56"/>
    </row>
    <row r="63" spans="1:11" x14ac:dyDescent="0.35">
      <c r="A63" s="21" t="s">
        <v>205</v>
      </c>
      <c r="B63" s="22" t="s">
        <v>118</v>
      </c>
      <c r="C63" s="58">
        <v>1.56421951408625</v>
      </c>
      <c r="D63" s="58">
        <v>-4.3052068410700004</v>
      </c>
      <c r="E63" s="58">
        <v>0.1132671625</v>
      </c>
      <c r="F63" s="8" t="s">
        <v>10</v>
      </c>
      <c r="G63" s="56"/>
      <c r="H63" s="56"/>
      <c r="I63" s="56"/>
      <c r="J63" s="56"/>
      <c r="K63" s="56"/>
    </row>
    <row r="64" spans="1:11" x14ac:dyDescent="0.35">
      <c r="A64" s="5" t="s">
        <v>226</v>
      </c>
      <c r="B64" s="7" t="s">
        <v>115</v>
      </c>
      <c r="C64" s="59">
        <v>1.4649048480769231</v>
      </c>
      <c r="D64" s="59">
        <v>-32.536015999999996</v>
      </c>
      <c r="E64" s="59">
        <v>-2.1527560000000001</v>
      </c>
      <c r="F64" s="6" t="s">
        <v>165</v>
      </c>
      <c r="G64" s="56"/>
      <c r="H64" s="56"/>
      <c r="I64" s="56"/>
      <c r="J64" s="56"/>
      <c r="K64" s="56"/>
    </row>
    <row r="65" spans="1:11" x14ac:dyDescent="0.35">
      <c r="A65" s="21" t="s">
        <v>217</v>
      </c>
      <c r="B65" s="22" t="s">
        <v>131</v>
      </c>
      <c r="C65" s="58">
        <v>1.4357422548076921</v>
      </c>
      <c r="D65" s="58">
        <v>15.157553</v>
      </c>
      <c r="E65" s="58">
        <v>0.29543999999999998</v>
      </c>
      <c r="F65" s="8" t="s">
        <v>162</v>
      </c>
      <c r="G65" s="56"/>
      <c r="H65" s="56"/>
      <c r="I65" s="56"/>
      <c r="J65" s="56"/>
      <c r="K65" s="56"/>
    </row>
    <row r="66" spans="1:11" x14ac:dyDescent="0.35">
      <c r="A66" s="5" t="s">
        <v>229</v>
      </c>
      <c r="B66" s="7" t="s">
        <v>136</v>
      </c>
      <c r="C66" s="59">
        <v>1.400414754807692</v>
      </c>
      <c r="D66" s="59">
        <v>3.0754700000000001</v>
      </c>
      <c r="E66" s="59">
        <v>2.0942829999999999</v>
      </c>
      <c r="F66" s="6" t="s">
        <v>14</v>
      </c>
      <c r="G66" s="56"/>
      <c r="H66" s="56"/>
      <c r="I66" s="56"/>
      <c r="J66" s="56"/>
      <c r="K66" s="56"/>
    </row>
    <row r="67" spans="1:11" x14ac:dyDescent="0.35">
      <c r="A67" s="21" t="s">
        <v>212</v>
      </c>
      <c r="B67" s="22" t="s">
        <v>146</v>
      </c>
      <c r="C67" s="58">
        <v>1.383605477884615</v>
      </c>
      <c r="D67" s="58">
        <v>-0.84834399999999999</v>
      </c>
      <c r="E67" s="58">
        <v>-0.2504055</v>
      </c>
      <c r="F67" s="8" t="s">
        <v>165</v>
      </c>
      <c r="G67" s="56"/>
      <c r="H67" s="56"/>
      <c r="I67" s="56"/>
      <c r="J67" s="56"/>
      <c r="K67" s="56"/>
    </row>
    <row r="68" spans="1:11" x14ac:dyDescent="0.35">
      <c r="A68" s="5" t="s">
        <v>243</v>
      </c>
      <c r="B68" s="7" t="s">
        <v>116</v>
      </c>
      <c r="C68" s="59">
        <v>1.3716805192307691</v>
      </c>
      <c r="D68" s="59">
        <v>7.1742330000000001</v>
      </c>
      <c r="E68" s="59">
        <v>0.25235699999999989</v>
      </c>
      <c r="F68" s="6" t="s">
        <v>10</v>
      </c>
      <c r="G68" s="56"/>
      <c r="H68" s="56"/>
      <c r="I68" s="56"/>
      <c r="J68" s="56"/>
      <c r="K68" s="56"/>
    </row>
    <row r="69" spans="1:11" x14ac:dyDescent="0.35">
      <c r="A69" s="21" t="s">
        <v>224</v>
      </c>
      <c r="B69" s="22" t="s">
        <v>95</v>
      </c>
      <c r="C69" s="58">
        <v>1.256669554406731</v>
      </c>
      <c r="D69" s="58">
        <v>-15.337150215940001</v>
      </c>
      <c r="E69" s="58">
        <v>-2.4845035750000022E-2</v>
      </c>
      <c r="F69" s="8" t="s">
        <v>17</v>
      </c>
      <c r="G69" s="56"/>
      <c r="H69" s="56"/>
      <c r="I69" s="56"/>
      <c r="J69" s="56"/>
      <c r="K69" s="56"/>
    </row>
    <row r="70" spans="1:11" x14ac:dyDescent="0.35">
      <c r="A70" s="5" t="s">
        <v>220</v>
      </c>
      <c r="B70" s="7" t="s">
        <v>153</v>
      </c>
      <c r="C70" s="59">
        <v>1.194231259615385</v>
      </c>
      <c r="D70" s="59">
        <v>-0.88014379999999992</v>
      </c>
      <c r="E70" s="59">
        <v>2.4987E-3</v>
      </c>
      <c r="F70" s="6" t="s">
        <v>14</v>
      </c>
      <c r="G70" s="56"/>
      <c r="H70" s="56"/>
      <c r="I70" s="56"/>
      <c r="J70" s="56"/>
      <c r="K70" s="56"/>
    </row>
    <row r="71" spans="1:11" x14ac:dyDescent="0.35">
      <c r="A71" s="21" t="s">
        <v>222</v>
      </c>
      <c r="B71" s="22" t="s">
        <v>129</v>
      </c>
      <c r="C71" s="58">
        <v>1.1768554288461539</v>
      </c>
      <c r="D71" s="58">
        <v>-1.0355019999999999</v>
      </c>
      <c r="E71" s="58">
        <v>0.19572899999999999</v>
      </c>
      <c r="F71" s="8" t="s">
        <v>17</v>
      </c>
      <c r="G71" s="56"/>
      <c r="H71" s="56"/>
      <c r="I71" s="56"/>
      <c r="J71" s="56"/>
      <c r="K71" s="56"/>
    </row>
    <row r="72" spans="1:11" x14ac:dyDescent="0.35">
      <c r="A72" s="5" t="s">
        <v>215</v>
      </c>
      <c r="B72" s="7" t="s">
        <v>139</v>
      </c>
      <c r="C72" s="59">
        <v>1.1013804874999999</v>
      </c>
      <c r="D72" s="59">
        <v>2.2715239999999999</v>
      </c>
      <c r="E72" s="59">
        <v>-0.407142</v>
      </c>
      <c r="F72" s="6" t="s">
        <v>11</v>
      </c>
      <c r="G72" s="56"/>
      <c r="H72" s="56"/>
      <c r="I72" s="56"/>
      <c r="J72" s="56"/>
      <c r="K72" s="56"/>
    </row>
    <row r="73" spans="1:11" x14ac:dyDescent="0.35">
      <c r="A73" s="21" t="s">
        <v>219</v>
      </c>
      <c r="B73" s="22" t="s">
        <v>135</v>
      </c>
      <c r="C73" s="58">
        <v>1.0701773999999999</v>
      </c>
      <c r="D73" s="58">
        <v>-5.8369340000000003</v>
      </c>
      <c r="E73" s="58">
        <v>-0.35813400000000001</v>
      </c>
      <c r="F73" s="8" t="s">
        <v>16</v>
      </c>
      <c r="G73" s="56"/>
      <c r="H73" s="56"/>
      <c r="I73" s="56"/>
      <c r="J73" s="56"/>
      <c r="K73" s="56"/>
    </row>
    <row r="74" spans="1:11" x14ac:dyDescent="0.35">
      <c r="A74" s="5" t="s">
        <v>236</v>
      </c>
      <c r="B74" s="7" t="s">
        <v>148</v>
      </c>
      <c r="C74" s="59">
        <v>0.98086293173076933</v>
      </c>
      <c r="D74" s="59">
        <v>6.3894184999999997</v>
      </c>
      <c r="E74" s="59">
        <v>0.72414350000000005</v>
      </c>
      <c r="F74" s="6" t="s">
        <v>163</v>
      </c>
      <c r="G74" s="56"/>
      <c r="H74" s="56"/>
      <c r="I74" s="56"/>
      <c r="J74" s="56"/>
      <c r="K74" s="56"/>
    </row>
    <row r="75" spans="1:11" x14ac:dyDescent="0.35">
      <c r="A75" s="21" t="s">
        <v>225</v>
      </c>
      <c r="B75" s="22" t="s">
        <v>141</v>
      </c>
      <c r="C75" s="58">
        <v>0.96980201938736543</v>
      </c>
      <c r="D75" s="58">
        <v>-3.5911817494000009</v>
      </c>
      <c r="E75" s="58">
        <v>-0.38618050640000007</v>
      </c>
      <c r="F75" s="8" t="s">
        <v>17</v>
      </c>
      <c r="G75" s="56"/>
      <c r="H75" s="56"/>
      <c r="I75" s="56"/>
      <c r="J75" s="56"/>
      <c r="K75" s="56"/>
    </row>
    <row r="76" spans="1:11" x14ac:dyDescent="0.35">
      <c r="A76" s="5" t="s">
        <v>232</v>
      </c>
      <c r="B76" s="7" t="s">
        <v>133</v>
      </c>
      <c r="C76" s="59">
        <v>0.96253308037451923</v>
      </c>
      <c r="D76" s="59">
        <v>-2.5895285771499998</v>
      </c>
      <c r="E76" s="59">
        <v>3.4318874779999994E-2</v>
      </c>
      <c r="F76" s="6" t="s">
        <v>17</v>
      </c>
      <c r="G76" s="56"/>
      <c r="H76" s="56"/>
      <c r="I76" s="56"/>
      <c r="J76" s="56"/>
      <c r="K76" s="56"/>
    </row>
    <row r="77" spans="1:11" x14ac:dyDescent="0.35">
      <c r="A77" s="21" t="s">
        <v>242</v>
      </c>
      <c r="B77" s="22" t="s">
        <v>155</v>
      </c>
      <c r="C77" s="58">
        <v>0.95976442500000003</v>
      </c>
      <c r="D77" s="58">
        <v>0.79220170000000001</v>
      </c>
      <c r="E77" s="58">
        <v>0.33134520000000001</v>
      </c>
      <c r="F77" s="8" t="s">
        <v>14</v>
      </c>
      <c r="G77" s="56"/>
      <c r="H77" s="56"/>
      <c r="I77" s="56"/>
      <c r="J77" s="56"/>
      <c r="K77" s="56"/>
    </row>
    <row r="78" spans="1:11" x14ac:dyDescent="0.35">
      <c r="A78" s="5" t="s">
        <v>228</v>
      </c>
      <c r="B78" s="7" t="s">
        <v>127</v>
      </c>
      <c r="C78" s="59">
        <v>0.93228054326923071</v>
      </c>
      <c r="D78" s="59">
        <v>4.4866345000000001</v>
      </c>
      <c r="E78" s="59">
        <v>0.416103</v>
      </c>
      <c r="F78" s="6" t="s">
        <v>165</v>
      </c>
      <c r="G78" s="56"/>
      <c r="H78" s="56"/>
      <c r="I78" s="56"/>
      <c r="J78" s="56"/>
      <c r="K78" s="56"/>
    </row>
    <row r="79" spans="1:11" x14ac:dyDescent="0.35">
      <c r="A79" s="21" t="s">
        <v>221</v>
      </c>
      <c r="B79" s="22" t="s">
        <v>94</v>
      </c>
      <c r="C79" s="58">
        <v>0.91780485401971146</v>
      </c>
      <c r="D79" s="58">
        <v>-6.4630140055499998</v>
      </c>
      <c r="E79" s="58">
        <v>-0.67769353450999992</v>
      </c>
      <c r="F79" s="8" t="s">
        <v>14</v>
      </c>
      <c r="G79" s="56"/>
      <c r="H79" s="56"/>
      <c r="I79" s="56"/>
      <c r="J79" s="56"/>
      <c r="K79" s="56"/>
    </row>
    <row r="80" spans="1:11" x14ac:dyDescent="0.35">
      <c r="A80" s="5" t="s">
        <v>240</v>
      </c>
      <c r="B80" s="7" t="s">
        <v>160</v>
      </c>
      <c r="C80" s="59">
        <v>0.90216463173076933</v>
      </c>
      <c r="D80" s="59">
        <v>6.9257101000000008</v>
      </c>
      <c r="E80" s="59">
        <v>0.39433340000000006</v>
      </c>
      <c r="F80" s="6" t="s">
        <v>14</v>
      </c>
      <c r="G80" s="56"/>
      <c r="H80" s="56"/>
      <c r="I80" s="56"/>
      <c r="J80" s="56"/>
      <c r="K80" s="56"/>
    </row>
    <row r="81" spans="1:11" x14ac:dyDescent="0.35">
      <c r="A81" s="21" t="s">
        <v>223</v>
      </c>
      <c r="B81" s="22" t="s">
        <v>137</v>
      </c>
      <c r="C81" s="58">
        <v>0.87561422115384613</v>
      </c>
      <c r="D81" s="58">
        <v>-7.2638224999999998</v>
      </c>
      <c r="E81" s="58">
        <v>-0.13108349999999999</v>
      </c>
      <c r="F81" s="8" t="s">
        <v>17</v>
      </c>
      <c r="G81" s="56"/>
      <c r="H81" s="56"/>
      <c r="I81" s="56"/>
      <c r="J81" s="56"/>
      <c r="K81" s="56"/>
    </row>
    <row r="82" spans="1:11" x14ac:dyDescent="0.35">
      <c r="A82" s="5" t="s">
        <v>241</v>
      </c>
      <c r="B82" s="7" t="s">
        <v>150</v>
      </c>
      <c r="C82" s="59">
        <v>0.8392910463942308</v>
      </c>
      <c r="D82" s="59">
        <v>-9.3012890000000006</v>
      </c>
      <c r="E82" s="59">
        <v>2.4032999999999999E-2</v>
      </c>
      <c r="F82" s="6" t="s">
        <v>163</v>
      </c>
      <c r="G82" s="56"/>
      <c r="H82" s="56"/>
      <c r="I82" s="56"/>
      <c r="J82" s="56"/>
      <c r="K82" s="56"/>
    </row>
    <row r="83" spans="1:11" x14ac:dyDescent="0.35">
      <c r="A83" s="21" t="s">
        <v>233</v>
      </c>
      <c r="B83" s="22" t="s">
        <v>138</v>
      </c>
      <c r="C83" s="58">
        <v>0.71742434230769225</v>
      </c>
      <c r="D83" s="58">
        <v>-4.9790279999999996</v>
      </c>
      <c r="E83" s="58">
        <v>0.34982849999999999</v>
      </c>
      <c r="F83" s="8" t="s">
        <v>17</v>
      </c>
      <c r="G83" s="56"/>
      <c r="H83" s="56"/>
      <c r="I83" s="56"/>
      <c r="J83" s="56"/>
      <c r="K83" s="56"/>
    </row>
    <row r="84" spans="1:11" x14ac:dyDescent="0.35">
      <c r="A84" s="5" t="s">
        <v>235</v>
      </c>
      <c r="B84" s="7" t="s">
        <v>88</v>
      </c>
      <c r="C84" s="59">
        <v>0.67723574519230778</v>
      </c>
      <c r="D84" s="59">
        <v>-3.5611619999999999</v>
      </c>
      <c r="E84" s="59">
        <v>-0.13881250000000001</v>
      </c>
      <c r="F84" s="6" t="s">
        <v>11</v>
      </c>
      <c r="G84" s="56"/>
      <c r="H84" s="56"/>
      <c r="I84" s="56"/>
      <c r="J84" s="56"/>
      <c r="K84" s="56"/>
    </row>
    <row r="85" spans="1:11" x14ac:dyDescent="0.35">
      <c r="A85" s="21" t="s">
        <v>248</v>
      </c>
      <c r="B85" s="22" t="s">
        <v>154</v>
      </c>
      <c r="C85" s="58">
        <v>0.6532802699423077</v>
      </c>
      <c r="D85" s="58">
        <v>-4.0096976</v>
      </c>
      <c r="E85" s="58">
        <v>-2.5858799999999998E-2</v>
      </c>
      <c r="F85" s="8" t="s">
        <v>16</v>
      </c>
      <c r="G85" s="56"/>
      <c r="H85" s="56"/>
      <c r="I85" s="56"/>
      <c r="J85" s="56"/>
      <c r="K85" s="56"/>
    </row>
    <row r="86" spans="1:11" x14ac:dyDescent="0.35">
      <c r="A86" s="5" t="s">
        <v>234</v>
      </c>
      <c r="B86" s="7" t="s">
        <v>128</v>
      </c>
      <c r="C86" s="59">
        <v>0.65296944615384622</v>
      </c>
      <c r="D86" s="59">
        <v>1.4771179999999999</v>
      </c>
      <c r="E86" s="59">
        <v>0.65671999999999997</v>
      </c>
      <c r="F86" s="6" t="s">
        <v>17</v>
      </c>
      <c r="G86" s="56"/>
      <c r="H86" s="56"/>
      <c r="I86" s="56"/>
      <c r="J86" s="56"/>
      <c r="K86" s="56"/>
    </row>
    <row r="87" spans="1:11" x14ac:dyDescent="0.35">
      <c r="A87" s="21" t="s">
        <v>247</v>
      </c>
      <c r="B87" s="22" t="s">
        <v>140</v>
      </c>
      <c r="C87" s="58">
        <v>0.65010801634615389</v>
      </c>
      <c r="D87" s="58">
        <v>-5.5375034999999997</v>
      </c>
      <c r="E87" s="58">
        <v>-0.314996</v>
      </c>
      <c r="F87" s="8" t="s">
        <v>11</v>
      </c>
      <c r="G87" s="56"/>
      <c r="H87" s="56"/>
      <c r="I87" s="56"/>
      <c r="J87" s="56"/>
      <c r="K87" s="56"/>
    </row>
    <row r="88" spans="1:11" x14ac:dyDescent="0.35">
      <c r="A88" s="5" t="s">
        <v>244</v>
      </c>
      <c r="B88" s="7" t="s">
        <v>158</v>
      </c>
      <c r="C88" s="59">
        <v>0.64951031730769226</v>
      </c>
      <c r="D88" s="59">
        <v>-11.013794000000001</v>
      </c>
      <c r="E88" s="59">
        <v>-1.0239199999999999</v>
      </c>
      <c r="F88" s="6" t="s">
        <v>165</v>
      </c>
      <c r="G88" s="56"/>
      <c r="H88" s="56"/>
      <c r="I88" s="56"/>
      <c r="J88" s="56"/>
      <c r="K88" s="56"/>
    </row>
    <row r="89" spans="1:11" x14ac:dyDescent="0.35">
      <c r="A89" s="21" t="s">
        <v>238</v>
      </c>
      <c r="B89" s="22" t="s">
        <v>124</v>
      </c>
      <c r="C89" s="58">
        <v>0.63820510480769232</v>
      </c>
      <c r="D89" s="58">
        <v>-1.3630798</v>
      </c>
      <c r="E89" s="58">
        <v>-7.2697500000000012E-2</v>
      </c>
      <c r="F89" s="8" t="s">
        <v>164</v>
      </c>
      <c r="G89" s="56"/>
      <c r="H89" s="56"/>
      <c r="I89" s="56"/>
      <c r="J89" s="56"/>
      <c r="K89" s="56"/>
    </row>
    <row r="90" spans="1:11" x14ac:dyDescent="0.35">
      <c r="A90" s="5" t="s">
        <v>259</v>
      </c>
      <c r="B90" s="7" t="s">
        <v>260</v>
      </c>
      <c r="C90" s="59">
        <v>0.60156019519230775</v>
      </c>
      <c r="D90" s="59">
        <v>5.6990177000000006</v>
      </c>
      <c r="E90" s="59">
        <v>1.9979996</v>
      </c>
      <c r="F90" s="6" t="s">
        <v>164</v>
      </c>
      <c r="G90" s="56"/>
      <c r="H90" s="56"/>
      <c r="I90" s="56"/>
      <c r="J90" s="56"/>
      <c r="K90" s="56"/>
    </row>
    <row r="91" spans="1:11" x14ac:dyDescent="0.35">
      <c r="A91" s="21" t="s">
        <v>231</v>
      </c>
      <c r="B91" s="22" t="s">
        <v>147</v>
      </c>
      <c r="C91" s="58">
        <v>0.58239396346153849</v>
      </c>
      <c r="D91" s="58">
        <v>-0.56856249999999997</v>
      </c>
      <c r="E91" s="58">
        <v>0.66879149999999998</v>
      </c>
      <c r="F91" s="8" t="s">
        <v>17</v>
      </c>
      <c r="G91" s="56"/>
      <c r="H91" s="56"/>
      <c r="I91" s="56"/>
      <c r="J91" s="56"/>
      <c r="K91" s="56"/>
    </row>
    <row r="92" spans="1:11" x14ac:dyDescent="0.35">
      <c r="A92" s="5" t="s">
        <v>254</v>
      </c>
      <c r="B92" s="7" t="s">
        <v>255</v>
      </c>
      <c r="C92" s="59">
        <v>0.57061862086538462</v>
      </c>
      <c r="D92" s="59">
        <v>-16.694113999999999</v>
      </c>
      <c r="E92" s="59">
        <v>-0.50451099999999993</v>
      </c>
      <c r="F92" s="6" t="s">
        <v>15</v>
      </c>
      <c r="G92" s="56"/>
      <c r="H92" s="56"/>
      <c r="I92" s="56"/>
      <c r="J92" s="56"/>
      <c r="K92" s="56"/>
    </row>
    <row r="93" spans="1:11" x14ac:dyDescent="0.35">
      <c r="A93" s="21" t="s">
        <v>239</v>
      </c>
      <c r="B93" s="22" t="s">
        <v>156</v>
      </c>
      <c r="C93" s="58">
        <v>0.55241684903846144</v>
      </c>
      <c r="D93" s="58">
        <v>-1.5147254999999999</v>
      </c>
      <c r="E93" s="58">
        <v>-2.63445E-2</v>
      </c>
      <c r="F93" s="8" t="s">
        <v>14</v>
      </c>
      <c r="G93" s="56"/>
      <c r="H93" s="56"/>
      <c r="I93" s="56"/>
      <c r="J93" s="56"/>
      <c r="K93" s="56"/>
    </row>
    <row r="94" spans="1:11" x14ac:dyDescent="0.35">
      <c r="A94" s="5" t="s">
        <v>230</v>
      </c>
      <c r="B94" s="7" t="s">
        <v>126</v>
      </c>
      <c r="C94" s="59">
        <v>0.50213335462778852</v>
      </c>
      <c r="D94" s="59">
        <v>0.56571106675000027</v>
      </c>
      <c r="E94" s="59">
        <v>-0.10973530065999999</v>
      </c>
      <c r="F94" s="6" t="s">
        <v>17</v>
      </c>
      <c r="G94" s="56"/>
      <c r="H94" s="56"/>
      <c r="I94" s="56"/>
      <c r="J94" s="56"/>
      <c r="K94" s="56"/>
    </row>
    <row r="95" spans="1:11" x14ac:dyDescent="0.35">
      <c r="A95" s="21" t="s">
        <v>249</v>
      </c>
      <c r="B95" s="22" t="s">
        <v>159</v>
      </c>
      <c r="C95" s="58">
        <v>0.4833041413461539</v>
      </c>
      <c r="D95" s="58">
        <v>0.61652800000000008</v>
      </c>
      <c r="E95" s="58">
        <v>-0.52501399999999998</v>
      </c>
      <c r="F95" s="8" t="s">
        <v>14</v>
      </c>
      <c r="G95" s="56"/>
      <c r="H95" s="56"/>
      <c r="I95" s="56"/>
      <c r="J95" s="56"/>
      <c r="K95" s="56"/>
    </row>
    <row r="96" spans="1:11" x14ac:dyDescent="0.35">
      <c r="A96" s="5" t="s">
        <v>245</v>
      </c>
      <c r="B96" s="7" t="s">
        <v>161</v>
      </c>
      <c r="C96" s="59">
        <v>0.44687291826923081</v>
      </c>
      <c r="D96" s="59">
        <v>-5.3516890000000004</v>
      </c>
      <c r="E96" s="59">
        <v>0.11176700000000001</v>
      </c>
      <c r="F96" s="6" t="s">
        <v>10</v>
      </c>
      <c r="G96" s="56"/>
      <c r="H96" s="56"/>
      <c r="I96" s="56"/>
      <c r="J96" s="56"/>
      <c r="K96" s="56"/>
    </row>
    <row r="97" spans="1:11" x14ac:dyDescent="0.35">
      <c r="A97" s="21" t="s">
        <v>237</v>
      </c>
      <c r="B97" s="22" t="s">
        <v>157</v>
      </c>
      <c r="C97" s="58">
        <v>0.42488655014807702</v>
      </c>
      <c r="D97" s="58">
        <v>7.5217128494999992</v>
      </c>
      <c r="E97" s="58">
        <v>0.9635978085000001</v>
      </c>
      <c r="F97" s="8" t="s">
        <v>165</v>
      </c>
      <c r="G97" s="56"/>
      <c r="H97" s="56"/>
      <c r="I97" s="56"/>
      <c r="J97" s="56"/>
      <c r="K97" s="56"/>
    </row>
    <row r="98" spans="1:11" x14ac:dyDescent="0.35">
      <c r="A98" s="5" t="s">
        <v>261</v>
      </c>
      <c r="B98" s="7" t="s">
        <v>262</v>
      </c>
      <c r="C98" s="59">
        <v>0.41324487307692309</v>
      </c>
      <c r="D98" s="59">
        <v>6.2444980000000001</v>
      </c>
      <c r="E98" s="59">
        <v>0.34156500000000001</v>
      </c>
      <c r="F98" s="6" t="s">
        <v>11</v>
      </c>
      <c r="G98" s="56"/>
      <c r="H98" s="56"/>
      <c r="I98" s="56"/>
      <c r="J98" s="56"/>
      <c r="K98" s="56"/>
    </row>
    <row r="99" spans="1:11" x14ac:dyDescent="0.35">
      <c r="A99" s="21" t="s">
        <v>246</v>
      </c>
      <c r="B99" s="22" t="s">
        <v>134</v>
      </c>
      <c r="C99" s="58">
        <v>0.38121343749999997</v>
      </c>
      <c r="D99" s="58">
        <v>-1.8111505000000001</v>
      </c>
      <c r="E99" s="58">
        <v>-0.176094</v>
      </c>
      <c r="F99" s="8" t="s">
        <v>17</v>
      </c>
      <c r="G99" s="56"/>
      <c r="H99" s="56"/>
      <c r="I99" s="56"/>
      <c r="J99" s="56"/>
      <c r="K99" s="56"/>
    </row>
    <row r="100" spans="1:11" x14ac:dyDescent="0.35">
      <c r="A100" s="5" t="s">
        <v>268</v>
      </c>
      <c r="B100" s="7" t="s">
        <v>269</v>
      </c>
      <c r="C100" s="59">
        <v>0.36433142403846153</v>
      </c>
      <c r="D100" s="59">
        <v>0.64732519999999993</v>
      </c>
      <c r="E100" s="59">
        <v>-0.18775149999999999</v>
      </c>
      <c r="F100" s="6" t="s">
        <v>11</v>
      </c>
      <c r="G100" s="56"/>
      <c r="H100" s="56"/>
      <c r="I100" s="56"/>
      <c r="J100" s="56"/>
      <c r="K100" s="56"/>
    </row>
    <row r="101" spans="1:11" x14ac:dyDescent="0.35">
      <c r="A101" s="79" t="s">
        <v>252</v>
      </c>
      <c r="B101" s="80" t="s">
        <v>253</v>
      </c>
      <c r="C101" s="81">
        <v>0.36181844230769233</v>
      </c>
      <c r="D101" s="81">
        <v>0.32954800000000001</v>
      </c>
      <c r="E101" s="81">
        <v>-0.101387</v>
      </c>
      <c r="F101" s="9" t="s">
        <v>16</v>
      </c>
      <c r="G101" s="56"/>
      <c r="H101" s="56"/>
      <c r="I101" s="56"/>
      <c r="J101" s="56"/>
      <c r="K101" s="56"/>
    </row>
    <row r="102" spans="1:11" x14ac:dyDescent="0.35">
      <c r="A102" s="48"/>
      <c r="B102" s="10"/>
      <c r="C102" s="10"/>
      <c r="D102" s="10"/>
      <c r="E102" s="10"/>
      <c r="F102" s="49"/>
      <c r="H102" s="42"/>
      <c r="J102" s="43"/>
    </row>
    <row r="105" spans="1:11" x14ac:dyDescent="0.35">
      <c r="A105" s="11" t="s">
        <v>82</v>
      </c>
    </row>
    <row r="106" spans="1:11" x14ac:dyDescent="0.35">
      <c r="A106" s="11" t="s">
        <v>144</v>
      </c>
    </row>
    <row r="107" spans="1:11" x14ac:dyDescent="0.35">
      <c r="A107" s="11" t="s">
        <v>143</v>
      </c>
    </row>
    <row r="108" spans="1:11" x14ac:dyDescent="0.35">
      <c r="A108" s="11" t="s">
        <v>149</v>
      </c>
    </row>
    <row r="109" spans="1:11" x14ac:dyDescent="0.3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3 B67 B8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Emelia Tan Wan Yi</cp:lastModifiedBy>
  <cp:lastPrinted>2021-05-10T01:23:04Z</cp:lastPrinted>
  <dcterms:created xsi:type="dcterms:W3CDTF">2020-01-13T01:31:10Z</dcterms:created>
  <dcterms:modified xsi:type="dcterms:W3CDTF">2024-06-03T04:36:23Z</dcterms:modified>
</cp:coreProperties>
</file>