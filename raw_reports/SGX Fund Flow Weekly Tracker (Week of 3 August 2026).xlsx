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07B8365E-8DB6-4645-87D0-83A5855F2555}" xr6:coauthVersionLast="47" xr6:coauthVersionMax="47" xr10:uidLastSave="{00000000-0000-0000-0000-000000000000}"/>
  <bookViews>
    <workbookView xWindow="-105" yWindow="-1620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<sst xmlns="http://schemas.openxmlformats.org/spreadsheetml/2006/main" count="139" uniqueCount="85">
  <si>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</si>
  <si>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</si>
  <si>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</si>
  <si>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</si>
  <si>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</si>
  <si>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</si>
  <si>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</si>
  <si>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</si>
  <si>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</si>
  <si>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</si>
  <si>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</si>
  <si>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</si>
  <si>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</si>
  <si>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</si>
  <si>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</si>
  <si>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</si>
  <si>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</si>
  <si>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</si>
  <si>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</si>
  <si>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</si>
  <si>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</si>
  <si>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</si>
  <si>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</si>
  <si>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</si>
  <si>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</si>
  <si>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</si>
  <si>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</si>
  <si>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</si>
  <si>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</si>
  <si>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</si>
  <si>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</si>
  <si>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</si>
  <si>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</si>
  <si>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</si>
  <si>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</si>
  <si>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</si>
  <si>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</si>
  <si>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</si>
  <si>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</si>
  <si>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</si>
  <si>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ST Engineering</t>
  </si>
  <si>
    <t>S63</t>
  </si>
  <si>
    <t>SIA</t>
  </si>
  <si>
    <t>C6L</t>
  </si>
  <si>
    <t>Keppel</t>
  </si>
  <si>
    <t>BN4</t>
  </si>
  <si>
    <t>Keppel DC REIT</t>
  </si>
  <si>
    <t>AJBU</t>
  </si>
  <si>
    <t>iFast Corporation</t>
  </si>
  <si>
    <t>AIY</t>
  </si>
  <si>
    <t>Yangzijiang Shipbuilding</t>
  </si>
  <si>
    <t>BS6</t>
  </si>
  <si>
    <t>CapitaLand Ascendas REIT</t>
  </si>
  <si>
    <t>A17U</t>
  </si>
  <si>
    <t>UMS</t>
  </si>
  <si>
    <t>558</t>
  </si>
  <si>
    <t>CapitaLand Investment</t>
  </si>
  <si>
    <t>9CI</t>
  </si>
  <si>
    <t>Seatrium</t>
  </si>
  <si>
    <t>5E2</t>
  </si>
  <si>
    <t xml:space="preserve">AEM </t>
  </si>
  <si>
    <t>AWX</t>
  </si>
  <si>
    <t>Venture Corporation</t>
  </si>
  <si>
    <t>V03</t>
  </si>
  <si>
    <t>SATS</t>
  </si>
  <si>
    <t>S58</t>
  </si>
  <si>
    <t>UOL</t>
  </si>
  <si>
    <t>U14</t>
  </si>
  <si>
    <t>Mapletree Logistics Trust</t>
  </si>
  <si>
    <t>M44U</t>
  </si>
  <si>
    <t>Jardine Matheson</t>
  </si>
  <si>
    <t>J36</t>
  </si>
  <si>
    <t>CapitaLand Ascott Trust</t>
  </si>
  <si>
    <t>HMN</t>
  </si>
  <si>
    <t>Sheng Siong</t>
  </si>
  <si>
    <t>OV8</t>
  </si>
  <si>
    <t xml:space="preserve">Frasers Centrepoint Trust </t>
  </si>
  <si>
    <t>J69U</t>
  </si>
  <si>
    <t>Haw Par</t>
  </si>
  <si>
    <t>H02</t>
  </si>
  <si>
    <t>PC Partner</t>
  </si>
  <si>
    <t>PCT</t>
  </si>
  <si>
    <t>Week of 3 August 2026</t>
  </si>
  <si>
    <r>
      <t xml:space="preserve">Institutional investors net </t>
    </r>
    <r>
      <rPr>
        <b/>
        <sz val="11"/>
        <rFont val="Arial"/>
        <family val="2"/>
      </rPr>
      <t>sell</t>
    </r>
    <r>
      <rPr>
        <sz val="11"/>
        <rFont val="Arial"/>
        <family val="2"/>
      </rPr>
      <t xml:space="preserve"> (-S$167.7m) vs. (-S$47.8m) a week ago</t>
    </r>
  </si>
  <si>
    <r>
      <t xml:space="preserve">Retail investors net </t>
    </r>
    <r>
      <rPr>
        <b/>
        <sz val="11"/>
        <rFont val="Arial"/>
        <family val="2"/>
      </rPr>
      <t>buy</t>
    </r>
    <r>
      <rPr>
        <sz val="11"/>
        <rFont val="Arial"/>
        <family val="2"/>
      </rPr>
      <t xml:space="preserve"> (+S$153.9m) vs. (+S$161.8m)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</si>
</sst>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82</v>
      </c>
      <c r="C1" s="59"/>
    </row>
    <row r="2" spans="1:13" x14ac:dyDescent="0.3">
      <c r="A2" s="52" t="s">
        <v>83</v>
      </c>
      <c r="I2" s="40"/>
    </row>
    <row r="3" spans="1:13" x14ac:dyDescent="0.3">
      <c r="A3" s="52" t="s">
        <v>84</v>
      </c>
      <c r="I3" s="40"/>
    </row>
    <row r="5" spans="1:13" ht="29.25" customHeight="1" x14ac:dyDescent="0.3">
      <c r="A5" s="3" t="s">
        <v>0</v>
      </c>
      <c r="B5" s="3" t="s">
        <v>1</v>
      </c>
      <c r="C5" s="4" t="s">
        <v>82</v>
      </c>
      <c r="D5" s="43" t="s">
        <v>2</v>
      </c>
      <c r="E5" s="43" t="s">
        <v>1</v>
      </c>
      <c r="F5" s="44" t="str">
        <f>+C5</f>
        <v>Week of 3 August 2026</v>
      </c>
      <c r="I5" s="2"/>
    </row>
    <row r="6" spans="1:13" ht="14.5" x14ac:dyDescent="0.35">
      <c r="A6" s="28" t="s">
        <v>34</v>
      </c>
      <c r="B6" s="46" t="s">
        <v>35</v>
      </c>
      <c r="C6" s="5">
        <v>62.323261000000002</v>
      </c>
      <c r="D6" s="28" t="s">
        <v>22</v>
      </c>
      <c r="E6" s="46" t="s">
        <v>21</v>
      </c>
      <c r="F6" s="5">
        <v>-160.56697700000001</v>
      </c>
      <c r="G6" s="61"/>
      <c r="H6"/>
      <c r="I6" s="2"/>
      <c r="M6"/>
    </row>
    <row r="7" spans="1:13" ht="14.5" x14ac:dyDescent="0.35">
      <c r="A7" s="29" t="s">
        <v>50</v>
      </c>
      <c r="B7" s="9" t="s">
        <v>51</v>
      </c>
      <c r="C7" s="7">
        <v>40.695023999999997</v>
      </c>
      <c r="D7" s="29" t="s">
        <v>36</v>
      </c>
      <c r="E7" s="9" t="s">
        <v>37</v>
      </c>
      <c r="F7" s="7">
        <v>-118.26486939999999</v>
      </c>
      <c r="G7" s="61"/>
      <c r="H7"/>
      <c r="I7" s="2"/>
      <c r="L7"/>
      <c r="M7"/>
    </row>
    <row r="8" spans="1:13" ht="14.5" x14ac:dyDescent="0.35">
      <c r="A8" s="30" t="s">
        <v>60</v>
      </c>
      <c r="B8" s="46" t="s">
        <v>61</v>
      </c>
      <c r="C8" s="5">
        <v>28.565836999999998</v>
      </c>
      <c r="D8" s="30" t="s">
        <v>38</v>
      </c>
      <c r="E8" s="46" t="s">
        <v>39</v>
      </c>
      <c r="F8" s="5">
        <v>-26.332916999999998</v>
      </c>
      <c r="G8" s="61"/>
      <c r="H8"/>
      <c r="I8" s="2"/>
      <c r="L8"/>
      <c r="M8"/>
    </row>
    <row r="9" spans="1:13" ht="14.5" x14ac:dyDescent="0.35">
      <c r="A9" s="29" t="s">
        <v>42</v>
      </c>
      <c r="B9" s="9" t="s">
        <v>43</v>
      </c>
      <c r="C9" s="7">
        <v>19.430024</v>
      </c>
      <c r="D9" s="29" t="s">
        <v>40</v>
      </c>
      <c r="E9" s="9" t="s">
        <v>41</v>
      </c>
      <c r="F9" s="7">
        <v>-21.554918000000001</v>
      </c>
      <c r="G9" s="61"/>
      <c r="H9"/>
      <c r="I9" s="2"/>
      <c r="L9"/>
      <c r="M9"/>
    </row>
    <row r="10" spans="1:13" ht="14.5" x14ac:dyDescent="0.35">
      <c r="A10" s="30" t="s">
        <v>56</v>
      </c>
      <c r="B10" s="46" t="s">
        <v>57</v>
      </c>
      <c r="C10" s="5">
        <v>16.957197000000001</v>
      </c>
      <c r="D10" s="30" t="s">
        <v>70</v>
      </c>
      <c r="E10" s="46" t="s">
        <v>71</v>
      </c>
      <c r="F10" s="5">
        <v>-15.6237883563</v>
      </c>
      <c r="G10" s="61"/>
      <c r="H10"/>
      <c r="I10" s="2"/>
      <c r="L10"/>
      <c r="M10"/>
    </row>
    <row r="11" spans="1:13" ht="14.5" x14ac:dyDescent="0.35">
      <c r="A11" s="29" t="s">
        <v>64</v>
      </c>
      <c r="B11" s="9" t="s">
        <v>65</v>
      </c>
      <c r="C11" s="7">
        <v>13.423152999999999</v>
      </c>
      <c r="D11" s="29" t="s">
        <v>72</v>
      </c>
      <c r="E11" s="9" t="s">
        <v>73</v>
      </c>
      <c r="F11" s="7">
        <v>-14.495528</v>
      </c>
      <c r="G11" s="61"/>
      <c r="H11"/>
      <c r="I11" s="2"/>
      <c r="L11"/>
      <c r="M11"/>
    </row>
    <row r="12" spans="1:13" ht="14.5" x14ac:dyDescent="0.35">
      <c r="A12" s="30" t="s">
        <v>66</v>
      </c>
      <c r="B12" s="46" t="s">
        <v>67</v>
      </c>
      <c r="C12" s="5">
        <v>13.001797</v>
      </c>
      <c r="D12" s="30" t="s">
        <v>48</v>
      </c>
      <c r="E12" s="46" t="s">
        <v>49</v>
      </c>
      <c r="F12" s="5">
        <v>-13.340413</v>
      </c>
      <c r="G12" s="61"/>
      <c r="H12"/>
      <c r="I12" s="2"/>
      <c r="L12"/>
      <c r="M12"/>
    </row>
    <row r="13" spans="1:13" ht="14.5" x14ac:dyDescent="0.35">
      <c r="A13" s="29" t="s">
        <v>54</v>
      </c>
      <c r="B13" s="9" t="s">
        <v>55</v>
      </c>
      <c r="C13" s="7">
        <v>11.237505000000001</v>
      </c>
      <c r="D13" s="29" t="s">
        <v>74</v>
      </c>
      <c r="E13" s="9" t="s">
        <v>75</v>
      </c>
      <c r="F13" s="7">
        <v>-12.710664</v>
      </c>
      <c r="G13" s="61"/>
      <c r="H13"/>
      <c r="I13" s="2"/>
      <c r="L13"/>
      <c r="M13"/>
    </row>
    <row r="14" spans="1:13" ht="14.5" x14ac:dyDescent="0.35">
      <c r="A14" s="30" t="s">
        <v>68</v>
      </c>
      <c r="B14" s="46" t="s">
        <v>69</v>
      </c>
      <c r="C14" s="5">
        <v>9.0993010000000005</v>
      </c>
      <c r="D14" s="30" t="s">
        <v>76</v>
      </c>
      <c r="E14" s="46" t="s">
        <v>77</v>
      </c>
      <c r="F14" s="5">
        <v>-8.1700330000000001</v>
      </c>
      <c r="G14" s="61"/>
      <c r="H14"/>
      <c r="I14" s="2"/>
      <c r="L14"/>
      <c r="M14"/>
    </row>
    <row r="15" spans="1:13" ht="14.5" x14ac:dyDescent="0.35">
      <c r="A15" s="31" t="s">
        <v>58</v>
      </c>
      <c r="B15" s="27" t="s">
        <v>59</v>
      </c>
      <c r="C15" s="8">
        <v>8.0972770000000001</v>
      </c>
      <c r="D15" s="31" t="s">
        <v>78</v>
      </c>
      <c r="E15" s="27" t="s">
        <v>79</v>
      </c>
      <c r="F15" s="8">
        <v>-5.1107950000000004</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3 August 2026</v>
      </c>
      <c r="D18" s="45" t="s">
        <v>4</v>
      </c>
      <c r="E18" s="43" t="s">
        <v>1</v>
      </c>
      <c r="F18" s="44" t="str">
        <f>+C18</f>
        <v>Week of 3 August 2026</v>
      </c>
    </row>
    <row r="19" spans="1:9" x14ac:dyDescent="0.3">
      <c r="A19" s="30" t="s">
        <v>38</v>
      </c>
      <c r="B19" s="46" t="s">
        <v>39</v>
      </c>
      <c r="C19" s="16">
        <v>96.607647</v>
      </c>
      <c r="D19" s="30" t="s">
        <v>50</v>
      </c>
      <c r="E19" s="15" t="s">
        <v>51</v>
      </c>
      <c r="F19" s="5">
        <v>-92.879863999999998</v>
      </c>
      <c r="I19" s="2"/>
    </row>
    <row r="20" spans="1:9" ht="14.5" x14ac:dyDescent="0.35">
      <c r="A20" s="29" t="s">
        <v>36</v>
      </c>
      <c r="B20" s="9" t="s">
        <v>37</v>
      </c>
      <c r="C20" s="7">
        <v>69.837391699999998</v>
      </c>
      <c r="D20" s="29" t="s">
        <v>60</v>
      </c>
      <c r="E20" s="17" t="s">
        <v>61</v>
      </c>
      <c r="F20" s="7">
        <v>-32.284655999999998</v>
      </c>
      <c r="G20" s="61"/>
      <c r="I20" s="2"/>
    </row>
    <row r="21" spans="1:9" ht="14.5" x14ac:dyDescent="0.35">
      <c r="A21" s="30" t="s">
        <v>44</v>
      </c>
      <c r="B21" s="46" t="s">
        <v>45</v>
      </c>
      <c r="C21" s="5">
        <v>37.761941</v>
      </c>
      <c r="D21" s="30" t="s">
        <v>34</v>
      </c>
      <c r="E21" s="6" t="s">
        <v>35</v>
      </c>
      <c r="F21" s="5">
        <v>-29.108084000000002</v>
      </c>
      <c r="G21" s="61"/>
      <c r="I21" s="2"/>
    </row>
    <row r="22" spans="1:9" ht="14.5" x14ac:dyDescent="0.35">
      <c r="A22" s="29" t="s">
        <v>22</v>
      </c>
      <c r="B22" s="9" t="s">
        <v>21</v>
      </c>
      <c r="C22" s="7">
        <v>25.844593</v>
      </c>
      <c r="D22" s="29" t="s">
        <v>56</v>
      </c>
      <c r="E22" s="17" t="s">
        <v>57</v>
      </c>
      <c r="F22" s="7">
        <v>-16.798292</v>
      </c>
      <c r="G22" s="61"/>
      <c r="I22" s="2"/>
    </row>
    <row r="23" spans="1:9" ht="14.5" x14ac:dyDescent="0.35">
      <c r="A23" s="30" t="s">
        <v>52</v>
      </c>
      <c r="B23" s="68" t="s">
        <v>53</v>
      </c>
      <c r="C23" s="69">
        <v>21.683295999999999</v>
      </c>
      <c r="D23" s="30" t="s">
        <v>64</v>
      </c>
      <c r="E23" s="6" t="s">
        <v>65</v>
      </c>
      <c r="F23" s="5">
        <v>-16.323312000000001</v>
      </c>
      <c r="G23" s="61"/>
      <c r="I23" s="2"/>
    </row>
    <row r="24" spans="1:9" ht="14.5" x14ac:dyDescent="0.35">
      <c r="A24" s="70" t="s">
        <v>74</v>
      </c>
      <c r="B24" s="71" t="s">
        <v>75</v>
      </c>
      <c r="C24" s="72">
        <v>18.109252999999999</v>
      </c>
      <c r="D24" s="29" t="s">
        <v>62</v>
      </c>
      <c r="E24" s="17" t="s">
        <v>63</v>
      </c>
      <c r="F24" s="7">
        <v>-14.306443</v>
      </c>
      <c r="G24" s="61"/>
      <c r="I24" s="2"/>
    </row>
    <row r="25" spans="1:9" ht="14.5" x14ac:dyDescent="0.35">
      <c r="A25" s="30" t="s">
        <v>72</v>
      </c>
      <c r="B25" s="68" t="s">
        <v>73</v>
      </c>
      <c r="C25" s="69">
        <v>15.655825500000001</v>
      </c>
      <c r="D25" s="30" t="s">
        <v>54</v>
      </c>
      <c r="E25" s="6" t="s">
        <v>55</v>
      </c>
      <c r="F25" s="5">
        <v>-13.097403</v>
      </c>
      <c r="G25" s="61"/>
      <c r="I25" s="2"/>
    </row>
    <row r="26" spans="1:9" ht="14.5" x14ac:dyDescent="0.35">
      <c r="A26" s="70" t="s">
        <v>46</v>
      </c>
      <c r="B26" s="71" t="s">
        <v>47</v>
      </c>
      <c r="C26" s="72">
        <v>13.999632999999999</v>
      </c>
      <c r="D26" s="29" t="s">
        <v>58</v>
      </c>
      <c r="E26" s="17" t="s">
        <v>59</v>
      </c>
      <c r="F26" s="7">
        <v>-11.429923</v>
      </c>
      <c r="G26" s="61"/>
      <c r="I26" s="2"/>
    </row>
    <row r="27" spans="1:9" ht="14.5" x14ac:dyDescent="0.35">
      <c r="A27" s="30" t="s">
        <v>48</v>
      </c>
      <c r="B27" s="46" t="s">
        <v>49</v>
      </c>
      <c r="C27" s="5">
        <v>13.154731999999999</v>
      </c>
      <c r="D27" s="30" t="s">
        <v>80</v>
      </c>
      <c r="E27" s="46" t="s">
        <v>81</v>
      </c>
      <c r="F27" s="5">
        <v>-10.021292000000001</v>
      </c>
      <c r="G27" s="61"/>
      <c r="I27" s="2"/>
    </row>
    <row r="28" spans="1:9" ht="14.5" x14ac:dyDescent="0.35">
      <c r="A28" s="27" t="s">
        <v>76</v>
      </c>
      <c r="B28" s="56" t="s">
        <v>77</v>
      </c>
      <c r="C28" s="8">
        <v>12.489622000000001</v>
      </c>
      <c r="D28" s="67" t="s">
        <v>40</v>
      </c>
      <c r="E28" s="56" t="s">
        <v>41</v>
      </c>
      <c r="F28" s="8">
        <v>-7.6121619999999997</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5 B13 E25: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-318.15638253531006</v>
      </c>
      <c r="B3" s="54">
        <v>46216</v>
      </c>
      <c r="C3" s="14">
        <v>2.4052219642199999</v>
      </c>
      <c r="D3" s="14">
        <v>-13.140752075800002</v>
      </c>
      <c r="E3" s="14">
        <v>1.9702136999999997</v>
      </c>
      <c r="F3" s="14">
        <v>-136.63735779999999</v>
      </c>
      <c r="G3" s="14">
        <v>-0.27981558649999938</v>
      </c>
      <c r="H3" s="14">
        <v>86.581516085399997</v>
      </c>
      <c r="I3" s="14">
        <v>0.83672469999999977</v>
      </c>
      <c r="J3" s="14">
        <v>-3.2788695725999983</v>
      </c>
      <c r="K3" s="14">
        <v>-58.38875995003</v>
      </c>
      <c r="L3" s="14">
        <v>-72.929378500000013</v>
      </c>
      <c r="M3" s="14">
        <v>-49.576050700000003</v>
      </c>
      <c r="N3" s="14">
        <v>-75.719074800000016</v>
      </c>
    </row>
    <row r="4" spans="1:15" x14ac:dyDescent="0.3">
      <c r="A4" s="38">
        <f>SUM(C4:N4)</f>
        <v>-54.338351468980036</v>
      </c>
      <c r="B4" s="42">
        <v>46223</v>
      </c>
      <c r="C4" s="53">
        <v>-1.2243372690700003</v>
      </c>
      <c r="D4" s="53">
        <v>22.041313484199996</v>
      </c>
      <c r="E4" s="53">
        <v>-1.186374</v>
      </c>
      <c r="F4" s="53">
        <v>-176.1883875</v>
      </c>
      <c r="G4" s="53">
        <v>0.56894193520000191</v>
      </c>
      <c r="H4" s="53">
        <v>96.283717776119971</v>
      </c>
      <c r="I4" s="53">
        <v>1.1818408000000005</v>
      </c>
      <c r="J4" s="53">
        <v>10.080365013600002</v>
      </c>
      <c r="K4" s="53">
        <v>22.648836990970008</v>
      </c>
      <c r="L4" s="53">
        <v>16.828613050000001</v>
      </c>
      <c r="M4" s="53">
        <v>4.741211250000001</v>
      </c>
      <c r="N4" s="53">
        <v>-50.114093000000004</v>
      </c>
    </row>
    <row r="5" spans="1:15" x14ac:dyDescent="0.3">
      <c r="A5" s="38">
        <f>SUM(C5:N5)</f>
        <v>-47.829518320330045</v>
      </c>
      <c r="B5" s="66">
        <v>46230</v>
      </c>
      <c r="C5" s="14">
        <v>2.0699702560200004</v>
      </c>
      <c r="D5" s="14">
        <v>10.612029431999998</v>
      </c>
      <c r="E5" s="14">
        <v>0.48118709999999998</v>
      </c>
      <c r="F5" s="14">
        <v>-170.48185860000001</v>
      </c>
      <c r="G5" s="14">
        <v>-5.5409980041000004</v>
      </c>
      <c r="H5" s="14">
        <v>50.018112621529994</v>
      </c>
      <c r="I5" s="14">
        <v>-1.2872825000000001</v>
      </c>
      <c r="J5" s="14">
        <v>12.681153542799997</v>
      </c>
      <c r="K5" s="14">
        <v>14.740443581420003</v>
      </c>
      <c r="L5" s="14">
        <v>-120.93934685000002</v>
      </c>
      <c r="M5" s="14">
        <v>164.32504739999999</v>
      </c>
      <c r="N5" s="14">
        <v>-4.507976300000001</v>
      </c>
    </row>
    <row r="6" spans="1:15" ht="14.5" x14ac:dyDescent="0.35">
      <c r="A6" s="38">
        <f>SUM(C6:N6)</f>
        <v>-167.67399951827005</v>
      </c>
      <c r="B6" s="58">
        <v>46237</v>
      </c>
      <c r="C6" s="53">
        <v>-4.3076625545699994</v>
      </c>
      <c r="D6" s="53">
        <v>0.38513671329999966</v>
      </c>
      <c r="E6" s="53">
        <v>-6.2908800000000001E-2</v>
      </c>
      <c r="F6" s="53">
        <v>-109.86686390000003</v>
      </c>
      <c r="G6" s="53">
        <v>-7.0380645749000008</v>
      </c>
      <c r="H6" s="53">
        <v>43.169706340049999</v>
      </c>
      <c r="I6" s="53">
        <v>6.4509719000000008</v>
      </c>
      <c r="J6" s="53">
        <v>15.879312735700001</v>
      </c>
      <c r="K6" s="53">
        <v>-21.20302597785</v>
      </c>
      <c r="L6" s="53">
        <v>23.518386999999997</v>
      </c>
      <c r="M6" s="53">
        <v>-117.6638203</v>
      </c>
      <c r="N6" s="53">
        <v>3.0648319000000002</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516.7705578750099</v>
      </c>
      <c r="B3" s="47">
        <v>46216</v>
      </c>
      <c r="C3" s="60">
        <v>-1.9313568742400005</v>
      </c>
      <c r="D3" s="60">
        <v>-6.9683101862000001</v>
      </c>
      <c r="E3" s="60">
        <v>0.58409460000000013</v>
      </c>
      <c r="F3" s="60">
        <v>299.35030139999998</v>
      </c>
      <c r="G3" s="60">
        <v>0.47851634180000036</v>
      </c>
      <c r="H3" s="60">
        <v>31.629571907289993</v>
      </c>
      <c r="I3" s="60">
        <v>-1.4636403</v>
      </c>
      <c r="J3" s="60">
        <v>11.355474471699997</v>
      </c>
      <c r="K3" s="60">
        <v>-10.691161535339997</v>
      </c>
      <c r="L3" s="60">
        <v>86.934243649999985</v>
      </c>
      <c r="M3" s="60">
        <v>23.100819299999998</v>
      </c>
      <c r="N3" s="60">
        <v>84.392005099999992</v>
      </c>
      <c r="P3" s="13"/>
    </row>
    <row r="4" spans="1:20" x14ac:dyDescent="0.3">
      <c r="A4" s="48">
        <f>SUM(C4:N4)</f>
        <v>71.055244489270009</v>
      </c>
      <c r="B4" s="58">
        <v>46223</v>
      </c>
      <c r="C4" s="55">
        <v>3.475227823880001</v>
      </c>
      <c r="D4" s="55">
        <v>-13.874021287399998</v>
      </c>
      <c r="E4" s="55">
        <v>0.30819750000000024</v>
      </c>
      <c r="F4" s="55">
        <v>97.895516299999997</v>
      </c>
      <c r="G4" s="55">
        <v>-1.3027857081000001</v>
      </c>
      <c r="H4" s="55">
        <v>-111.35998621812999</v>
      </c>
      <c r="I4" s="55">
        <v>-3.4341017999999996</v>
      </c>
      <c r="J4" s="55">
        <v>18.6797752658</v>
      </c>
      <c r="K4" s="55">
        <v>14.405844163220003</v>
      </c>
      <c r="L4" s="55">
        <v>-14.51634645</v>
      </c>
      <c r="M4" s="55">
        <v>33.0960112</v>
      </c>
      <c r="N4" s="55">
        <v>47.681913700000003</v>
      </c>
      <c r="P4" s="13"/>
    </row>
    <row r="5" spans="1:20" x14ac:dyDescent="0.3">
      <c r="A5" s="48">
        <f>SUM(C5:N5)</f>
        <v>161.78933046004994</v>
      </c>
      <c r="B5" s="66">
        <v>46230</v>
      </c>
      <c r="C5" s="60">
        <v>-14.028949519839999</v>
      </c>
      <c r="D5" s="60">
        <v>-25.865838059999994</v>
      </c>
      <c r="E5" s="60">
        <v>-0.25455219999999995</v>
      </c>
      <c r="F5" s="60">
        <v>197.90596509999997</v>
      </c>
      <c r="G5" s="60">
        <v>4.4751604970000001</v>
      </c>
      <c r="H5" s="60">
        <v>5.0257704291699952</v>
      </c>
      <c r="I5" s="60">
        <v>1.8769159999999996</v>
      </c>
      <c r="J5" s="60">
        <v>-31.588692005200002</v>
      </c>
      <c r="K5" s="60">
        <v>-15.323113531080001</v>
      </c>
      <c r="L5" s="60">
        <v>115.53402385</v>
      </c>
      <c r="M5" s="60">
        <v>-78.194310200000004</v>
      </c>
      <c r="N5" s="60">
        <v>2.2269500999999994</v>
      </c>
      <c r="P5" s="13"/>
    </row>
    <row r="6" spans="1:20" x14ac:dyDescent="0.3">
      <c r="A6" s="48">
        <f>SUM(C6:N6)</f>
        <v>153.91995260158993</v>
      </c>
      <c r="B6" s="58">
        <v>46237</v>
      </c>
      <c r="C6" s="55">
        <v>14.03731762945</v>
      </c>
      <c r="D6" s="55">
        <v>10.040681425700003</v>
      </c>
      <c r="E6" s="55">
        <v>5.6766999999999929E-3</v>
      </c>
      <c r="F6" s="55">
        <v>73.213340899999992</v>
      </c>
      <c r="G6" s="55">
        <v>6.6208759383999993</v>
      </c>
      <c r="H6" s="55">
        <v>-69.964664523350024</v>
      </c>
      <c r="I6" s="55">
        <v>-7.7421056999999998</v>
      </c>
      <c r="J6" s="55">
        <v>4.4275245698000028</v>
      </c>
      <c r="K6" s="55">
        <v>96.246842061589987</v>
      </c>
      <c r="L6" s="55">
        <v>-50.240634500000013</v>
      </c>
      <c r="M6" s="55">
        <v>68.993619499999994</v>
      </c>
      <c r="N6" s="55">
        <v>8.281478599999998</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2026-08-11T01:49:20Z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