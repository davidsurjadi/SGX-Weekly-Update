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87A61BFC-9361-4A3B-A75F-4E766A89C490}" xr6:coauthVersionLast="47" xr6:coauthVersionMax="47" xr10:uidLastSave="{00000000-0000-0000-0000-000000000000}"/>
  <bookViews>
    <workbookView xWindow="-108" yWindow="-108" windowWidth="23256" windowHeight="12576"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 i="5" l="1"/>
  <c r="D32" i="4" l="1"/>
  <c r="C32" i="4"/>
  <c r="A1" i="4" l="1"/>
  <c r="C18" i="1" l="1"/>
  <c r="F18" i="1" s="1"/>
  <c r="F5" i="1"/>
</calcChain>
</file>

<file path=xl/sharedStrings.xml><?xml version="1.0" encoding="utf-8"?>
<sst xmlns="http://schemas.openxmlformats.org/spreadsheetml/2006/main" count="517" uniqueCount="287">
  <si>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</si>
  <si>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</si>
  <si>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</si>
  <si>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</si>
  <si>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</si>
  <si>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</si>
  <si>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</si>
  <si>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</si>
  <si>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</si>
  <si>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</si>
  <si>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</si>
  <si>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</si>
  <si>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</si>
  <si>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</si>
  <si>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</si>
  <si>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</si>
  <si>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</si>
  <si>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</si>
  <si>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</si>
  <si>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</si>
  <si>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</si>
  <si>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</si>
  <si>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</si>
  <si>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</si>
  <si>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</si>
  <si>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</si>
  <si>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</si>
  <si>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</si>
  <si>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</si>
  <si>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</si>
  <si>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</si>
  <si>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</si>
  <si>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</si>
  <si>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</si>
  <si>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</si>
  <si>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</si>
  <si>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</si>
  <si>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</si>
  <si>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</si>
  <si>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</si>
  <si>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</si>
  <si>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</si>
  <si>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</si>
  <si>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</si>
  <si>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</si>
  <si>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</si>
  <si>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</si>
  <si>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</si>
  <si>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</si>
  <si>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</si>
  <si>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</si>
  <si>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</si>
  <si>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</si>
  <si>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</si>
  <si>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</si>
  <si>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</si>
  <si>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</si>
  <si>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</si>
  <si>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</si>
  <si>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</si>
  <si>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</si>
  <si>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</si>
  <si>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</si>
  <si>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</si>
  <si>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</si>
  <si>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</si>
  <si>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</si>
  <si>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</si>
  <si>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</si>
  <si>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</si>
  <si>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</si>
  <si>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</si>
  <si>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</si>
  <si>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</si>
  <si>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</si>
  <si>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</si>
  <si>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</si>
  <si>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</si>
  <si>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</si>
  <si>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</si>
  <si>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</si>
  <si>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</si>
  <si>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</si>
  <si>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</si>
  <si>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</si>
  <si>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</si>
  <si>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</si>
  <si>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</si>
  <si>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</si>
  <si>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</si>
  <si>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</si>
  <si>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</si>
  <si>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</si>
  <si>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</si>
  <si>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</si>
  <si>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</si>
  <si>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</si>
  <si>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</si>
  <si>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</si>
  <si>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Past 5 Sessions Institution Net Buy (+) / Net Sell (-) (S$M)</t>
  </si>
  <si>
    <t>Sector</t>
  </si>
  <si>
    <t>K71U</t>
  </si>
  <si>
    <t>J91U</t>
  </si>
  <si>
    <t>A7RU</t>
  </si>
  <si>
    <t>5WH</t>
  </si>
  <si>
    <t>C52</t>
  </si>
  <si>
    <t>JYEU</t>
  </si>
  <si>
    <t>E5H</t>
  </si>
  <si>
    <t>J69U</t>
  </si>
  <si>
    <t>E28</t>
  </si>
  <si>
    <t>MZH</t>
  </si>
  <si>
    <t>YF8</t>
  </si>
  <si>
    <t>EB5</t>
  </si>
  <si>
    <t>BSL</t>
  </si>
  <si>
    <t>CGN</t>
  </si>
  <si>
    <t>CJLU</t>
  </si>
  <si>
    <t>NIO</t>
  </si>
  <si>
    <t>CY6U</t>
  </si>
  <si>
    <t>DCRU</t>
  </si>
  <si>
    <t>J85</t>
  </si>
  <si>
    <t>RE4</t>
  </si>
  <si>
    <t>C2PU</t>
  </si>
  <si>
    <t>T13</t>
  </si>
  <si>
    <t>AIY</t>
  </si>
  <si>
    <t>BTOU</t>
  </si>
  <si>
    <t>BVA</t>
  </si>
  <si>
    <t>SK6U</t>
  </si>
  <si>
    <t>O5RU</t>
  </si>
  <si>
    <t>NO4</t>
  </si>
  <si>
    <t>CC3</t>
  </si>
  <si>
    <t>AP4</t>
  </si>
  <si>
    <t>OXMU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</si>
  <si>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</si>
  <si>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</si>
  <si>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</si>
  <si>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</si>
  <si>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</si>
  <si>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</si>
  <si>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</si>
  <si>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</si>
  <si>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</si>
  <si>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</si>
  <si>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</si>
  <si>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</si>
  <si>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</si>
  <si>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</si>
  <si>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</si>
  <si>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</si>
  <si>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</si>
  <si>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</si>
  <si>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</si>
  <si>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</si>
  <si>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</si>
  <si>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</si>
  <si>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H02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</si>
  <si>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</si>
  <si>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</si>
  <si>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</si>
  <si>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</si>
  <si>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</si>
  <si>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</si>
  <si>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</si>
  <si>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</si>
  <si>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</si>
  <si>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</si>
  <si>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</si>
  <si>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</si>
  <si>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</si>
  <si>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</si>
  <si>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</si>
  <si>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</si>
  <si>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</si>
  <si>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</si>
  <si>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</si>
  <si>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</si>
  <si>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</si>
  <si>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</si>
  <si>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</si>
  <si>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</si>
  <si>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</si>
  <si>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</si>
  <si>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</si>
  <si>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</si>
  <si>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</si>
  <si>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</si>
  <si>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</si>
  <si>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</si>
  <si>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</si>
  <si>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</si>
  <si>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</si>
  <si>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</si>
  <si>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</si>
  <si>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</si>
  <si>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</si>
  <si>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</si>
  <si>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</si>
  <si>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</si>
  <si>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</si>
  <si>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</si>
  <si>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</si>
  <si>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</si>
  <si>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</si>
  <si>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</si>
  <si>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</si>
  <si>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</si>
  <si>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</si>
  <si>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</si>
  <si>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</si>
  <si>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</si>
  <si>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</si>
  <si>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</si>
  <si>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</si>
  <si>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</si>
  <si>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</si>
  <si>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</si>
  <si>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</si>
  <si>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</si>
  <si>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</si>
  <si>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</si>
  <si>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</si>
  <si>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</si>
  <si>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</si>
  <si>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</si>
  <si>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</si>
  <si>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</si>
  <si>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</si>
  <si>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</si>
  <si>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</si>
  <si>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</si>
  <si>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</si>
  <si>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</si>
  <si>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</si>
  <si>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RH PetroGas</t>
  </si>
  <si>
    <t>China Aviation</t>
  </si>
  <si>
    <t>MarcoPolo Marine</t>
  </si>
  <si>
    <t>CSE Global</t>
  </si>
  <si>
    <t>Beng Kuang^</t>
  </si>
  <si>
    <t>Best World</t>
  </si>
  <si>
    <t>Haw Par</t>
  </si>
  <si>
    <t>Delfi</t>
  </si>
  <si>
    <t>Yoma Strategic</t>
  </si>
  <si>
    <t>SIA Engineering</t>
  </si>
  <si>
    <t>Source: SGX.</t>
  </si>
  <si>
    <t>Straits Trading</t>
  </si>
  <si>
    <t>S20</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</si>
  <si>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</si>
  <si>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</si>
  <si>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</si>
  <si>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</si>
  <si>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Great Eastern</t>
  </si>
  <si>
    <t>G07</t>
  </si>
  <si>
    <t>5E2</t>
  </si>
  <si>
    <t>Japfa</t>
  </si>
  <si>
    <t>UD2</t>
  </si>
  <si>
    <t>558</t>
  </si>
  <si>
    <t>Valuetronics</t>
  </si>
  <si>
    <t>BN2</t>
  </si>
  <si>
    <t>Mapletree Pan Asia Commercial Trust</t>
  </si>
  <si>
    <t>XZL</t>
  </si>
  <si>
    <t>ARA HTrust USD</t>
  </si>
  <si>
    <t>1MZ</t>
  </si>
  <si>
    <t>NamCheong</t>
  </si>
  <si>
    <t>S7P</t>
  </si>
  <si>
    <t>Soilbuild Const</t>
  </si>
  <si>
    <t>sgx.com/research</t>
  </si>
  <si>
    <t>Seatrium (from 7 May 2024)</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</si>
  <si>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SGX Securities Trading Limited and SGX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</si>
  <si>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To sign up for daily market updates or for more information, please contact research@SGX.com.</t>
  </si>
  <si>
    <t>Suntec REIT</t>
  </si>
  <si>
    <t>Week of 19 August 2024</t>
  </si>
  <si>
    <r>
      <t xml:space="preserve">Institutional investors net </t>
    </r>
    <r>
      <rPr>
        <b/>
        <sz val="11"/>
        <rFont val="Arial"/>
        <family val="2"/>
      </rPr>
      <t>buy</t>
    </r>
    <r>
      <rPr>
        <sz val="11"/>
        <rFont val="Arial"/>
        <family val="2"/>
      </rPr>
      <t xml:space="preserve"> (+S$102.8m) vs. (+S$194.1m) a week ago</t>
    </r>
  </si>
  <si>
    <t xml:space="preserve">Seatrium </t>
  </si>
  <si>
    <t xml:space="preserve">Golden Agri-Resources </t>
  </si>
  <si>
    <t xml:space="preserve">Sembcorp Industries </t>
  </si>
  <si>
    <t xml:space="preserve">Jardine Cycle &amp; Carriage </t>
  </si>
  <si>
    <t xml:space="preserve">Venture Corporation </t>
  </si>
  <si>
    <t xml:space="preserve">Singapore Post </t>
  </si>
  <si>
    <t xml:space="preserve">Delfi </t>
  </si>
  <si>
    <t xml:space="preserve">Olam Group </t>
  </si>
  <si>
    <t xml:space="preserve">Genting Singapore </t>
  </si>
  <si>
    <t xml:space="preserve">Wilmar International </t>
  </si>
  <si>
    <t xml:space="preserve">Riverstone  </t>
  </si>
  <si>
    <t xml:space="preserve">Jardine Matheson  </t>
  </si>
  <si>
    <t>Top Glove Corporation</t>
  </si>
  <si>
    <t>T14</t>
  </si>
  <si>
    <t>TJ DaRenTang USD</t>
  </si>
  <si>
    <r>
      <t xml:space="preserve">Retail investors net </t>
    </r>
    <r>
      <rPr>
        <b/>
        <sz val="11"/>
        <rFont val="Arial"/>
        <family val="2"/>
      </rPr>
      <t>sell</t>
    </r>
    <r>
      <rPr>
        <sz val="11"/>
        <rFont val="Arial"/>
        <family val="2"/>
      </rPr>
      <t xml:space="preserve"> (-S$269.0m) vs. (-S$101.3m)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</si>
</sst>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s>
  <fonts count="19"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4">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70" fontId="3" fillId="0" borderId="0" xfId="0" applyNumberFormat="1" applyFon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65" fontId="3" fillId="0" borderId="0" xfId="0" applyNumberFormat="1" applyFont="1" applyAlignment="1">
      <alignment horizontal="center" vertical="center"/>
    </xf>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0" fontId="14" fillId="4" borderId="4" xfId="0" applyFont="1" applyFill="1" applyBorder="1" applyAlignment="1">
      <alignment vertical="center"/>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15" fontId="3" fillId="0" borderId="13" xfId="0" applyNumberFormat="1" applyFont="1" applyBorder="1" applyAlignment="1">
      <alignment horizontal="left" vertic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4" borderId="4" xfId="0" quotePrefix="1" applyNumberFormat="1" applyFont="1" applyFill="1" applyBorder="1" applyAlignment="1">
      <alignment horizontal="right"/>
    </xf>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69" fontId="3" fillId="0" borderId="4" xfId="1" applyNumberFormat="1" applyFont="1" applyFill="1" applyBorder="1" applyAlignment="1">
      <alignment horizontal="right"/>
    </xf>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26.44140625" style="2" customWidth="1"/>
    <col min="8" max="8" width="13.6640625" style="2" customWidth="1"/>
    <col min="9" max="9" width="17" style="40" bestFit="1" customWidth="1"/>
    <col min="10" max="10" width="10.44140625" style="2" bestFit="1" customWidth="1"/>
    <col min="11" max="11" width="9.44140625" style="2"/>
    <col min="12" max="12" width="10.5546875" style="2" bestFit="1" customWidth="1"/>
    <col min="13" max="16384" width="9.44140625" style="2"/>
  </cols>
  <sheetData>
    <row r="1" spans="1:13" x14ac:dyDescent="0.25">
      <c r="A1" s="1" t="s">
        <v>269</v>
      </c>
    </row>
    <row r="2" spans="1:13" x14ac:dyDescent="0.25">
      <c r="A2" s="73" t="s">
        <v>270</v>
      </c>
      <c r="I2" s="51"/>
    </row>
    <row r="3" spans="1:13" x14ac:dyDescent="0.25">
      <c r="A3" s="73" t="s">
        <v>286</v>
      </c>
      <c r="I3" s="51"/>
    </row>
    <row r="5" spans="1:13" ht="29.25" customHeight="1" x14ac:dyDescent="0.25">
      <c r="A5" s="3" t="s">
        <v>0</v>
      </c>
      <c r="B5" s="3" t="s">
        <v>1</v>
      </c>
      <c r="C5" s="4" t="s">
        <v>269</v>
      </c>
      <c r="D5" s="63" t="s">
        <v>2</v>
      </c>
      <c r="E5" s="63" t="s">
        <v>1</v>
      </c>
      <c r="F5" s="64" t="str">
        <f>+C5</f>
        <v>Week of 19 August 2024</v>
      </c>
    </row>
    <row r="6" spans="1:13" ht="14.4" x14ac:dyDescent="0.3">
      <c r="A6" s="34" t="s">
        <v>29</v>
      </c>
      <c r="B6" s="66" t="s">
        <v>24</v>
      </c>
      <c r="C6" s="78">
        <v>38.997503999999999</v>
      </c>
      <c r="D6" s="34" t="s">
        <v>279</v>
      </c>
      <c r="E6" s="66" t="s">
        <v>35</v>
      </c>
      <c r="F6" s="6">
        <v>-33.349255999999997</v>
      </c>
      <c r="K6" s="44"/>
      <c r="L6"/>
      <c r="M6"/>
    </row>
    <row r="7" spans="1:13" ht="14.4" x14ac:dyDescent="0.3">
      <c r="A7" s="35" t="s">
        <v>34</v>
      </c>
      <c r="B7" s="10" t="s">
        <v>30</v>
      </c>
      <c r="C7" s="8">
        <v>37.825021</v>
      </c>
      <c r="D7" s="35" t="s">
        <v>77</v>
      </c>
      <c r="E7" s="10" t="s">
        <v>56</v>
      </c>
      <c r="F7" s="8">
        <v>-29.927060999999998</v>
      </c>
      <c r="K7" s="44"/>
      <c r="L7"/>
      <c r="M7"/>
    </row>
    <row r="8" spans="1:13" ht="14.4" x14ac:dyDescent="0.3">
      <c r="A8" s="36" t="s">
        <v>26</v>
      </c>
      <c r="B8" s="66" t="s">
        <v>21</v>
      </c>
      <c r="C8" s="6">
        <v>25.583238000000001</v>
      </c>
      <c r="D8" s="36" t="s">
        <v>282</v>
      </c>
      <c r="E8" s="66" t="s">
        <v>52</v>
      </c>
      <c r="F8" s="6">
        <v>-14.2517808202</v>
      </c>
      <c r="K8" s="44"/>
      <c r="L8"/>
      <c r="M8"/>
    </row>
    <row r="9" spans="1:13" ht="14.4" x14ac:dyDescent="0.3">
      <c r="A9" s="35" t="s">
        <v>49</v>
      </c>
      <c r="B9" s="10" t="s">
        <v>47</v>
      </c>
      <c r="C9" s="8">
        <v>23.085659499999998</v>
      </c>
      <c r="D9" s="35" t="s">
        <v>61</v>
      </c>
      <c r="E9" s="10" t="s">
        <v>53</v>
      </c>
      <c r="F9" s="8">
        <v>-9.0680940000000003</v>
      </c>
      <c r="K9" s="44"/>
      <c r="L9"/>
      <c r="M9"/>
    </row>
    <row r="10" spans="1:13" ht="14.4" x14ac:dyDescent="0.3">
      <c r="A10" s="36" t="s">
        <v>274</v>
      </c>
      <c r="B10" s="66" t="s">
        <v>48</v>
      </c>
      <c r="C10" s="6">
        <v>18.117214000000001</v>
      </c>
      <c r="D10" s="36" t="s">
        <v>40</v>
      </c>
      <c r="E10" s="66" t="s">
        <v>38</v>
      </c>
      <c r="F10" s="6">
        <v>-7.029236</v>
      </c>
      <c r="K10" s="44"/>
      <c r="L10"/>
      <c r="M10"/>
    </row>
    <row r="11" spans="1:13" ht="14.4" x14ac:dyDescent="0.3">
      <c r="A11" s="35" t="s">
        <v>271</v>
      </c>
      <c r="B11" s="10" t="s">
        <v>251</v>
      </c>
      <c r="C11" s="8">
        <v>16.707585000000002</v>
      </c>
      <c r="D11" s="35" t="s">
        <v>272</v>
      </c>
      <c r="E11" s="10" t="s">
        <v>107</v>
      </c>
      <c r="F11" s="8">
        <v>-5.5766285</v>
      </c>
      <c r="K11" s="44"/>
      <c r="L11"/>
      <c r="M11"/>
    </row>
    <row r="12" spans="1:13" ht="14.4" x14ac:dyDescent="0.3">
      <c r="A12" s="36" t="s">
        <v>75</v>
      </c>
      <c r="B12" s="66" t="s">
        <v>74</v>
      </c>
      <c r="C12" s="6">
        <v>11.79176</v>
      </c>
      <c r="D12" s="36" t="s">
        <v>273</v>
      </c>
      <c r="E12" s="66" t="s">
        <v>42</v>
      </c>
      <c r="F12" s="6">
        <v>-5.4674870000000002</v>
      </c>
      <c r="K12" s="44"/>
      <c r="L12"/>
      <c r="M12"/>
    </row>
    <row r="13" spans="1:13" ht="14.4" x14ac:dyDescent="0.3">
      <c r="A13" s="35" t="s">
        <v>87</v>
      </c>
      <c r="B13" s="10" t="s">
        <v>25</v>
      </c>
      <c r="C13" s="8">
        <v>11.772002000000001</v>
      </c>
      <c r="D13" s="35" t="s">
        <v>280</v>
      </c>
      <c r="E13" s="10" t="s">
        <v>41</v>
      </c>
      <c r="F13" s="8">
        <v>-4.8125349999999996</v>
      </c>
      <c r="K13" s="44"/>
      <c r="L13"/>
      <c r="M13"/>
    </row>
    <row r="14" spans="1:13" ht="14.4" x14ac:dyDescent="0.3">
      <c r="A14" s="36" t="s">
        <v>60</v>
      </c>
      <c r="B14" s="66" t="s">
        <v>51</v>
      </c>
      <c r="C14" s="6">
        <v>9.0294415000000008</v>
      </c>
      <c r="D14" s="36" t="s">
        <v>27</v>
      </c>
      <c r="E14" s="66" t="s">
        <v>22</v>
      </c>
      <c r="F14" s="6">
        <v>-4.4322759999999999</v>
      </c>
      <c r="K14" s="44"/>
      <c r="L14"/>
      <c r="M14"/>
    </row>
    <row r="15" spans="1:13" ht="14.4" x14ac:dyDescent="0.3">
      <c r="A15" s="37" t="s">
        <v>246</v>
      </c>
      <c r="B15" s="33" t="s">
        <v>108</v>
      </c>
      <c r="C15" s="9">
        <v>5.4589999999999996</v>
      </c>
      <c r="D15" s="37" t="s">
        <v>139</v>
      </c>
      <c r="E15" s="33" t="s">
        <v>105</v>
      </c>
      <c r="F15" s="9">
        <v>-4.3623960000000004</v>
      </c>
      <c r="K15" s="44"/>
      <c r="L15"/>
      <c r="M15"/>
    </row>
    <row r="16" spans="1:13" ht="15" x14ac:dyDescent="0.25">
      <c r="A16" s="10"/>
      <c r="B16" s="10"/>
      <c r="C16" s="10"/>
      <c r="D16" s="31"/>
      <c r="E16" s="10"/>
      <c r="F16" s="10"/>
    </row>
    <row r="17" spans="1:9" x14ac:dyDescent="0.25">
      <c r="A17" s="10"/>
      <c r="B17" s="10"/>
      <c r="C17" s="10"/>
      <c r="D17" s="10"/>
      <c r="E17" s="10"/>
      <c r="F17" s="10"/>
    </row>
    <row r="18" spans="1:9" ht="28.5" customHeight="1" x14ac:dyDescent="0.25">
      <c r="A18" s="39" t="s">
        <v>3</v>
      </c>
      <c r="B18" s="3" t="s">
        <v>1</v>
      </c>
      <c r="C18" s="4" t="str">
        <f>C5</f>
        <v>Week of 19 August 2024</v>
      </c>
      <c r="D18" s="65" t="s">
        <v>4</v>
      </c>
      <c r="E18" s="63" t="s">
        <v>1</v>
      </c>
      <c r="F18" s="64" t="str">
        <f>+C18</f>
        <v>Week of 19 August 2024</v>
      </c>
    </row>
    <row r="19" spans="1:9" x14ac:dyDescent="0.25">
      <c r="A19" s="60" t="s">
        <v>279</v>
      </c>
      <c r="B19" s="66" t="s">
        <v>35</v>
      </c>
      <c r="C19" s="6">
        <v>11.636861</v>
      </c>
      <c r="D19" s="34" t="s">
        <v>34</v>
      </c>
      <c r="E19" s="66" t="s">
        <v>30</v>
      </c>
      <c r="F19" s="6">
        <v>-58.720593999999998</v>
      </c>
      <c r="I19" s="2"/>
    </row>
    <row r="20" spans="1:9" x14ac:dyDescent="0.25">
      <c r="A20" s="35" t="s">
        <v>61</v>
      </c>
      <c r="B20" s="10" t="s">
        <v>53</v>
      </c>
      <c r="C20" s="8">
        <v>11.484629</v>
      </c>
      <c r="D20" s="35" t="s">
        <v>29</v>
      </c>
      <c r="E20" s="10" t="s">
        <v>24</v>
      </c>
      <c r="F20" s="8">
        <v>-39.267108</v>
      </c>
      <c r="I20" s="2"/>
    </row>
    <row r="21" spans="1:9" x14ac:dyDescent="0.25">
      <c r="A21" s="36" t="s">
        <v>272</v>
      </c>
      <c r="B21" s="66" t="s">
        <v>107</v>
      </c>
      <c r="C21" s="6">
        <v>5.8044539999999998</v>
      </c>
      <c r="D21" s="36" t="s">
        <v>26</v>
      </c>
      <c r="E21" s="66" t="s">
        <v>21</v>
      </c>
      <c r="F21" s="6">
        <v>-37.893023999999997</v>
      </c>
      <c r="I21" s="2"/>
    </row>
    <row r="22" spans="1:9" x14ac:dyDescent="0.25">
      <c r="A22" s="35" t="s">
        <v>275</v>
      </c>
      <c r="B22" s="10" t="s">
        <v>43</v>
      </c>
      <c r="C22" s="8">
        <v>3.211001</v>
      </c>
      <c r="D22" s="35" t="s">
        <v>28</v>
      </c>
      <c r="E22" s="10" t="s">
        <v>23</v>
      </c>
      <c r="F22" s="8">
        <v>-22.964414999999999</v>
      </c>
      <c r="I22" s="2"/>
    </row>
    <row r="23" spans="1:9" x14ac:dyDescent="0.25">
      <c r="A23" s="36" t="s">
        <v>77</v>
      </c>
      <c r="B23" s="66" t="s">
        <v>56</v>
      </c>
      <c r="C23" s="6">
        <v>1.8465229999999999</v>
      </c>
      <c r="D23" s="36" t="s">
        <v>274</v>
      </c>
      <c r="E23" s="66" t="s">
        <v>48</v>
      </c>
      <c r="F23" s="6">
        <v>-20.304123000000001</v>
      </c>
      <c r="I23" s="2"/>
    </row>
    <row r="24" spans="1:9" x14ac:dyDescent="0.25">
      <c r="A24" s="35" t="s">
        <v>276</v>
      </c>
      <c r="B24" s="10" t="s">
        <v>133</v>
      </c>
      <c r="C24" s="8">
        <v>1.7080795</v>
      </c>
      <c r="D24" s="35" t="s">
        <v>27</v>
      </c>
      <c r="E24" s="10" t="s">
        <v>22</v>
      </c>
      <c r="F24" s="8">
        <v>-19.115485</v>
      </c>
      <c r="I24" s="2"/>
    </row>
    <row r="25" spans="1:9" x14ac:dyDescent="0.25">
      <c r="A25" s="36" t="s">
        <v>277</v>
      </c>
      <c r="B25" s="66" t="s">
        <v>137</v>
      </c>
      <c r="C25" s="6">
        <v>1.4825950000000001</v>
      </c>
      <c r="D25" s="36" t="s">
        <v>87</v>
      </c>
      <c r="E25" s="66" t="s">
        <v>25</v>
      </c>
      <c r="F25" s="6">
        <v>-16.782301</v>
      </c>
      <c r="I25" s="2"/>
    </row>
    <row r="26" spans="1:9" x14ac:dyDescent="0.25">
      <c r="A26" s="35" t="s">
        <v>278</v>
      </c>
      <c r="B26" s="10" t="s">
        <v>96</v>
      </c>
      <c r="C26" s="8">
        <v>1.473236</v>
      </c>
      <c r="D26" s="35" t="s">
        <v>271</v>
      </c>
      <c r="E26" s="10" t="s">
        <v>251</v>
      </c>
      <c r="F26" s="8">
        <v>-9.7609220000000008</v>
      </c>
      <c r="I26" s="2"/>
    </row>
    <row r="27" spans="1:9" x14ac:dyDescent="0.25">
      <c r="A27" s="36" t="s">
        <v>283</v>
      </c>
      <c r="B27" s="66" t="s">
        <v>125</v>
      </c>
      <c r="C27" s="6">
        <v>1.3279855</v>
      </c>
      <c r="D27" s="36" t="s">
        <v>33</v>
      </c>
      <c r="E27" s="66" t="s">
        <v>31</v>
      </c>
      <c r="F27" s="6">
        <v>-9.3445389999999993</v>
      </c>
      <c r="I27" s="2"/>
    </row>
    <row r="28" spans="1:9" x14ac:dyDescent="0.25">
      <c r="A28" s="37" t="s">
        <v>281</v>
      </c>
      <c r="B28" s="33" t="s">
        <v>130</v>
      </c>
      <c r="C28" s="9">
        <v>1.1062915</v>
      </c>
      <c r="D28" s="37" t="s">
        <v>268</v>
      </c>
      <c r="E28" s="33" t="s">
        <v>88</v>
      </c>
      <c r="F28" s="9">
        <v>-5.4437709999999999</v>
      </c>
      <c r="I28" s="2"/>
    </row>
    <row r="29" spans="1:9" x14ac:dyDescent="0.25">
      <c r="A29" s="10"/>
      <c r="B29" s="10"/>
      <c r="C29" s="10"/>
      <c r="D29" s="10"/>
      <c r="E29" s="10"/>
      <c r="F29" s="10"/>
    </row>
    <row r="30" spans="1:9" ht="14.4" x14ac:dyDescent="0.3">
      <c r="A30" s="11" t="s">
        <v>242</v>
      </c>
      <c r="B30" s="11"/>
      <c r="C30" s="10"/>
      <c r="D30" s="10"/>
      <c r="E30" s="10"/>
      <c r="F30" s="10"/>
    </row>
    <row r="31" spans="1:9" ht="14.4" x14ac:dyDescent="0.3">
      <c r="A31" s="11" t="s">
        <v>80</v>
      </c>
      <c r="B31" s="11"/>
      <c r="C31" s="10"/>
      <c r="D31" s="10"/>
      <c r="E31" s="10"/>
      <c r="F31" s="10"/>
    </row>
    <row r="32" spans="1:9" ht="14.4" x14ac:dyDescent="0.3">
      <c r="A32" s="11" t="s">
        <v>245</v>
      </c>
      <c r="B32" s="11"/>
      <c r="C32" s="10"/>
      <c r="D32" s="10"/>
      <c r="E32" s="10"/>
      <c r="F32" s="10"/>
    </row>
    <row r="33" spans="1:9" ht="14.4" x14ac:dyDescent="0.3">
      <c r="A33" s="11" t="s">
        <v>6</v>
      </c>
      <c r="B33" s="11"/>
      <c r="C33" s="10"/>
      <c r="D33" s="10"/>
      <c r="E33" s="10"/>
      <c r="F33" s="10"/>
    </row>
    <row r="34" spans="1:9" ht="14.4" x14ac:dyDescent="0.3">
      <c r="A34" s="84" t="s">
        <v>73</v>
      </c>
      <c r="B34" s="11"/>
      <c r="C34" s="10"/>
      <c r="D34" s="10"/>
      <c r="E34" s="10"/>
      <c r="F34" s="10"/>
      <c r="G34" s="70"/>
    </row>
    <row r="35" spans="1:9" ht="14.4" x14ac:dyDescent="0.3">
      <c r="A35" s="11"/>
      <c r="B35" s="11"/>
      <c r="C35" s="10"/>
      <c r="D35" s="10"/>
      <c r="E35" s="10"/>
      <c r="F35" s="10"/>
    </row>
    <row r="36" spans="1:9" ht="14.4" x14ac:dyDescent="0.3">
      <c r="A36" s="11"/>
      <c r="B36" s="11"/>
      <c r="C36" s="10"/>
      <c r="D36" s="10"/>
      <c r="E36" s="10"/>
      <c r="F36" s="10"/>
    </row>
    <row r="37" spans="1:9" customFormat="1" ht="15.6" x14ac:dyDescent="0.3">
      <c r="A37" s="23" t="s">
        <v>68</v>
      </c>
      <c r="B37" s="24"/>
      <c r="C37" s="25"/>
      <c r="D37" s="25"/>
      <c r="E37" s="24"/>
      <c r="F37" s="24"/>
      <c r="I37" s="38"/>
    </row>
    <row r="38" spans="1:9" customFormat="1" ht="14.4" x14ac:dyDescent="0.3">
      <c r="A38" s="26" t="s">
        <v>267</v>
      </c>
      <c r="B38" s="24"/>
      <c r="C38" s="25"/>
      <c r="D38" s="25"/>
      <c r="E38" s="24"/>
      <c r="F38" s="24"/>
      <c r="I38" s="38"/>
    </row>
    <row r="39" spans="1:9" s="30" customFormat="1" ht="19.350000000000001" customHeight="1" x14ac:dyDescent="0.3">
      <c r="A39" s="27" t="s">
        <v>264</v>
      </c>
      <c r="B39" s="28"/>
      <c r="C39" s="29"/>
      <c r="D39" s="29"/>
      <c r="E39" s="28"/>
      <c r="F39" s="28"/>
      <c r="I39" s="41"/>
    </row>
    <row r="40" spans="1:9" ht="169.35" customHeight="1" x14ac:dyDescent="0.25">
      <c r="A40" s="86" t="s">
        <v>266</v>
      </c>
      <c r="B40" s="86"/>
      <c r="C40" s="86"/>
      <c r="D40" s="86"/>
      <c r="E40" s="86"/>
      <c r="F40" s="86"/>
    </row>
    <row r="41" spans="1:9" x14ac:dyDescent="0.25">
      <c r="A41" s="10"/>
      <c r="B41" s="10"/>
      <c r="C41" s="10"/>
      <c r="D41" s="10"/>
      <c r="E41" s="10"/>
      <c r="F41" s="10"/>
    </row>
    <row r="42" spans="1:9" x14ac:dyDescent="0.25">
      <c r="A42" s="10"/>
      <c r="B42" s="10"/>
      <c r="C42" s="10"/>
      <c r="D42" s="10"/>
      <c r="E42" s="10"/>
      <c r="F42" s="10"/>
    </row>
    <row r="43" spans="1:9" x14ac:dyDescent="0.25">
      <c r="A43" s="10"/>
      <c r="B43" s="10"/>
      <c r="C43" s="10"/>
      <c r="D43" s="10"/>
      <c r="E43" s="10"/>
      <c r="F43" s="10"/>
    </row>
    <row r="44" spans="1:9" x14ac:dyDescent="0.25">
      <c r="A44" s="10"/>
      <c r="B44" s="10"/>
      <c r="C44" s="10"/>
      <c r="D44" s="10"/>
      <c r="E44" s="10"/>
      <c r="F44" s="10"/>
    </row>
    <row r="45" spans="1:9" x14ac:dyDescent="0.25">
      <c r="A45" s="10"/>
      <c r="B45" s="10"/>
      <c r="C45" s="10"/>
      <c r="D45" s="10"/>
      <c r="E45" s="10"/>
      <c r="F45" s="10"/>
    </row>
    <row r="46" spans="1:9" x14ac:dyDescent="0.25">
      <c r="A46" s="10"/>
      <c r="B46" s="10"/>
      <c r="C46" s="10"/>
      <c r="D46" s="10"/>
      <c r="E46" s="10"/>
      <c r="F46" s="10"/>
    </row>
    <row r="47" spans="1:9" x14ac:dyDescent="0.25">
      <c r="A47" s="10"/>
      <c r="B47" s="10"/>
      <c r="C47" s="10"/>
      <c r="D47" s="10"/>
      <c r="E47" s="10"/>
      <c r="F47" s="10"/>
    </row>
    <row r="48" spans="1:9" x14ac:dyDescent="0.25">
      <c r="A48" s="10"/>
      <c r="B48" s="10"/>
      <c r="C48" s="10"/>
      <c r="D48" s="10"/>
      <c r="E48" s="10"/>
      <c r="F48" s="10"/>
    </row>
    <row r="49" spans="1:6" x14ac:dyDescent="0.25">
      <c r="A49" s="10"/>
      <c r="B49" s="10"/>
      <c r="C49" s="10"/>
      <c r="D49" s="10"/>
      <c r="E49" s="10"/>
      <c r="F49" s="10"/>
    </row>
    <row r="50" spans="1:6" x14ac:dyDescent="0.25">
      <c r="A50" s="12"/>
      <c r="B50" s="12"/>
      <c r="C50" s="12"/>
      <c r="D50" s="12"/>
      <c r="E50" s="12"/>
      <c r="F50" s="12"/>
    </row>
    <row r="51" spans="1:6" x14ac:dyDescent="0.25">
      <c r="A51" s="12"/>
      <c r="B51" s="12"/>
      <c r="C51" s="12"/>
      <c r="D51" s="12"/>
      <c r="E51" s="12"/>
      <c r="F51" s="12"/>
    </row>
    <row r="52" spans="1:6" x14ac:dyDescent="0.25">
      <c r="A52" s="12"/>
      <c r="B52" s="12"/>
      <c r="C52" s="12"/>
      <c r="D52" s="12"/>
      <c r="E52" s="12"/>
      <c r="F52" s="12"/>
    </row>
    <row r="53" spans="1:6" x14ac:dyDescent="0.25">
      <c r="A53" s="12"/>
      <c r="B53" s="12"/>
      <c r="C53" s="12"/>
      <c r="D53" s="12"/>
      <c r="E53" s="12"/>
      <c r="F53" s="12"/>
    </row>
    <row r="54" spans="1:6" x14ac:dyDescent="0.25">
      <c r="A54" s="12"/>
      <c r="B54" s="12"/>
      <c r="C54" s="12"/>
      <c r="D54" s="12"/>
      <c r="E54" s="12"/>
      <c r="F54" s="12"/>
    </row>
    <row r="55" spans="1:6" x14ac:dyDescent="0.25">
      <c r="A55" s="12"/>
      <c r="B55" s="12"/>
      <c r="C55" s="12"/>
      <c r="D55" s="12"/>
      <c r="E55" s="12"/>
      <c r="F55" s="12"/>
    </row>
    <row r="56" spans="1:6" x14ac:dyDescent="0.25">
      <c r="A56" s="12"/>
      <c r="B56" s="12"/>
      <c r="C56" s="12"/>
      <c r="D56" s="12"/>
      <c r="E56" s="12"/>
      <c r="F56" s="12"/>
    </row>
    <row r="57" spans="1:6" x14ac:dyDescent="0.25">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11 E2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4140625" defaultRowHeight="13.8" x14ac:dyDescent="0.25"/>
  <cols>
    <col min="1" max="1" width="9.44140625" style="2"/>
    <col min="2" max="2" width="16.44140625" style="2" customWidth="1"/>
    <col min="3" max="4" width="11.44140625" style="2" customWidth="1"/>
    <col min="5" max="5" width="10.5546875" style="2" customWidth="1"/>
    <col min="6" max="6" width="10" style="2" bestFit="1" customWidth="1"/>
    <col min="7" max="7" width="7.5546875" style="2" bestFit="1" customWidth="1"/>
    <col min="8" max="8" width="11.5546875" style="2" customWidth="1"/>
    <col min="9" max="9" width="12.44140625" style="2" bestFit="1" customWidth="1"/>
    <col min="10" max="10" width="7.6640625" style="2" bestFit="1" customWidth="1"/>
    <col min="11" max="11" width="7.5546875" style="2" bestFit="1" customWidth="1"/>
    <col min="12" max="12" width="13.6640625" style="2" customWidth="1"/>
    <col min="13" max="13" width="7.6640625" style="2" customWidth="1"/>
    <col min="14" max="14" width="8.5546875" style="2" customWidth="1"/>
    <col min="15" max="16384" width="9.44140625" style="2"/>
  </cols>
  <sheetData>
    <row r="1" spans="1:15" ht="17.25" customHeight="1" x14ac:dyDescent="0.25">
      <c r="A1" s="87" t="s">
        <v>7</v>
      </c>
      <c r="B1" s="13"/>
      <c r="C1" s="89" t="s">
        <v>8</v>
      </c>
      <c r="D1" s="90"/>
      <c r="E1" s="90"/>
      <c r="F1" s="90"/>
      <c r="G1" s="90"/>
      <c r="H1" s="90"/>
      <c r="I1" s="90"/>
      <c r="J1" s="90"/>
      <c r="K1" s="90"/>
      <c r="L1" s="90"/>
      <c r="M1" s="90"/>
      <c r="N1" s="91"/>
    </row>
    <row r="2" spans="1:15" ht="55.2" x14ac:dyDescent="0.25">
      <c r="A2" s="88"/>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25">
      <c r="A3" s="45">
        <v>-127.51125879571001</v>
      </c>
      <c r="B3" s="75">
        <v>45502</v>
      </c>
      <c r="C3" s="15">
        <v>5.2135717218400019</v>
      </c>
      <c r="D3" s="15">
        <v>14.764867886399998</v>
      </c>
      <c r="E3" s="15">
        <v>9.0200000000001564E-3</v>
      </c>
      <c r="F3" s="15">
        <v>-32.010962800000016</v>
      </c>
      <c r="G3" s="15">
        <v>-13.921220560800002</v>
      </c>
      <c r="H3" s="15">
        <v>-210.62431696634002</v>
      </c>
      <c r="I3" s="15">
        <v>-1.785858199999999</v>
      </c>
      <c r="J3" s="15">
        <v>-8.9083078711999981</v>
      </c>
      <c r="K3" s="15">
        <v>44.366546994389992</v>
      </c>
      <c r="L3" s="15">
        <v>-2.5861827999999965</v>
      </c>
      <c r="M3" s="15">
        <v>72.726658300000011</v>
      </c>
      <c r="N3" s="15">
        <v>5.2449254999999999</v>
      </c>
    </row>
    <row r="4" spans="1:15" x14ac:dyDescent="0.25">
      <c r="A4" s="45">
        <v>-506.25353028582003</v>
      </c>
      <c r="B4" s="12">
        <v>45509</v>
      </c>
      <c r="C4" s="74">
        <v>4.5670054776799978</v>
      </c>
      <c r="D4" s="74">
        <v>5.4689225080000003</v>
      </c>
      <c r="E4" s="74">
        <v>2.3745446000000001</v>
      </c>
      <c r="F4" s="74">
        <v>-476.04945180000004</v>
      </c>
      <c r="G4" s="74">
        <v>1.0682410246</v>
      </c>
      <c r="H4" s="74">
        <v>-66.253364496999964</v>
      </c>
      <c r="I4" s="74">
        <v>-0.57500629999999986</v>
      </c>
      <c r="J4" s="74">
        <v>10.100826009499999</v>
      </c>
      <c r="K4" s="74">
        <v>-31.417167388599992</v>
      </c>
      <c r="L4" s="74">
        <v>-11.010071419999999</v>
      </c>
      <c r="M4" s="74">
        <v>48.403126300000004</v>
      </c>
      <c r="N4" s="74">
        <v>7.0688652000000003</v>
      </c>
    </row>
    <row r="5" spans="1:15" x14ac:dyDescent="0.25">
      <c r="A5" s="45">
        <v>194.09188083639998</v>
      </c>
      <c r="B5" s="75">
        <v>45516</v>
      </c>
      <c r="C5" s="15">
        <v>14.780973192949995</v>
      </c>
      <c r="D5" s="15">
        <v>-10.611852362399999</v>
      </c>
      <c r="E5" s="15">
        <v>1.5736983999999998</v>
      </c>
      <c r="F5" s="15">
        <v>153.42018619999999</v>
      </c>
      <c r="G5" s="15">
        <v>-2.8785908748999991</v>
      </c>
      <c r="H5" s="15">
        <v>-24.32950704361</v>
      </c>
      <c r="I5" s="15">
        <v>-0.74240899999999987</v>
      </c>
      <c r="J5" s="15">
        <v>-16.042673974100005</v>
      </c>
      <c r="K5" s="15">
        <v>20.877185698460003</v>
      </c>
      <c r="L5" s="15">
        <v>0.29509459999999982</v>
      </c>
      <c r="M5" s="15">
        <v>52.631857099999998</v>
      </c>
      <c r="N5" s="15">
        <v>5.1179189000000003</v>
      </c>
    </row>
    <row r="6" spans="1:15" ht="14.4" x14ac:dyDescent="0.3">
      <c r="A6" s="45">
        <v>102.81003146714025</v>
      </c>
      <c r="B6" s="12">
        <v>45523</v>
      </c>
      <c r="C6" s="79">
        <v>-12.761511485189994</v>
      </c>
      <c r="D6" s="79">
        <v>-1.3237336078999977</v>
      </c>
      <c r="E6" s="79">
        <v>-0.54966079999999973</v>
      </c>
      <c r="F6" s="79">
        <v>61.611217700000005</v>
      </c>
      <c r="G6" s="79">
        <v>-2.4918081105000001</v>
      </c>
      <c r="H6" s="79">
        <v>36.775822746589995</v>
      </c>
      <c r="I6" s="79">
        <v>0.86186980000000002</v>
      </c>
      <c r="J6" s="79">
        <v>-11.702890584499999</v>
      </c>
      <c r="K6" s="79">
        <v>10.564777208639994</v>
      </c>
      <c r="L6" s="79">
        <v>1.3912782999999997</v>
      </c>
      <c r="M6" s="79">
        <v>26.053144</v>
      </c>
      <c r="N6" s="79">
        <v>-5.6184737</v>
      </c>
      <c r="O6"/>
    </row>
    <row r="7" spans="1:15" ht="14.4" x14ac:dyDescent="0.3">
      <c r="A7" s="72"/>
      <c r="B7" s="59"/>
      <c r="C7" s="76"/>
      <c r="D7" s="76"/>
      <c r="E7" s="76"/>
      <c r="F7" s="76"/>
      <c r="G7" s="76"/>
      <c r="H7" s="76"/>
      <c r="I7" s="76"/>
      <c r="J7" s="76"/>
      <c r="K7" s="76"/>
      <c r="L7" s="76"/>
      <c r="M7" s="76"/>
      <c r="N7" s="76"/>
    </row>
    <row r="8" spans="1:15" ht="14.4" x14ac:dyDescent="0.3">
      <c r="B8" s="11" t="s">
        <v>5</v>
      </c>
      <c r="C8" s="11"/>
      <c r="D8" s="11"/>
    </row>
    <row r="9" spans="1:15" ht="14.4" x14ac:dyDescent="0.3">
      <c r="B9" s="11" t="s">
        <v>80</v>
      </c>
      <c r="C9" s="11"/>
      <c r="D9" s="11"/>
    </row>
    <row r="10" spans="1:15" ht="14.4" x14ac:dyDescent="0.3">
      <c r="B10" s="11" t="s">
        <v>6</v>
      </c>
      <c r="C10" s="11"/>
      <c r="D10" s="11"/>
    </row>
    <row r="11" spans="1:15" ht="14.4" x14ac:dyDescent="0.3">
      <c r="B11" s="11" t="s">
        <v>73</v>
      </c>
      <c r="C11" s="12"/>
      <c r="D11" s="12"/>
    </row>
    <row r="12" spans="1:15" ht="14.4" x14ac:dyDescent="0.3">
      <c r="B12"/>
    </row>
    <row r="13" spans="1:15" ht="14.4" x14ac:dyDescent="0.3">
      <c r="C13" s="71"/>
      <c r="D13" s="71"/>
      <c r="E13" s="71"/>
      <c r="F13" s="71"/>
      <c r="G13" s="71"/>
      <c r="H13" s="71"/>
      <c r="I13" s="71"/>
      <c r="J13" s="71"/>
      <c r="K13" s="71"/>
      <c r="L13" s="71"/>
      <c r="M13" s="71"/>
      <c r="N13" s="71"/>
    </row>
    <row r="14" spans="1:15" ht="14.4" x14ac:dyDescent="0.3">
      <c r="B14" s="50"/>
      <c r="C14" s="50"/>
      <c r="D14" s="50"/>
      <c r="E14" s="50"/>
      <c r="F14" s="50"/>
      <c r="G14" s="50"/>
      <c r="H14" s="50"/>
      <c r="I14" s="50"/>
      <c r="J14" s="50"/>
      <c r="K14" s="50"/>
      <c r="L14" s="50"/>
      <c r="M14" s="50"/>
      <c r="N14"/>
      <c r="O14" s="43"/>
    </row>
    <row r="15" spans="1:15" ht="14.4" x14ac:dyDescent="0.3">
      <c r="C15" s="50"/>
      <c r="D15" s="50"/>
      <c r="E15" s="50"/>
      <c r="F15" s="50"/>
      <c r="G15" s="50"/>
      <c r="H15" s="50"/>
      <c r="I15" s="50"/>
      <c r="J15" s="50"/>
      <c r="K15" s="50"/>
      <c r="L15" s="50"/>
      <c r="M15" s="50"/>
      <c r="N15" s="50"/>
      <c r="O15" s="50"/>
    </row>
    <row r="16" spans="1:15" ht="14.4" x14ac:dyDescent="0.3">
      <c r="C16" s="43"/>
      <c r="D16" s="43"/>
      <c r="E16" s="43"/>
      <c r="F16" s="43"/>
      <c r="G16" s="43"/>
      <c r="H16" s="43"/>
      <c r="I16" s="43"/>
      <c r="J16" s="43"/>
      <c r="K16" s="43"/>
      <c r="L16" s="43"/>
      <c r="M16" s="43"/>
      <c r="N16" s="43"/>
      <c r="O16" s="43"/>
    </row>
    <row r="17" spans="3:15" ht="14.4" x14ac:dyDescent="0.3">
      <c r="C17" s="42"/>
      <c r="D17" s="42"/>
      <c r="E17" s="42"/>
      <c r="F17" s="42"/>
      <c r="G17" s="42"/>
      <c r="H17" s="42"/>
      <c r="I17" s="42"/>
      <c r="J17" s="42"/>
      <c r="K17" s="42"/>
      <c r="L17" s="42"/>
      <c r="M17" s="42"/>
      <c r="N17" s="42"/>
      <c r="O17" s="42"/>
    </row>
    <row r="18" spans="3:15" ht="14.4" x14ac:dyDescent="0.3">
      <c r="C18"/>
      <c r="D18"/>
    </row>
    <row r="19" spans="3:15" ht="14.4" x14ac:dyDescent="0.3">
      <c r="C19"/>
      <c r="D19"/>
    </row>
    <row r="20" spans="3:15" ht="14.4" x14ac:dyDescent="0.3">
      <c r="C20"/>
      <c r="D20"/>
    </row>
    <row r="21" spans="3:15" ht="14.4" x14ac:dyDescent="0.3">
      <c r="C21"/>
      <c r="D21"/>
    </row>
    <row r="22" spans="3:15" ht="14.4" x14ac:dyDescent="0.3">
      <c r="C22"/>
      <c r="D22"/>
    </row>
    <row r="23" spans="3:15" ht="14.4" x14ac:dyDescent="0.3">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4140625" defaultRowHeight="13.8" x14ac:dyDescent="0.25"/>
  <cols>
    <col min="1" max="1" width="9.44140625" style="2" customWidth="1"/>
    <col min="2" max="2" width="16.44140625" style="2" customWidth="1"/>
    <col min="3" max="4" width="11.44140625" style="2" bestFit="1" customWidth="1"/>
    <col min="5" max="5" width="10.5546875" style="2" bestFit="1" customWidth="1"/>
    <col min="6" max="6" width="10" style="2" bestFit="1" customWidth="1"/>
    <col min="7" max="7" width="7.5546875" style="2" bestFit="1" customWidth="1"/>
    <col min="8" max="8" width="11.5546875" style="2" bestFit="1" customWidth="1"/>
    <col min="9" max="9" width="12.44140625" style="2" bestFit="1" customWidth="1"/>
    <col min="10" max="11" width="7.6640625" style="2" bestFit="1" customWidth="1"/>
    <col min="12" max="12" width="13.6640625" style="2" customWidth="1"/>
    <col min="13" max="13" width="7.6640625" style="2" bestFit="1" customWidth="1"/>
    <col min="14" max="14" width="8.5546875" style="2" bestFit="1" customWidth="1"/>
    <col min="15" max="16384" width="9.44140625" style="2"/>
  </cols>
  <sheetData>
    <row r="1" spans="1:18" ht="17.25" customHeight="1" x14ac:dyDescent="0.25">
      <c r="A1" s="87" t="s">
        <v>7</v>
      </c>
      <c r="B1" s="13"/>
      <c r="C1" s="89" t="s">
        <v>8</v>
      </c>
      <c r="D1" s="90"/>
      <c r="E1" s="90"/>
      <c r="F1" s="90"/>
      <c r="G1" s="90"/>
      <c r="H1" s="90"/>
      <c r="I1" s="90"/>
      <c r="J1" s="90"/>
      <c r="K1" s="90"/>
      <c r="L1" s="90"/>
      <c r="M1" s="90"/>
      <c r="N1" s="91"/>
    </row>
    <row r="2" spans="1:18" ht="55.2" x14ac:dyDescent="0.25">
      <c r="A2" s="88"/>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25">
      <c r="A3" s="68">
        <v>503.62216377405986</v>
      </c>
      <c r="B3" s="67">
        <v>45502</v>
      </c>
      <c r="C3" s="58">
        <v>3.9504230100600006</v>
      </c>
      <c r="D3" s="58">
        <v>-14.204406622899999</v>
      </c>
      <c r="E3" s="58">
        <v>1.2499300999999998</v>
      </c>
      <c r="F3" s="58">
        <v>246.41389330000004</v>
      </c>
      <c r="G3" s="58">
        <v>21.306596942100004</v>
      </c>
      <c r="H3" s="58">
        <v>342.43103366738984</v>
      </c>
      <c r="I3" s="58">
        <v>0.58449230000000019</v>
      </c>
      <c r="J3" s="58">
        <v>2.1462974546999991</v>
      </c>
      <c r="K3" s="58">
        <v>-40.626373577290011</v>
      </c>
      <c r="L3" s="58">
        <v>6.1823695000000001</v>
      </c>
      <c r="M3" s="58">
        <v>-63.808999299999996</v>
      </c>
      <c r="N3" s="58">
        <v>-2.0030929999999998</v>
      </c>
      <c r="P3" s="14"/>
    </row>
    <row r="4" spans="1:18" x14ac:dyDescent="0.25">
      <c r="A4" s="68">
        <v>839.71894678689989</v>
      </c>
      <c r="B4" s="69">
        <v>45509</v>
      </c>
      <c r="C4" s="52">
        <v>5.3254437821800007</v>
      </c>
      <c r="D4" s="52">
        <v>2.1072866076000016</v>
      </c>
      <c r="E4" s="52">
        <v>-3.7045155999999997</v>
      </c>
      <c r="F4" s="52">
        <v>721.87922589999982</v>
      </c>
      <c r="G4" s="52">
        <v>0.53415042759999998</v>
      </c>
      <c r="H4" s="52">
        <v>129.00472842987003</v>
      </c>
      <c r="I4" s="52">
        <v>2.2580516000000004</v>
      </c>
      <c r="J4" s="52">
        <v>-3.6082378331000005</v>
      </c>
      <c r="K4" s="52">
        <v>31.464044952749997</v>
      </c>
      <c r="L4" s="52">
        <v>21.398568019999999</v>
      </c>
      <c r="M4" s="52">
        <v>-55.371682800000002</v>
      </c>
      <c r="N4" s="52">
        <v>-11.568116700000001</v>
      </c>
      <c r="P4" s="14"/>
    </row>
    <row r="5" spans="1:18" x14ac:dyDescent="0.25">
      <c r="A5" s="68">
        <v>-101.31324076829</v>
      </c>
      <c r="B5" s="67">
        <v>45516</v>
      </c>
      <c r="C5" s="58">
        <v>-1.5172486356499975</v>
      </c>
      <c r="D5" s="58">
        <v>5.7547225175000012</v>
      </c>
      <c r="E5" s="58">
        <v>-2.4292478000000002</v>
      </c>
      <c r="F5" s="58">
        <v>-97.7690822</v>
      </c>
      <c r="G5" s="58">
        <v>4.5252419114999993</v>
      </c>
      <c r="H5" s="58">
        <v>24.953350326799981</v>
      </c>
      <c r="I5" s="58">
        <v>0.49529489999999998</v>
      </c>
      <c r="J5" s="58">
        <v>14.147799195099994</v>
      </c>
      <c r="K5" s="58">
        <v>-10.488200283539999</v>
      </c>
      <c r="L5" s="58">
        <v>-1.1421776999999997</v>
      </c>
      <c r="M5" s="58">
        <v>-37.288894399999997</v>
      </c>
      <c r="N5" s="58">
        <v>-0.55479859999999992</v>
      </c>
      <c r="P5" s="14"/>
    </row>
    <row r="6" spans="1:18" x14ac:dyDescent="0.25">
      <c r="A6" s="68">
        <v>-268.9818497238</v>
      </c>
      <c r="B6" s="12">
        <v>45523</v>
      </c>
      <c r="C6" s="79">
        <v>-10.635216329190007</v>
      </c>
      <c r="D6" s="79">
        <v>-5.4564809255000002</v>
      </c>
      <c r="E6" s="79">
        <v>1.3698754999999998</v>
      </c>
      <c r="F6" s="79">
        <v>-121.79526989999999</v>
      </c>
      <c r="G6" s="79">
        <v>4.5804036998999988</v>
      </c>
      <c r="H6" s="79">
        <v>-73.530990195259974</v>
      </c>
      <c r="I6" s="79">
        <v>0.69818209999999992</v>
      </c>
      <c r="J6" s="79">
        <v>-10.460083515500001</v>
      </c>
      <c r="K6" s="79">
        <v>-44.709885319750001</v>
      </c>
      <c r="L6" s="79">
        <v>-3.1309701385000017</v>
      </c>
      <c r="M6" s="79">
        <v>-6.1622758999999991</v>
      </c>
      <c r="N6" s="79">
        <v>0.25086120000000001</v>
      </c>
      <c r="P6" s="14"/>
    </row>
    <row r="7" spans="1:18" ht="14.4" x14ac:dyDescent="0.3">
      <c r="A7" s="72"/>
      <c r="B7" s="53"/>
      <c r="C7" s="76"/>
      <c r="D7" s="76"/>
      <c r="E7" s="76"/>
      <c r="F7" s="76"/>
      <c r="G7" s="76"/>
      <c r="H7" s="76"/>
      <c r="I7" s="76"/>
      <c r="J7" s="76"/>
      <c r="K7" s="76"/>
      <c r="L7" s="76"/>
      <c r="M7" s="76"/>
      <c r="N7" s="76"/>
      <c r="P7" s="14"/>
    </row>
    <row r="8" spans="1:18" ht="14.4" x14ac:dyDescent="0.3">
      <c r="B8" s="11" t="s">
        <v>5</v>
      </c>
      <c r="C8" s="11"/>
      <c r="D8" s="11"/>
    </row>
    <row r="9" spans="1:18" ht="14.4" x14ac:dyDescent="0.3">
      <c r="B9" s="11" t="s">
        <v>82</v>
      </c>
      <c r="C9" s="11"/>
      <c r="D9" s="11"/>
    </row>
    <row r="10" spans="1:18" ht="14.4" x14ac:dyDescent="0.3">
      <c r="B10" s="11" t="s">
        <v>6</v>
      </c>
      <c r="C10" s="11"/>
      <c r="D10" s="11"/>
    </row>
    <row r="11" spans="1:18" ht="14.4" x14ac:dyDescent="0.3">
      <c r="B11" s="11" t="s">
        <v>73</v>
      </c>
      <c r="C11" s="12"/>
      <c r="D11" s="12"/>
    </row>
    <row r="12" spans="1:18" ht="14.4" x14ac:dyDescent="0.3">
      <c r="C12" s="50"/>
      <c r="D12" s="50"/>
      <c r="E12" s="50"/>
      <c r="F12" s="50"/>
      <c r="G12" s="50"/>
      <c r="H12" s="50"/>
      <c r="I12" s="50"/>
      <c r="J12" s="50"/>
      <c r="K12" s="50"/>
      <c r="L12" s="50"/>
      <c r="M12" s="50"/>
      <c r="N12" s="50"/>
    </row>
    <row r="13" spans="1:18" ht="14.4" x14ac:dyDescent="0.3">
      <c r="B13"/>
      <c r="C13" s="50"/>
      <c r="D13" s="50"/>
      <c r="E13" s="50"/>
      <c r="F13" s="50"/>
      <c r="G13" s="50"/>
      <c r="H13" s="50"/>
      <c r="I13" s="50"/>
      <c r="J13" s="50"/>
      <c r="K13" s="50"/>
      <c r="L13" s="50"/>
      <c r="M13" s="50"/>
      <c r="N13" s="50"/>
      <c r="O13" s="43"/>
      <c r="P13"/>
      <c r="Q13"/>
      <c r="R13"/>
    </row>
    <row r="14" spans="1:18" ht="14.4" x14ac:dyDescent="0.3">
      <c r="C14"/>
      <c r="D14"/>
      <c r="E14"/>
      <c r="F14"/>
      <c r="G14"/>
      <c r="H14"/>
      <c r="I14"/>
      <c r="J14"/>
      <c r="K14"/>
      <c r="L14"/>
      <c r="M14"/>
      <c r="N14"/>
      <c r="O14"/>
      <c r="P14"/>
      <c r="Q14"/>
      <c r="R14"/>
    </row>
    <row r="15" spans="1:18" ht="14.4" x14ac:dyDescent="0.3">
      <c r="C15" s="50"/>
      <c r="D15" s="50"/>
      <c r="E15" s="50"/>
      <c r="F15" s="50"/>
      <c r="G15" s="50"/>
      <c r="H15" s="50"/>
      <c r="I15" s="50"/>
      <c r="J15" s="50"/>
      <c r="K15" s="50"/>
      <c r="L15" s="50"/>
      <c r="M15" s="50"/>
      <c r="N15" s="50"/>
      <c r="O15"/>
    </row>
    <row r="16" spans="1:18" ht="14.4" x14ac:dyDescent="0.3">
      <c r="C16" s="42"/>
      <c r="D16" s="42"/>
      <c r="E16" s="42"/>
      <c r="F16" s="42"/>
      <c r="G16" s="42"/>
      <c r="H16" s="42"/>
      <c r="I16" s="42"/>
      <c r="J16" s="42"/>
      <c r="K16" s="42"/>
      <c r="L16" s="42"/>
      <c r="M16" s="42"/>
      <c r="N16" s="42"/>
    </row>
    <row r="17" spans="3:14" ht="14.4" x14ac:dyDescent="0.3">
      <c r="C17"/>
      <c r="D17"/>
      <c r="E17"/>
      <c r="F17"/>
      <c r="G17"/>
      <c r="H17"/>
      <c r="I17"/>
      <c r="J17"/>
      <c r="K17"/>
      <c r="L17"/>
      <c r="M17"/>
      <c r="N17"/>
    </row>
    <row r="18" spans="3:14" ht="14.4" x14ac:dyDescent="0.3">
      <c r="C18" s="43"/>
      <c r="D18" s="43"/>
      <c r="E18" s="43"/>
      <c r="F18" s="43"/>
      <c r="G18" s="43"/>
      <c r="H18" s="43"/>
      <c r="I18" s="43"/>
      <c r="J18" s="43"/>
      <c r="K18" s="43"/>
      <c r="L18" s="43"/>
      <c r="M18" s="43"/>
      <c r="N18" s="43"/>
    </row>
    <row r="19" spans="3:14" ht="14.4" x14ac:dyDescent="0.3">
      <c r="C19"/>
      <c r="D19"/>
    </row>
    <row r="20" spans="3:14" ht="14.4" x14ac:dyDescent="0.3">
      <c r="C20"/>
      <c r="D20"/>
    </row>
    <row r="21" spans="3:14" ht="14.4" x14ac:dyDescent="0.3">
      <c r="C21"/>
      <c r="D21"/>
    </row>
    <row r="22" spans="3:14" ht="14.4" x14ac:dyDescent="0.3">
      <c r="C22"/>
      <c r="D22"/>
    </row>
    <row r="23" spans="3:14" ht="14.4" x14ac:dyDescent="0.3">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5546875" customWidth="1"/>
    <col min="6" max="7" width="12.6640625" customWidth="1"/>
    <col min="8" max="8" width="15.6640625" customWidth="1"/>
    <col min="12" max="12" width="16" customWidth="1"/>
  </cols>
  <sheetData>
    <row r="1" spans="1:5" ht="55.2" x14ac:dyDescent="0.3">
      <c r="A1" s="32" t="str">
        <f>CONCATENATE("STI Constituents - ",'Weekly Top 10'!$C$5)</f>
        <v>STI Constituents - Week of 19 August 2024</v>
      </c>
      <c r="B1" s="16" t="s">
        <v>1</v>
      </c>
      <c r="C1" s="17" t="s">
        <v>71</v>
      </c>
      <c r="D1" s="17" t="s">
        <v>72</v>
      </c>
    </row>
    <row r="2" spans="1:5" x14ac:dyDescent="0.3">
      <c r="A2" s="18" t="s">
        <v>87</v>
      </c>
      <c r="B2" s="19" t="s">
        <v>25</v>
      </c>
      <c r="C2" s="20">
        <v>11.772002000000001</v>
      </c>
      <c r="D2" s="20">
        <v>-16.782301</v>
      </c>
      <c r="E2" s="38"/>
    </row>
    <row r="3" spans="1:5" x14ac:dyDescent="0.3">
      <c r="A3" s="21" t="s">
        <v>77</v>
      </c>
      <c r="B3" s="22" t="s">
        <v>56</v>
      </c>
      <c r="C3" s="8">
        <v>-29.927060999999998</v>
      </c>
      <c r="D3" s="8">
        <v>1.8465229999999999</v>
      </c>
      <c r="E3" s="38"/>
    </row>
    <row r="4" spans="1:5" x14ac:dyDescent="0.3">
      <c r="A4" s="5" t="s">
        <v>84</v>
      </c>
      <c r="B4" s="7" t="s">
        <v>83</v>
      </c>
      <c r="C4" s="6">
        <v>-2.571488</v>
      </c>
      <c r="D4" s="6">
        <v>-1.718709</v>
      </c>
      <c r="E4" s="38"/>
    </row>
    <row r="5" spans="1:5" x14ac:dyDescent="0.3">
      <c r="A5" s="21" t="s">
        <v>63</v>
      </c>
      <c r="B5" s="22" t="s">
        <v>54</v>
      </c>
      <c r="C5" s="8">
        <v>-2.6848800000000002</v>
      </c>
      <c r="D5" s="8">
        <v>-3.3295360000000001</v>
      </c>
      <c r="E5" s="38"/>
    </row>
    <row r="6" spans="1:5" x14ac:dyDescent="0.3">
      <c r="A6" s="5" t="s">
        <v>26</v>
      </c>
      <c r="B6" s="7" t="s">
        <v>21</v>
      </c>
      <c r="C6" s="6">
        <v>25.583238000000001</v>
      </c>
      <c r="D6" s="6">
        <v>-37.893023999999997</v>
      </c>
      <c r="E6" s="38"/>
    </row>
    <row r="7" spans="1:5" x14ac:dyDescent="0.3">
      <c r="A7" s="21" t="s">
        <v>85</v>
      </c>
      <c r="B7" s="22" t="s">
        <v>57</v>
      </c>
      <c r="C7" s="8">
        <v>0.12881229209999989</v>
      </c>
      <c r="D7" s="8">
        <v>-1.2875736255000001</v>
      </c>
      <c r="E7" s="38"/>
    </row>
    <row r="8" spans="1:5" x14ac:dyDescent="0.3">
      <c r="A8" s="5" t="s">
        <v>246</v>
      </c>
      <c r="B8" s="7" t="s">
        <v>108</v>
      </c>
      <c r="C8" s="6">
        <v>5.4589999999999996</v>
      </c>
      <c r="D8" s="6">
        <v>-4.3142189999999996</v>
      </c>
      <c r="E8" s="38"/>
    </row>
    <row r="9" spans="1:5" x14ac:dyDescent="0.3">
      <c r="A9" s="21" t="s">
        <v>79</v>
      </c>
      <c r="B9" s="22" t="s">
        <v>78</v>
      </c>
      <c r="C9" s="8">
        <v>0.85472499999999996</v>
      </c>
      <c r="D9" s="8">
        <v>-3.9417019999999998</v>
      </c>
      <c r="E9" s="38"/>
    </row>
    <row r="10" spans="1:5" x14ac:dyDescent="0.3">
      <c r="A10" s="5" t="s">
        <v>36</v>
      </c>
      <c r="B10" s="7" t="s">
        <v>35</v>
      </c>
      <c r="C10" s="6">
        <v>-33.349255999999997</v>
      </c>
      <c r="D10" s="6">
        <v>11.636861</v>
      </c>
      <c r="E10" s="38"/>
    </row>
    <row r="11" spans="1:5" x14ac:dyDescent="0.3">
      <c r="A11" s="21" t="s">
        <v>64</v>
      </c>
      <c r="B11" s="22" t="s">
        <v>55</v>
      </c>
      <c r="C11" s="8">
        <v>-4.141451084499999</v>
      </c>
      <c r="D11" s="8">
        <v>-4.7763571155000006</v>
      </c>
      <c r="E11" s="38"/>
    </row>
    <row r="12" spans="1:5" x14ac:dyDescent="0.3">
      <c r="A12" s="5" t="s">
        <v>50</v>
      </c>
      <c r="B12" s="7" t="s">
        <v>48</v>
      </c>
      <c r="C12" s="6">
        <v>18.117214000000001</v>
      </c>
      <c r="D12" s="6">
        <v>-20.304123000000001</v>
      </c>
      <c r="E12" s="38"/>
    </row>
    <row r="13" spans="1:5" x14ac:dyDescent="0.3">
      <c r="A13" s="21" t="s">
        <v>62</v>
      </c>
      <c r="B13" s="22" t="s">
        <v>52</v>
      </c>
      <c r="C13" s="8">
        <v>-14.2517808202</v>
      </c>
      <c r="D13" s="8">
        <v>-0.74193963240000016</v>
      </c>
      <c r="E13" s="38"/>
    </row>
    <row r="14" spans="1:5" x14ac:dyDescent="0.3">
      <c r="A14" s="5" t="s">
        <v>148</v>
      </c>
      <c r="B14" s="7" t="s">
        <v>32</v>
      </c>
      <c r="C14" s="6">
        <v>3.0900650000000001</v>
      </c>
      <c r="D14" s="6">
        <v>-2.5665900000000001</v>
      </c>
      <c r="E14" s="38"/>
    </row>
    <row r="15" spans="1:5" x14ac:dyDescent="0.3">
      <c r="A15" s="21" t="s">
        <v>75</v>
      </c>
      <c r="B15" s="22" t="s">
        <v>74</v>
      </c>
      <c r="C15" s="8">
        <v>11.79176</v>
      </c>
      <c r="D15" s="8">
        <v>-3.5008789999999999</v>
      </c>
      <c r="E15" s="38"/>
    </row>
    <row r="16" spans="1:5" x14ac:dyDescent="0.3">
      <c r="A16" s="5" t="s">
        <v>40</v>
      </c>
      <c r="B16" s="7" t="s">
        <v>38</v>
      </c>
      <c r="C16" s="6">
        <v>-7.029236</v>
      </c>
      <c r="D16" s="6">
        <v>2.5597999999999999E-2</v>
      </c>
      <c r="E16" s="38"/>
    </row>
    <row r="17" spans="1:5" x14ac:dyDescent="0.3">
      <c r="A17" s="21" t="s">
        <v>257</v>
      </c>
      <c r="B17" s="22" t="s">
        <v>58</v>
      </c>
      <c r="C17" s="8">
        <v>2.8099180000000001</v>
      </c>
      <c r="D17" s="8">
        <v>-1.0027999999999999</v>
      </c>
      <c r="E17" s="38"/>
    </row>
    <row r="18" spans="1:5" x14ac:dyDescent="0.3">
      <c r="A18" s="5" t="s">
        <v>27</v>
      </c>
      <c r="B18" s="7" t="s">
        <v>22</v>
      </c>
      <c r="C18" s="6">
        <v>-4.4322759999999999</v>
      </c>
      <c r="D18" s="6">
        <v>-19.115485</v>
      </c>
      <c r="E18" s="38"/>
    </row>
    <row r="19" spans="1:5" x14ac:dyDescent="0.3">
      <c r="A19" s="21" t="s">
        <v>34</v>
      </c>
      <c r="B19" s="22" t="s">
        <v>30</v>
      </c>
      <c r="C19" s="8">
        <v>37.825021</v>
      </c>
      <c r="D19" s="8">
        <v>-58.720593999999998</v>
      </c>
      <c r="E19" s="38"/>
    </row>
    <row r="20" spans="1:5" x14ac:dyDescent="0.3">
      <c r="A20" s="5" t="s">
        <v>142</v>
      </c>
      <c r="B20" s="7" t="s">
        <v>251</v>
      </c>
      <c r="C20" s="6">
        <v>16.707585000000002</v>
      </c>
      <c r="D20" s="6">
        <v>-9.7609220000000008</v>
      </c>
      <c r="E20" s="38"/>
    </row>
    <row r="21" spans="1:5" x14ac:dyDescent="0.3">
      <c r="A21" s="21" t="s">
        <v>45</v>
      </c>
      <c r="B21" s="22" t="s">
        <v>42</v>
      </c>
      <c r="C21" s="8">
        <v>-5.4674870000000002</v>
      </c>
      <c r="D21" s="8">
        <v>0.100332</v>
      </c>
      <c r="E21" s="38"/>
    </row>
    <row r="22" spans="1:5" x14ac:dyDescent="0.3">
      <c r="A22" s="5" t="s">
        <v>33</v>
      </c>
      <c r="B22" s="7" t="s">
        <v>31</v>
      </c>
      <c r="C22" s="6">
        <v>3.6739980000000001</v>
      </c>
      <c r="D22" s="6">
        <v>-9.3445389999999993</v>
      </c>
      <c r="E22" s="38"/>
    </row>
    <row r="23" spans="1:5" x14ac:dyDescent="0.3">
      <c r="A23" s="21" t="s">
        <v>29</v>
      </c>
      <c r="B23" s="22" t="s">
        <v>24</v>
      </c>
      <c r="C23" s="8">
        <v>38.997503999999999</v>
      </c>
      <c r="D23" s="8">
        <v>-39.267108</v>
      </c>
      <c r="E23" s="38"/>
    </row>
    <row r="24" spans="1:5" x14ac:dyDescent="0.3">
      <c r="A24" s="5" t="s">
        <v>39</v>
      </c>
      <c r="B24" s="7" t="s">
        <v>37</v>
      </c>
      <c r="C24" s="6">
        <v>4.0825180000000003</v>
      </c>
      <c r="D24" s="6">
        <v>-4.6734799999999996</v>
      </c>
      <c r="E24" s="38"/>
    </row>
    <row r="25" spans="1:5" x14ac:dyDescent="0.3">
      <c r="A25" s="21" t="s">
        <v>49</v>
      </c>
      <c r="B25" s="22" t="s">
        <v>47</v>
      </c>
      <c r="C25" s="8">
        <v>23.085659499999998</v>
      </c>
      <c r="D25" s="8">
        <v>-4.2091230999999993</v>
      </c>
      <c r="E25" s="38"/>
    </row>
    <row r="26" spans="1:5" x14ac:dyDescent="0.3">
      <c r="A26" s="5" t="s">
        <v>60</v>
      </c>
      <c r="B26" s="7" t="s">
        <v>51</v>
      </c>
      <c r="C26" s="6">
        <v>9.0294415000000008</v>
      </c>
      <c r="D26" s="6">
        <v>-5.1996915000000001</v>
      </c>
      <c r="E26" s="38"/>
    </row>
    <row r="27" spans="1:5" x14ac:dyDescent="0.3">
      <c r="A27" s="21" t="s">
        <v>28</v>
      </c>
      <c r="B27" s="22" t="s">
        <v>23</v>
      </c>
      <c r="C27" s="8">
        <v>3.602366</v>
      </c>
      <c r="D27" s="8">
        <v>-22.964414999999999</v>
      </c>
      <c r="E27" s="38"/>
    </row>
    <row r="28" spans="1:5" x14ac:dyDescent="0.3">
      <c r="A28" s="5" t="s">
        <v>65</v>
      </c>
      <c r="B28" s="7" t="s">
        <v>59</v>
      </c>
      <c r="C28" s="6">
        <v>-3.6310090000000002</v>
      </c>
      <c r="D28" s="6">
        <v>-1.4971730000000001</v>
      </c>
      <c r="E28" s="38"/>
    </row>
    <row r="29" spans="1:5" x14ac:dyDescent="0.3">
      <c r="A29" s="21" t="s">
        <v>46</v>
      </c>
      <c r="B29" s="22" t="s">
        <v>43</v>
      </c>
      <c r="C29" s="8">
        <v>-1.287398</v>
      </c>
      <c r="D29" s="8">
        <v>3.211001</v>
      </c>
      <c r="E29" s="38"/>
    </row>
    <row r="30" spans="1:5" x14ac:dyDescent="0.3">
      <c r="A30" s="5" t="s">
        <v>44</v>
      </c>
      <c r="B30" s="7" t="s">
        <v>41</v>
      </c>
      <c r="C30" s="6">
        <v>-4.8125349999999996</v>
      </c>
      <c r="D30" s="6">
        <v>-4.6960620000000004</v>
      </c>
      <c r="E30" s="38"/>
    </row>
    <row r="31" spans="1:5" ht="15" thickBot="1" x14ac:dyDescent="0.35">
      <c r="A31" s="21" t="s">
        <v>61</v>
      </c>
      <c r="B31" s="22" t="s">
        <v>53</v>
      </c>
      <c r="C31" s="8">
        <v>-9.0680940000000003</v>
      </c>
      <c r="D31" s="8">
        <v>11.484629</v>
      </c>
      <c r="E31" s="38"/>
    </row>
    <row r="32" spans="1:5" ht="21" customHeight="1" thickBot="1" x14ac:dyDescent="0.35">
      <c r="A32" s="92" t="s">
        <v>66</v>
      </c>
      <c r="B32" s="93"/>
      <c r="C32" s="61">
        <f>SUM(C2:C31)</f>
        <v>93.956875387400004</v>
      </c>
      <c r="D32" s="62">
        <f>SUM(D2:D31)</f>
        <v>-253.30340197339993</v>
      </c>
    </row>
    <row r="34" spans="1:5" x14ac:dyDescent="0.3">
      <c r="A34" s="11" t="s">
        <v>67</v>
      </c>
      <c r="B34" s="49"/>
      <c r="C34" s="49"/>
      <c r="D34" s="49"/>
      <c r="E34" s="49"/>
    </row>
    <row r="35" spans="1:5" x14ac:dyDescent="0.3">
      <c r="A35" s="11" t="s">
        <v>80</v>
      </c>
    </row>
    <row r="36" spans="1:5" x14ac:dyDescent="0.3">
      <c r="A36" s="11" t="s">
        <v>81</v>
      </c>
    </row>
    <row r="37" spans="1:5" x14ac:dyDescent="0.3">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109"/>
  <sheetViews>
    <sheetView showGridLines="0" zoomScaleNormal="100" workbookViewId="0"/>
  </sheetViews>
  <sheetFormatPr defaultRowHeight="14.4" x14ac:dyDescent="0.3"/>
  <cols>
    <col min="1" max="1" width="51.5546875" customWidth="1"/>
    <col min="2" max="2" width="8.5546875" customWidth="1"/>
    <col min="3" max="3" width="23" customWidth="1"/>
    <col min="4" max="4" width="24.44140625" customWidth="1"/>
    <col min="5" max="5" width="25" customWidth="1"/>
    <col min="6" max="6" width="31.5546875" bestFit="1" customWidth="1"/>
    <col min="7" max="7" width="14" customWidth="1"/>
    <col min="8" max="8" width="19.5546875" customWidth="1"/>
    <col min="9" max="9" width="27.33203125" customWidth="1"/>
    <col min="10" max="10" width="23.6640625" customWidth="1"/>
    <col min="11" max="11" width="20.6640625" customWidth="1"/>
    <col min="12" max="13" width="16.6640625"/>
  </cols>
  <sheetData>
    <row r="1" spans="1:17" ht="41.4" x14ac:dyDescent="0.3">
      <c r="A1" s="32" t="str">
        <f>CONCATENATE("100 Most Traded Stocks YTD - ",'Weekly Top 10'!$C$5)</f>
        <v>100 Most Traded Stocks YTD - Week of 19 August 2024</v>
      </c>
      <c r="B1" s="16" t="s">
        <v>1</v>
      </c>
      <c r="C1" s="48" t="s">
        <v>98</v>
      </c>
      <c r="D1" s="17" t="s">
        <v>97</v>
      </c>
      <c r="E1" s="17" t="s">
        <v>99</v>
      </c>
      <c r="F1" s="17" t="s">
        <v>100</v>
      </c>
      <c r="G1" s="54"/>
      <c r="H1" s="83"/>
      <c r="I1" s="83"/>
      <c r="J1" s="83"/>
      <c r="L1" s="83"/>
      <c r="M1" s="83"/>
    </row>
    <row r="2" spans="1:17" x14ac:dyDescent="0.3">
      <c r="A2" s="18" t="s">
        <v>26</v>
      </c>
      <c r="B2" s="19" t="s">
        <v>21</v>
      </c>
      <c r="C2" s="55">
        <v>155.3435912870988</v>
      </c>
      <c r="D2" s="55">
        <v>-414.3153987</v>
      </c>
      <c r="E2" s="55">
        <v>25.583238000000001</v>
      </c>
      <c r="F2" s="20" t="s">
        <v>13</v>
      </c>
      <c r="G2" s="54"/>
      <c r="O2" s="77"/>
      <c r="P2" s="77"/>
      <c r="Q2" s="77"/>
    </row>
    <row r="3" spans="1:17" x14ac:dyDescent="0.3">
      <c r="A3" s="21" t="s">
        <v>49</v>
      </c>
      <c r="B3" s="22" t="s">
        <v>47</v>
      </c>
      <c r="C3" s="56">
        <v>86.554520039370374</v>
      </c>
      <c r="D3" s="56">
        <v>629.73792419999995</v>
      </c>
      <c r="E3" s="56">
        <v>23.085659499999998</v>
      </c>
      <c r="F3" s="8" t="s">
        <v>157</v>
      </c>
      <c r="G3" s="54"/>
      <c r="O3" s="77"/>
      <c r="P3" s="77"/>
      <c r="Q3" s="77"/>
    </row>
    <row r="4" spans="1:17" x14ac:dyDescent="0.3">
      <c r="A4" s="5" t="s">
        <v>28</v>
      </c>
      <c r="B4" s="7" t="s">
        <v>23</v>
      </c>
      <c r="C4" s="57">
        <v>85.620414675129638</v>
      </c>
      <c r="D4" s="57">
        <v>404.09771480000001</v>
      </c>
      <c r="E4" s="57">
        <v>3.602366</v>
      </c>
      <c r="F4" s="6" t="s">
        <v>13</v>
      </c>
      <c r="G4" s="54"/>
      <c r="O4" s="77"/>
      <c r="P4" s="77"/>
      <c r="Q4" s="77"/>
    </row>
    <row r="5" spans="1:17" x14ac:dyDescent="0.3">
      <c r="A5" s="21" t="s">
        <v>161</v>
      </c>
      <c r="B5" s="22" t="s">
        <v>22</v>
      </c>
      <c r="C5" s="56">
        <v>77.035733828623464</v>
      </c>
      <c r="D5" s="56">
        <v>146.61145809999999</v>
      </c>
      <c r="E5" s="56">
        <v>-4.4322759999999999</v>
      </c>
      <c r="F5" s="8" t="s">
        <v>13</v>
      </c>
      <c r="G5" s="54"/>
      <c r="O5" s="77"/>
      <c r="P5" s="77"/>
      <c r="Q5" s="77"/>
    </row>
    <row r="6" spans="1:17" x14ac:dyDescent="0.3">
      <c r="A6" s="5" t="s">
        <v>265</v>
      </c>
      <c r="B6" s="7" t="s">
        <v>251</v>
      </c>
      <c r="C6" s="57">
        <v>62.804592752894735</v>
      </c>
      <c r="D6" s="57">
        <v>-267.092513</v>
      </c>
      <c r="E6" s="57">
        <v>16.707585000000002</v>
      </c>
      <c r="F6" s="6" t="s">
        <v>14</v>
      </c>
      <c r="G6" s="54"/>
      <c r="O6" s="77"/>
      <c r="P6" s="77"/>
      <c r="Q6" s="77"/>
    </row>
    <row r="7" spans="1:17" x14ac:dyDescent="0.3">
      <c r="A7" s="21" t="s">
        <v>164</v>
      </c>
      <c r="B7" s="22" t="s">
        <v>53</v>
      </c>
      <c r="C7" s="56">
        <v>44.901677613320977</v>
      </c>
      <c r="D7" s="56">
        <v>134.58082380000002</v>
      </c>
      <c r="E7" s="56">
        <v>-9.0680940000000003</v>
      </c>
      <c r="F7" s="8" t="s">
        <v>14</v>
      </c>
      <c r="G7" s="54"/>
      <c r="O7" s="77"/>
      <c r="P7" s="77"/>
      <c r="Q7" s="77"/>
    </row>
    <row r="8" spans="1:17" x14ac:dyDescent="0.3">
      <c r="A8" s="5" t="s">
        <v>162</v>
      </c>
      <c r="B8" s="7" t="s">
        <v>56</v>
      </c>
      <c r="C8" s="57">
        <v>44.050034359753084</v>
      </c>
      <c r="D8" s="57">
        <v>-52.985258999999992</v>
      </c>
      <c r="E8" s="57">
        <v>-29.927060999999998</v>
      </c>
      <c r="F8" s="6" t="s">
        <v>17</v>
      </c>
      <c r="G8" s="54"/>
      <c r="O8" s="77"/>
      <c r="P8" s="77"/>
      <c r="Q8" s="77"/>
    </row>
    <row r="9" spans="1:17" x14ac:dyDescent="0.3">
      <c r="A9" s="21" t="s">
        <v>33</v>
      </c>
      <c r="B9" s="22" t="s">
        <v>31</v>
      </c>
      <c r="C9" s="56">
        <v>39.688848854629626</v>
      </c>
      <c r="D9" s="56">
        <v>-556.41738199999998</v>
      </c>
      <c r="E9" s="56">
        <v>3.6739980000000001</v>
      </c>
      <c r="F9" s="8" t="s">
        <v>14</v>
      </c>
      <c r="G9" s="54"/>
      <c r="O9" s="77"/>
      <c r="P9" s="77"/>
      <c r="Q9" s="77"/>
    </row>
    <row r="10" spans="1:17" x14ac:dyDescent="0.3">
      <c r="A10" s="5" t="s">
        <v>163</v>
      </c>
      <c r="B10" s="7" t="s">
        <v>25</v>
      </c>
      <c r="C10" s="57">
        <v>34.096260132901236</v>
      </c>
      <c r="D10" s="57">
        <v>-116.202011</v>
      </c>
      <c r="E10" s="57">
        <v>11.772002000000001</v>
      </c>
      <c r="F10" s="6" t="s">
        <v>17</v>
      </c>
      <c r="G10" s="54"/>
      <c r="O10" s="77"/>
      <c r="P10" s="77"/>
      <c r="Q10" s="77"/>
    </row>
    <row r="11" spans="1:17" x14ac:dyDescent="0.3">
      <c r="A11" s="21" t="s">
        <v>166</v>
      </c>
      <c r="B11" s="22" t="s">
        <v>38</v>
      </c>
      <c r="C11" s="56">
        <v>32.845903508024691</v>
      </c>
      <c r="D11" s="56">
        <v>-259.97155199999997</v>
      </c>
      <c r="E11" s="56">
        <v>-7.029236</v>
      </c>
      <c r="F11" s="8" t="s">
        <v>17</v>
      </c>
      <c r="G11" s="54"/>
      <c r="O11" s="77"/>
      <c r="P11" s="77"/>
      <c r="Q11" s="77"/>
    </row>
    <row r="12" spans="1:17" x14ac:dyDescent="0.3">
      <c r="A12" s="5" t="s">
        <v>167</v>
      </c>
      <c r="B12" s="7" t="s">
        <v>35</v>
      </c>
      <c r="C12" s="57">
        <v>26.551759460166672</v>
      </c>
      <c r="D12" s="57">
        <v>-178.01791900000001</v>
      </c>
      <c r="E12" s="57">
        <v>-33.349255999999997</v>
      </c>
      <c r="F12" s="6" t="s">
        <v>10</v>
      </c>
      <c r="G12" s="54"/>
      <c r="O12" s="77"/>
      <c r="P12" s="77"/>
      <c r="Q12" s="77"/>
    </row>
    <row r="13" spans="1:17" x14ac:dyDescent="0.3">
      <c r="A13" s="21" t="s">
        <v>165</v>
      </c>
      <c r="B13" s="22" t="s">
        <v>83</v>
      </c>
      <c r="C13" s="56">
        <v>25.68025366400617</v>
      </c>
      <c r="D13" s="56">
        <v>-128.789759</v>
      </c>
      <c r="E13" s="56">
        <v>-2.571488</v>
      </c>
      <c r="F13" s="8" t="s">
        <v>13</v>
      </c>
      <c r="G13" s="54"/>
      <c r="O13" s="77"/>
      <c r="P13" s="77"/>
      <c r="Q13" s="77"/>
    </row>
    <row r="14" spans="1:17" x14ac:dyDescent="0.3">
      <c r="A14" s="5" t="s">
        <v>148</v>
      </c>
      <c r="B14" s="7" t="s">
        <v>32</v>
      </c>
      <c r="C14" s="57">
        <v>24.454206538462959</v>
      </c>
      <c r="D14" s="57">
        <v>-94.804383000000001</v>
      </c>
      <c r="E14" s="57">
        <v>3.0900650000000001</v>
      </c>
      <c r="F14" s="6" t="s">
        <v>14</v>
      </c>
      <c r="G14" s="54"/>
      <c r="O14" s="77"/>
      <c r="P14" s="77"/>
      <c r="Q14" s="77"/>
    </row>
    <row r="15" spans="1:17" x14ac:dyDescent="0.3">
      <c r="A15" s="21" t="s">
        <v>173</v>
      </c>
      <c r="B15" s="22" t="s">
        <v>58</v>
      </c>
      <c r="C15" s="56">
        <v>22.29760603567901</v>
      </c>
      <c r="D15" s="56">
        <v>-151.299091</v>
      </c>
      <c r="E15" s="56">
        <v>2.8099180000000001</v>
      </c>
      <c r="F15" s="8" t="s">
        <v>17</v>
      </c>
      <c r="G15" s="54"/>
      <c r="O15" s="77"/>
      <c r="P15" s="77"/>
      <c r="Q15" s="77"/>
    </row>
    <row r="16" spans="1:17" x14ac:dyDescent="0.3">
      <c r="A16" s="5" t="s">
        <v>175</v>
      </c>
      <c r="B16" s="7" t="s">
        <v>48</v>
      </c>
      <c r="C16" s="57">
        <v>20.610299109444441</v>
      </c>
      <c r="D16" s="57">
        <v>-68.652929999999998</v>
      </c>
      <c r="E16" s="57">
        <v>18.117214000000001</v>
      </c>
      <c r="F16" s="6" t="s">
        <v>10</v>
      </c>
      <c r="G16" s="54"/>
      <c r="O16" s="77"/>
      <c r="P16" s="77"/>
      <c r="Q16" s="77"/>
    </row>
    <row r="17" spans="1:17" x14ac:dyDescent="0.3">
      <c r="A17" s="21" t="s">
        <v>29</v>
      </c>
      <c r="B17" s="22" t="s">
        <v>24</v>
      </c>
      <c r="C17" s="56">
        <v>18.389651904074068</v>
      </c>
      <c r="D17" s="56">
        <v>130.74364399999999</v>
      </c>
      <c r="E17" s="56">
        <v>38.997503999999999</v>
      </c>
      <c r="F17" s="8" t="s">
        <v>13</v>
      </c>
      <c r="G17" s="54"/>
      <c r="O17" s="77"/>
      <c r="P17" s="77"/>
      <c r="Q17" s="77"/>
    </row>
    <row r="18" spans="1:17" x14ac:dyDescent="0.3">
      <c r="A18" s="5" t="s">
        <v>177</v>
      </c>
      <c r="B18" s="7" t="s">
        <v>54</v>
      </c>
      <c r="C18" s="57">
        <v>18.00703328611111</v>
      </c>
      <c r="D18" s="57">
        <v>-232.49740059999999</v>
      </c>
      <c r="E18" s="57">
        <v>-2.6848800000000002</v>
      </c>
      <c r="F18" s="6" t="s">
        <v>16</v>
      </c>
      <c r="G18" s="54"/>
      <c r="O18" s="77"/>
      <c r="P18" s="77"/>
      <c r="Q18" s="77"/>
    </row>
    <row r="19" spans="1:17" x14ac:dyDescent="0.3">
      <c r="A19" s="21" t="s">
        <v>39</v>
      </c>
      <c r="B19" s="22" t="s">
        <v>37</v>
      </c>
      <c r="C19" s="56">
        <v>17.998743857901232</v>
      </c>
      <c r="D19" s="56">
        <v>173.119033</v>
      </c>
      <c r="E19" s="56">
        <v>4.0825180000000003</v>
      </c>
      <c r="F19" s="8" t="s">
        <v>14</v>
      </c>
      <c r="G19" s="54"/>
      <c r="O19" s="77"/>
      <c r="P19" s="77"/>
      <c r="Q19" s="77"/>
    </row>
    <row r="20" spans="1:17" x14ac:dyDescent="0.3">
      <c r="A20" s="5" t="s">
        <v>171</v>
      </c>
      <c r="B20" s="7" t="s">
        <v>42</v>
      </c>
      <c r="C20" s="57">
        <v>17.123108593827158</v>
      </c>
      <c r="D20" s="57">
        <v>-46.358684799999999</v>
      </c>
      <c r="E20" s="57">
        <v>-5.4674870000000002</v>
      </c>
      <c r="F20" s="6" t="s">
        <v>19</v>
      </c>
      <c r="G20" s="54"/>
      <c r="O20" s="77"/>
      <c r="P20" s="77"/>
      <c r="Q20" s="77"/>
    </row>
    <row r="21" spans="1:17" x14ac:dyDescent="0.3">
      <c r="A21" s="21" t="s">
        <v>170</v>
      </c>
      <c r="B21" s="22" t="s">
        <v>41</v>
      </c>
      <c r="C21" s="56">
        <v>16.878541994574071</v>
      </c>
      <c r="D21" s="56">
        <v>-65.853324000000001</v>
      </c>
      <c r="E21" s="56">
        <v>-4.8125349999999996</v>
      </c>
      <c r="F21" s="8" t="s">
        <v>11</v>
      </c>
      <c r="G21" s="54"/>
      <c r="O21" s="77"/>
      <c r="P21" s="77"/>
      <c r="Q21" s="77"/>
    </row>
    <row r="22" spans="1:17" x14ac:dyDescent="0.3">
      <c r="A22" s="5" t="s">
        <v>174</v>
      </c>
      <c r="B22" s="7" t="s">
        <v>51</v>
      </c>
      <c r="C22" s="57">
        <v>16.871816027160499</v>
      </c>
      <c r="D22" s="57">
        <v>58.869378000000005</v>
      </c>
      <c r="E22" s="57">
        <v>9.0294415000000008</v>
      </c>
      <c r="F22" s="6" t="s">
        <v>11</v>
      </c>
      <c r="G22" s="54"/>
      <c r="O22" s="77"/>
      <c r="P22" s="77"/>
      <c r="Q22" s="77"/>
    </row>
    <row r="23" spans="1:17" x14ac:dyDescent="0.3">
      <c r="A23" s="21" t="s">
        <v>169</v>
      </c>
      <c r="B23" s="22" t="s">
        <v>52</v>
      </c>
      <c r="C23" s="56">
        <v>14.65047993932189</v>
      </c>
      <c r="D23" s="56">
        <v>-8.753990988349992</v>
      </c>
      <c r="E23" s="56">
        <v>-14.2517808202</v>
      </c>
      <c r="F23" s="8" t="s">
        <v>14</v>
      </c>
      <c r="G23" s="54"/>
      <c r="O23" s="77"/>
      <c r="P23" s="77"/>
      <c r="Q23" s="77"/>
    </row>
    <row r="24" spans="1:17" x14ac:dyDescent="0.3">
      <c r="A24" s="5" t="s">
        <v>34</v>
      </c>
      <c r="B24" s="7" t="s">
        <v>30</v>
      </c>
      <c r="C24" s="57">
        <v>14.04505259567901</v>
      </c>
      <c r="D24" s="57">
        <v>135.57187500000001</v>
      </c>
      <c r="E24" s="57">
        <v>37.825021</v>
      </c>
      <c r="F24" s="6" t="s">
        <v>14</v>
      </c>
      <c r="G24" s="54"/>
      <c r="O24" s="77"/>
      <c r="P24" s="77"/>
      <c r="Q24" s="77"/>
    </row>
    <row r="25" spans="1:17" x14ac:dyDescent="0.3">
      <c r="A25" s="21" t="s">
        <v>172</v>
      </c>
      <c r="B25" s="22" t="s">
        <v>74</v>
      </c>
      <c r="C25" s="56">
        <v>13.93339200518519</v>
      </c>
      <c r="D25" s="56">
        <v>-83.874264999999994</v>
      </c>
      <c r="E25" s="56">
        <v>11.79176</v>
      </c>
      <c r="F25" s="8" t="s">
        <v>17</v>
      </c>
      <c r="G25" s="54"/>
      <c r="O25" s="77"/>
      <c r="P25" s="77"/>
      <c r="Q25" s="77"/>
    </row>
    <row r="26" spans="1:17" x14ac:dyDescent="0.3">
      <c r="A26" s="5" t="s">
        <v>176</v>
      </c>
      <c r="B26" s="7" t="s">
        <v>59</v>
      </c>
      <c r="C26" s="57">
        <v>12.05019589358025</v>
      </c>
      <c r="D26" s="57">
        <v>-120.745234</v>
      </c>
      <c r="E26" s="57">
        <v>-3.6310090000000002</v>
      </c>
      <c r="F26" s="6" t="s">
        <v>16</v>
      </c>
      <c r="G26" s="54"/>
      <c r="O26" s="77"/>
      <c r="P26" s="77"/>
      <c r="Q26" s="77"/>
    </row>
    <row r="27" spans="1:17" x14ac:dyDescent="0.3">
      <c r="A27" s="21" t="s">
        <v>181</v>
      </c>
      <c r="B27" s="22" t="s">
        <v>78</v>
      </c>
      <c r="C27" s="56">
        <v>11.152737723148149</v>
      </c>
      <c r="D27" s="56">
        <v>-72.806016</v>
      </c>
      <c r="E27" s="56">
        <v>0.85472499999999996</v>
      </c>
      <c r="F27" s="8" t="s">
        <v>17</v>
      </c>
      <c r="G27" s="54"/>
      <c r="O27" s="77"/>
      <c r="P27" s="77"/>
      <c r="Q27" s="77"/>
    </row>
    <row r="28" spans="1:17" x14ac:dyDescent="0.3">
      <c r="A28" s="5" t="s">
        <v>168</v>
      </c>
      <c r="B28" s="7" t="s">
        <v>76</v>
      </c>
      <c r="C28" s="57">
        <v>11.05218542876543</v>
      </c>
      <c r="D28" s="57">
        <v>-7.7966770000000007</v>
      </c>
      <c r="E28" s="57">
        <v>5.0075200000000004</v>
      </c>
      <c r="F28" s="6" t="s">
        <v>17</v>
      </c>
      <c r="G28" s="54"/>
      <c r="O28" s="77"/>
      <c r="P28" s="77"/>
      <c r="Q28" s="77"/>
    </row>
    <row r="29" spans="1:17" x14ac:dyDescent="0.3">
      <c r="A29" s="21" t="s">
        <v>178</v>
      </c>
      <c r="B29" s="22" t="s">
        <v>43</v>
      </c>
      <c r="C29" s="56">
        <v>10.796375972012351</v>
      </c>
      <c r="D29" s="56">
        <v>96.721679179999995</v>
      </c>
      <c r="E29" s="56">
        <v>-1.287398</v>
      </c>
      <c r="F29" s="8" t="s">
        <v>158</v>
      </c>
      <c r="G29" s="54"/>
      <c r="O29" s="77"/>
      <c r="P29" s="77"/>
      <c r="Q29" s="77"/>
    </row>
    <row r="30" spans="1:17" x14ac:dyDescent="0.3">
      <c r="A30" s="5" t="s">
        <v>182</v>
      </c>
      <c r="B30" s="7" t="s">
        <v>55</v>
      </c>
      <c r="C30" s="57">
        <v>8.9563486824933332</v>
      </c>
      <c r="D30" s="57">
        <v>16.103701833300001</v>
      </c>
      <c r="E30" s="57">
        <v>-4.141451084499999</v>
      </c>
      <c r="F30" s="6" t="s">
        <v>16</v>
      </c>
      <c r="G30" s="54"/>
      <c r="O30" s="77"/>
      <c r="P30" s="77"/>
      <c r="Q30" s="77"/>
    </row>
    <row r="31" spans="1:17" x14ac:dyDescent="0.3">
      <c r="A31" s="21" t="s">
        <v>183</v>
      </c>
      <c r="B31" s="22" t="s">
        <v>88</v>
      </c>
      <c r="C31" s="56">
        <v>8.7818267709876547</v>
      </c>
      <c r="D31" s="56">
        <v>13.613281000000001</v>
      </c>
      <c r="E31" s="56">
        <v>1.795104</v>
      </c>
      <c r="F31" s="8" t="s">
        <v>17</v>
      </c>
      <c r="G31" s="54"/>
      <c r="O31" s="77"/>
      <c r="P31" s="77"/>
      <c r="Q31" s="77"/>
    </row>
    <row r="32" spans="1:17" x14ac:dyDescent="0.3">
      <c r="A32" s="5" t="s">
        <v>139</v>
      </c>
      <c r="B32" s="7" t="s">
        <v>105</v>
      </c>
      <c r="C32" s="57">
        <v>8.2026664333333343</v>
      </c>
      <c r="D32" s="57">
        <v>67.084175999999999</v>
      </c>
      <c r="E32" s="57">
        <v>-4.3623960000000004</v>
      </c>
      <c r="F32" s="6" t="s">
        <v>14</v>
      </c>
      <c r="G32" s="54"/>
      <c r="O32" s="77"/>
      <c r="P32" s="77"/>
      <c r="Q32" s="77"/>
    </row>
    <row r="33" spans="1:17" x14ac:dyDescent="0.3">
      <c r="A33" s="21" t="s">
        <v>180</v>
      </c>
      <c r="B33" s="22" t="s">
        <v>108</v>
      </c>
      <c r="C33" s="56">
        <v>6.9955077506172838</v>
      </c>
      <c r="D33" s="56">
        <v>2.1254339999999998</v>
      </c>
      <c r="E33" s="56">
        <v>5.4589999999999996</v>
      </c>
      <c r="F33" s="8" t="s">
        <v>17</v>
      </c>
      <c r="G33" s="54"/>
      <c r="O33" s="77"/>
      <c r="P33" s="77"/>
      <c r="Q33" s="77"/>
    </row>
    <row r="34" spans="1:17" x14ac:dyDescent="0.3">
      <c r="A34" s="5" t="s">
        <v>186</v>
      </c>
      <c r="B34" s="7" t="s">
        <v>109</v>
      </c>
      <c r="C34" s="57">
        <v>6.4225896401234568</v>
      </c>
      <c r="D34" s="57">
        <v>2.273479</v>
      </c>
      <c r="E34" s="57">
        <v>-1.4133039999999999</v>
      </c>
      <c r="F34" s="6" t="s">
        <v>158</v>
      </c>
      <c r="G34" s="54"/>
      <c r="O34" s="77"/>
      <c r="P34" s="77"/>
      <c r="Q34" s="77"/>
    </row>
    <row r="35" spans="1:17" x14ac:dyDescent="0.3">
      <c r="A35" s="21" t="s">
        <v>179</v>
      </c>
      <c r="B35" s="22" t="s">
        <v>101</v>
      </c>
      <c r="C35" s="56">
        <v>6.2033011363703698</v>
      </c>
      <c r="D35" s="56">
        <v>-19.486523500000001</v>
      </c>
      <c r="E35" s="56">
        <v>4.7758599999999998</v>
      </c>
      <c r="F35" s="8" t="s">
        <v>17</v>
      </c>
      <c r="G35" s="54"/>
      <c r="O35" s="77"/>
      <c r="P35" s="77"/>
      <c r="Q35" s="77"/>
    </row>
    <row r="36" spans="1:17" x14ac:dyDescent="0.3">
      <c r="A36" s="5" t="s">
        <v>187</v>
      </c>
      <c r="B36" s="7" t="s">
        <v>254</v>
      </c>
      <c r="C36" s="57">
        <v>5.5997024981481491</v>
      </c>
      <c r="D36" s="57">
        <v>-33.56474</v>
      </c>
      <c r="E36" s="57">
        <v>-0.52932800000000002</v>
      </c>
      <c r="F36" s="6" t="s">
        <v>158</v>
      </c>
      <c r="G36" s="54"/>
      <c r="O36" s="77"/>
      <c r="P36" s="77"/>
      <c r="Q36" s="77"/>
    </row>
    <row r="37" spans="1:17" x14ac:dyDescent="0.3">
      <c r="A37" s="21" t="s">
        <v>184</v>
      </c>
      <c r="B37" s="22" t="s">
        <v>89</v>
      </c>
      <c r="C37" s="56">
        <v>5.3114733116388892</v>
      </c>
      <c r="D37" s="56">
        <v>-91.437999223999995</v>
      </c>
      <c r="E37" s="56">
        <v>0.20403299999999999</v>
      </c>
      <c r="F37" s="8" t="s">
        <v>158</v>
      </c>
      <c r="G37" s="54"/>
      <c r="O37" s="77"/>
      <c r="P37" s="77"/>
      <c r="Q37" s="77"/>
    </row>
    <row r="38" spans="1:17" x14ac:dyDescent="0.3">
      <c r="A38" s="5" t="s">
        <v>185</v>
      </c>
      <c r="B38" s="7" t="s">
        <v>91</v>
      </c>
      <c r="C38" s="57">
        <v>5.0977428396604934</v>
      </c>
      <c r="D38" s="57">
        <v>-75.182524000000001</v>
      </c>
      <c r="E38" s="57">
        <v>1.0892379999999999</v>
      </c>
      <c r="F38" s="6" t="s">
        <v>17</v>
      </c>
      <c r="G38" s="54"/>
      <c r="O38" s="77"/>
      <c r="P38" s="77"/>
      <c r="Q38" s="77"/>
    </row>
    <row r="39" spans="1:17" x14ac:dyDescent="0.3">
      <c r="A39" s="21" t="s">
        <v>209</v>
      </c>
      <c r="B39" s="22" t="s">
        <v>128</v>
      </c>
      <c r="C39" s="56">
        <v>4.3766334222222225</v>
      </c>
      <c r="D39" s="56">
        <v>32.086910500000002</v>
      </c>
      <c r="E39" s="56">
        <v>7.8749000000000527E-2</v>
      </c>
      <c r="F39" s="8" t="s">
        <v>159</v>
      </c>
      <c r="G39" s="54"/>
      <c r="O39" s="77"/>
      <c r="P39" s="77"/>
      <c r="Q39" s="77"/>
    </row>
    <row r="40" spans="1:17" x14ac:dyDescent="0.3">
      <c r="A40" s="5" t="s">
        <v>190</v>
      </c>
      <c r="B40" s="7" t="s">
        <v>123</v>
      </c>
      <c r="C40" s="57">
        <v>4.0310681077160497</v>
      </c>
      <c r="D40" s="57">
        <v>15.389746000000001</v>
      </c>
      <c r="E40" s="57">
        <v>3.1579429999999999</v>
      </c>
      <c r="F40" s="6" t="s">
        <v>158</v>
      </c>
      <c r="G40" s="54"/>
      <c r="O40" s="77"/>
      <c r="P40" s="77"/>
      <c r="Q40" s="77"/>
    </row>
    <row r="41" spans="1:17" x14ac:dyDescent="0.3">
      <c r="A41" s="21" t="s">
        <v>204</v>
      </c>
      <c r="B41" s="22" t="s">
        <v>107</v>
      </c>
      <c r="C41" s="56">
        <v>3.8253265341975311</v>
      </c>
      <c r="D41" s="56">
        <v>-47.213628</v>
      </c>
      <c r="E41" s="56">
        <v>-5.5766285</v>
      </c>
      <c r="F41" s="8" t="s">
        <v>11</v>
      </c>
      <c r="G41" s="54"/>
      <c r="O41" s="77"/>
      <c r="P41" s="77"/>
      <c r="Q41" s="77"/>
    </row>
    <row r="42" spans="1:17" x14ac:dyDescent="0.3">
      <c r="A42" s="5" t="s">
        <v>191</v>
      </c>
      <c r="B42" s="7" t="s">
        <v>110</v>
      </c>
      <c r="C42" s="57">
        <v>3.8197271864197528</v>
      </c>
      <c r="D42" s="57">
        <v>-23.584790999999999</v>
      </c>
      <c r="E42" s="57">
        <v>1.2267954999999999</v>
      </c>
      <c r="F42" s="6" t="s">
        <v>158</v>
      </c>
      <c r="G42" s="54"/>
      <c r="O42" s="77"/>
      <c r="P42" s="77"/>
      <c r="Q42" s="77"/>
    </row>
    <row r="43" spans="1:17" x14ac:dyDescent="0.3">
      <c r="A43" s="21" t="s">
        <v>193</v>
      </c>
      <c r="B43" s="22" t="s">
        <v>115</v>
      </c>
      <c r="C43" s="56">
        <v>3.3412679860493828</v>
      </c>
      <c r="D43" s="56">
        <v>-20.992917500000001</v>
      </c>
      <c r="E43" s="56">
        <v>3.3992619999999998</v>
      </c>
      <c r="F43" s="8" t="s">
        <v>157</v>
      </c>
      <c r="G43" s="54"/>
      <c r="O43" s="77"/>
      <c r="P43" s="77"/>
      <c r="Q43" s="77"/>
    </row>
    <row r="44" spans="1:17" x14ac:dyDescent="0.3">
      <c r="A44" s="5" t="s">
        <v>192</v>
      </c>
      <c r="B44" s="7" t="s">
        <v>102</v>
      </c>
      <c r="C44" s="57">
        <v>3.0933288404938271</v>
      </c>
      <c r="D44" s="57">
        <v>-11.9989945</v>
      </c>
      <c r="E44" s="57">
        <v>-0.84533650000000005</v>
      </c>
      <c r="F44" s="6" t="s">
        <v>17</v>
      </c>
      <c r="G44" s="54"/>
      <c r="O44" s="77"/>
      <c r="P44" s="77"/>
      <c r="Q44" s="77"/>
    </row>
    <row r="45" spans="1:17" x14ac:dyDescent="0.3">
      <c r="A45" s="21" t="s">
        <v>189</v>
      </c>
      <c r="B45" s="22" t="s">
        <v>94</v>
      </c>
      <c r="C45" s="56">
        <v>3.0064970308641983</v>
      </c>
      <c r="D45" s="56">
        <v>9.1575129999999998</v>
      </c>
      <c r="E45" s="56">
        <v>-1.2852000000000001E-2</v>
      </c>
      <c r="F45" s="8" t="s">
        <v>14</v>
      </c>
      <c r="G45" s="54"/>
      <c r="O45" s="77"/>
      <c r="P45" s="77"/>
      <c r="Q45" s="77"/>
    </row>
    <row r="46" spans="1:17" x14ac:dyDescent="0.3">
      <c r="A46" s="5" t="s">
        <v>188</v>
      </c>
      <c r="B46" s="7" t="s">
        <v>120</v>
      </c>
      <c r="C46" s="57">
        <v>2.8240676049382709</v>
      </c>
      <c r="D46" s="57">
        <v>4.7336605</v>
      </c>
      <c r="E46" s="57">
        <v>-0.29697249999999997</v>
      </c>
      <c r="F46" s="6" t="s">
        <v>159</v>
      </c>
      <c r="G46" s="54"/>
      <c r="O46" s="77"/>
      <c r="P46" s="77"/>
      <c r="Q46" s="77"/>
    </row>
    <row r="47" spans="1:17" x14ac:dyDescent="0.3">
      <c r="A47" s="21" t="s">
        <v>213</v>
      </c>
      <c r="B47" s="22" t="s">
        <v>130</v>
      </c>
      <c r="C47" s="56">
        <v>2.761748855679012</v>
      </c>
      <c r="D47" s="56">
        <v>12.139507500000001</v>
      </c>
      <c r="E47" s="56">
        <v>-0.44155549999999999</v>
      </c>
      <c r="F47" s="8" t="s">
        <v>160</v>
      </c>
      <c r="G47" s="54"/>
      <c r="O47" s="77"/>
      <c r="P47" s="77"/>
      <c r="Q47" s="77"/>
    </row>
    <row r="48" spans="1:17" x14ac:dyDescent="0.3">
      <c r="A48" s="5" t="s">
        <v>197</v>
      </c>
      <c r="B48" s="7" t="s">
        <v>106</v>
      </c>
      <c r="C48" s="57">
        <v>2.6234208199382709</v>
      </c>
      <c r="D48" s="57">
        <v>-18.081990569999999</v>
      </c>
      <c r="E48" s="85">
        <v>2.8299785000000002</v>
      </c>
      <c r="F48" s="6" t="s">
        <v>17</v>
      </c>
      <c r="G48" s="54"/>
      <c r="O48" s="77"/>
      <c r="P48" s="77"/>
      <c r="Q48" s="77"/>
    </row>
    <row r="49" spans="1:17" x14ac:dyDescent="0.3">
      <c r="A49" s="21" t="s">
        <v>196</v>
      </c>
      <c r="B49" s="22" t="s">
        <v>117</v>
      </c>
      <c r="C49" s="56">
        <v>2.4863517974259262</v>
      </c>
      <c r="D49" s="56">
        <v>-3.9899400000000012</v>
      </c>
      <c r="E49" s="56">
        <v>0.51726499999999986</v>
      </c>
      <c r="F49" s="8" t="s">
        <v>17</v>
      </c>
      <c r="G49" s="54"/>
      <c r="O49" s="77"/>
      <c r="P49" s="77"/>
      <c r="Q49" s="77"/>
    </row>
    <row r="50" spans="1:17" x14ac:dyDescent="0.3">
      <c r="A50" s="5" t="s">
        <v>240</v>
      </c>
      <c r="B50" s="7" t="s">
        <v>151</v>
      </c>
      <c r="C50" s="57">
        <v>2.4605115770000001</v>
      </c>
      <c r="D50" s="57">
        <v>4.5316444000000002</v>
      </c>
      <c r="E50" s="57">
        <v>-0.28224009999999999</v>
      </c>
      <c r="F50" s="6" t="s">
        <v>16</v>
      </c>
      <c r="G50" s="54"/>
      <c r="O50" s="77"/>
      <c r="P50" s="77"/>
      <c r="Q50" s="77"/>
    </row>
    <row r="51" spans="1:17" x14ac:dyDescent="0.3">
      <c r="A51" s="21" t="s">
        <v>203</v>
      </c>
      <c r="B51" s="22" t="s">
        <v>103</v>
      </c>
      <c r="C51" s="56">
        <v>2.4115749843827161</v>
      </c>
      <c r="D51" s="56">
        <v>-17.495928500000002</v>
      </c>
      <c r="E51" s="56">
        <v>0.62788650000000001</v>
      </c>
      <c r="F51" s="8" t="s">
        <v>15</v>
      </c>
      <c r="G51" s="54"/>
      <c r="O51" s="77"/>
      <c r="P51" s="77"/>
      <c r="Q51" s="77"/>
    </row>
    <row r="52" spans="1:17" x14ac:dyDescent="0.3">
      <c r="A52" s="5" t="s">
        <v>249</v>
      </c>
      <c r="B52" s="7" t="s">
        <v>250</v>
      </c>
      <c r="C52" s="57">
        <v>2.3715026759259259</v>
      </c>
      <c r="D52" s="57">
        <v>55.098126999999998</v>
      </c>
      <c r="E52" s="57">
        <v>0</v>
      </c>
      <c r="F52" s="6" t="s">
        <v>13</v>
      </c>
      <c r="G52" s="54"/>
      <c r="O52" s="77"/>
      <c r="P52" s="77"/>
      <c r="Q52" s="77"/>
    </row>
    <row r="53" spans="1:17" x14ac:dyDescent="0.3">
      <c r="A53" s="21" t="s">
        <v>205</v>
      </c>
      <c r="B53" s="22" t="s">
        <v>118</v>
      </c>
      <c r="C53" s="56">
        <v>2.3275654934175307</v>
      </c>
      <c r="D53" s="56">
        <v>6.7138533287500008</v>
      </c>
      <c r="E53" s="56">
        <v>0.91613285835000002</v>
      </c>
      <c r="F53" s="8" t="s">
        <v>17</v>
      </c>
      <c r="G53" s="54"/>
      <c r="O53" s="77"/>
      <c r="P53" s="77"/>
      <c r="Q53" s="77"/>
    </row>
    <row r="54" spans="1:17" x14ac:dyDescent="0.3">
      <c r="A54" s="5" t="s">
        <v>206</v>
      </c>
      <c r="B54" s="7" t="s">
        <v>90</v>
      </c>
      <c r="C54" s="57">
        <v>2.3087760728395059</v>
      </c>
      <c r="D54" s="57">
        <v>-27.798041000000001</v>
      </c>
      <c r="E54" s="57">
        <v>2.9267000000000001E-2</v>
      </c>
      <c r="F54" s="6" t="s">
        <v>11</v>
      </c>
      <c r="G54" s="54"/>
      <c r="O54" s="77"/>
      <c r="P54" s="77"/>
      <c r="Q54" s="77"/>
    </row>
    <row r="55" spans="1:17" x14ac:dyDescent="0.3">
      <c r="A55" s="21" t="s">
        <v>194</v>
      </c>
      <c r="B55" s="22" t="s">
        <v>95</v>
      </c>
      <c r="C55" s="56">
        <v>2.2614576639506168</v>
      </c>
      <c r="D55" s="56">
        <v>-56.226740499999998</v>
      </c>
      <c r="E55" s="56">
        <v>-1.348627</v>
      </c>
      <c r="F55" s="8" t="s">
        <v>17</v>
      </c>
      <c r="G55" s="54"/>
      <c r="O55" s="77"/>
      <c r="P55" s="77"/>
      <c r="Q55" s="77"/>
    </row>
    <row r="56" spans="1:17" x14ac:dyDescent="0.3">
      <c r="A56" s="5" t="s">
        <v>201</v>
      </c>
      <c r="B56" s="7" t="s">
        <v>121</v>
      </c>
      <c r="C56" s="57">
        <v>2.1332382487654318</v>
      </c>
      <c r="D56" s="57">
        <v>-28.167183000000001</v>
      </c>
      <c r="E56" s="57">
        <v>0.730074</v>
      </c>
      <c r="F56" s="6" t="s">
        <v>17</v>
      </c>
      <c r="G56" s="54"/>
      <c r="O56" s="77"/>
      <c r="P56" s="77"/>
      <c r="Q56" s="77"/>
    </row>
    <row r="57" spans="1:17" x14ac:dyDescent="0.3">
      <c r="A57" s="21" t="s">
        <v>202</v>
      </c>
      <c r="B57" s="22" t="s">
        <v>57</v>
      </c>
      <c r="C57" s="56">
        <v>2.0004493333075311</v>
      </c>
      <c r="D57" s="56">
        <v>-14.9299160193</v>
      </c>
      <c r="E57" s="56">
        <v>0.12881229209999989</v>
      </c>
      <c r="F57" s="8" t="s">
        <v>11</v>
      </c>
      <c r="G57" s="54"/>
      <c r="O57" s="77"/>
      <c r="P57" s="77"/>
      <c r="Q57" s="77"/>
    </row>
    <row r="58" spans="1:17" x14ac:dyDescent="0.3">
      <c r="A58" s="5" t="s">
        <v>195</v>
      </c>
      <c r="B58" s="7" t="s">
        <v>104</v>
      </c>
      <c r="C58" s="57">
        <v>1.930207369135803</v>
      </c>
      <c r="D58" s="57">
        <v>-5.7757670999999995</v>
      </c>
      <c r="E58" s="57">
        <v>-0.3453968</v>
      </c>
      <c r="F58" s="6" t="s">
        <v>159</v>
      </c>
      <c r="G58" s="54"/>
      <c r="O58" s="77"/>
      <c r="P58" s="77"/>
      <c r="Q58" s="77"/>
    </row>
    <row r="59" spans="1:17" x14ac:dyDescent="0.3">
      <c r="A59" s="21" t="s">
        <v>222</v>
      </c>
      <c r="B59" s="22" t="s">
        <v>96</v>
      </c>
      <c r="C59" s="56">
        <v>1.8877781</v>
      </c>
      <c r="D59" s="56">
        <v>-0.23313649999999972</v>
      </c>
      <c r="E59" s="56">
        <v>-1.1234310000000001</v>
      </c>
      <c r="F59" s="8" t="s">
        <v>11</v>
      </c>
      <c r="G59" s="54"/>
      <c r="O59" s="77"/>
      <c r="P59" s="77"/>
      <c r="Q59" s="77"/>
    </row>
    <row r="60" spans="1:17" x14ac:dyDescent="0.3">
      <c r="A60" s="5" t="s">
        <v>221</v>
      </c>
      <c r="B60" s="7" t="s">
        <v>113</v>
      </c>
      <c r="C60" s="57">
        <v>1.8700594364197529</v>
      </c>
      <c r="D60" s="57">
        <v>-62.304811999999998</v>
      </c>
      <c r="E60" s="57">
        <v>-1.3023955</v>
      </c>
      <c r="F60" s="6" t="s">
        <v>160</v>
      </c>
      <c r="G60" s="54"/>
      <c r="O60" s="77"/>
      <c r="P60" s="77"/>
      <c r="Q60" s="77"/>
    </row>
    <row r="61" spans="1:17" x14ac:dyDescent="0.3">
      <c r="A61" s="21" t="s">
        <v>208</v>
      </c>
      <c r="B61" s="22" t="s">
        <v>111</v>
      </c>
      <c r="C61" s="56">
        <v>1.8406498655555561</v>
      </c>
      <c r="D61" s="56">
        <v>18.923186999999999</v>
      </c>
      <c r="E61" s="56">
        <v>0.26096750000000002</v>
      </c>
      <c r="F61" s="8" t="s">
        <v>13</v>
      </c>
      <c r="G61" s="54"/>
      <c r="O61" s="77"/>
      <c r="P61" s="77"/>
      <c r="Q61" s="77"/>
    </row>
    <row r="62" spans="1:17" x14ac:dyDescent="0.3">
      <c r="A62" s="5" t="s">
        <v>224</v>
      </c>
      <c r="B62" s="7" t="s">
        <v>133</v>
      </c>
      <c r="C62" s="57">
        <v>1.6906274030864199</v>
      </c>
      <c r="D62" s="57">
        <v>8.7562494999999991</v>
      </c>
      <c r="E62" s="57">
        <v>-1.0340419999999999</v>
      </c>
      <c r="F62" s="6" t="s">
        <v>14</v>
      </c>
      <c r="G62" s="54"/>
      <c r="O62" s="77"/>
      <c r="P62" s="77"/>
      <c r="Q62" s="77"/>
    </row>
    <row r="63" spans="1:17" x14ac:dyDescent="0.3">
      <c r="A63" s="21" t="s">
        <v>199</v>
      </c>
      <c r="B63" s="22" t="s">
        <v>119</v>
      </c>
      <c r="C63" s="56">
        <v>1.6896334540740741</v>
      </c>
      <c r="D63" s="56">
        <v>-26.828931999999998</v>
      </c>
      <c r="E63" s="56">
        <v>-0.45712150000000001</v>
      </c>
      <c r="F63" s="8" t="s">
        <v>17</v>
      </c>
      <c r="G63" s="54"/>
      <c r="O63" s="77"/>
      <c r="P63" s="77"/>
      <c r="Q63" s="77"/>
    </row>
    <row r="64" spans="1:17" x14ac:dyDescent="0.3">
      <c r="A64" s="5" t="s">
        <v>211</v>
      </c>
      <c r="B64" s="7" t="s">
        <v>112</v>
      </c>
      <c r="C64" s="57">
        <v>1.663434356790124</v>
      </c>
      <c r="D64" s="57">
        <v>3.8054139999999999</v>
      </c>
      <c r="E64" s="57">
        <v>1.379138</v>
      </c>
      <c r="F64" s="6" t="s">
        <v>11</v>
      </c>
      <c r="G64" s="54"/>
      <c r="O64" s="77"/>
      <c r="P64" s="77"/>
      <c r="Q64" s="77"/>
    </row>
    <row r="65" spans="1:17" x14ac:dyDescent="0.3">
      <c r="A65" s="21" t="s">
        <v>198</v>
      </c>
      <c r="B65" s="22" t="s">
        <v>149</v>
      </c>
      <c r="C65" s="56">
        <v>1.457799530246914</v>
      </c>
      <c r="D65" s="56">
        <v>-1.2288858</v>
      </c>
      <c r="E65" s="56">
        <v>-6.5275899999999984E-2</v>
      </c>
      <c r="F65" s="8" t="s">
        <v>14</v>
      </c>
      <c r="G65" s="54"/>
      <c r="O65" s="77"/>
      <c r="P65" s="77"/>
      <c r="Q65" s="77"/>
    </row>
    <row r="66" spans="1:17" x14ac:dyDescent="0.3">
      <c r="A66" s="5" t="s">
        <v>212</v>
      </c>
      <c r="B66" s="7" t="s">
        <v>129</v>
      </c>
      <c r="C66" s="57">
        <v>1.2561447623456792</v>
      </c>
      <c r="D66" s="57">
        <v>17.615074</v>
      </c>
      <c r="E66" s="57">
        <v>-0.17189199999999999</v>
      </c>
      <c r="F66" s="6" t="s">
        <v>157</v>
      </c>
      <c r="G66" s="54"/>
      <c r="O66" s="77"/>
      <c r="P66" s="77"/>
      <c r="Q66" s="77"/>
    </row>
    <row r="67" spans="1:17" x14ac:dyDescent="0.3">
      <c r="A67" s="21" t="s">
        <v>207</v>
      </c>
      <c r="B67" s="22" t="s">
        <v>143</v>
      </c>
      <c r="C67" s="56">
        <v>1.2362124944444441</v>
      </c>
      <c r="D67" s="56">
        <v>-0.78358640000000002</v>
      </c>
      <c r="E67" s="56">
        <v>9.9827699999999991E-2</v>
      </c>
      <c r="F67" s="8" t="s">
        <v>160</v>
      </c>
      <c r="G67" s="54"/>
      <c r="O67" s="77"/>
      <c r="P67" s="77"/>
      <c r="Q67" s="77"/>
    </row>
    <row r="68" spans="1:17" x14ac:dyDescent="0.3">
      <c r="A68" s="5" t="s">
        <v>200</v>
      </c>
      <c r="B68" s="7" t="s">
        <v>116</v>
      </c>
      <c r="C68" s="57">
        <v>1.231304495678704</v>
      </c>
      <c r="D68" s="57">
        <v>-7.9822625548900001</v>
      </c>
      <c r="E68" s="57">
        <v>0.24818654170999999</v>
      </c>
      <c r="F68" s="6" t="s">
        <v>10</v>
      </c>
      <c r="G68" s="54"/>
      <c r="O68" s="77"/>
      <c r="P68" s="77"/>
      <c r="Q68" s="77"/>
    </row>
    <row r="69" spans="1:17" x14ac:dyDescent="0.3">
      <c r="A69" s="21" t="s">
        <v>237</v>
      </c>
      <c r="B69" s="22" t="s">
        <v>114</v>
      </c>
      <c r="C69" s="56">
        <v>1.204975574074074</v>
      </c>
      <c r="D69" s="56">
        <v>11.286925999999999</v>
      </c>
      <c r="E69" s="56">
        <v>1.037631</v>
      </c>
      <c r="F69" s="8" t="s">
        <v>10</v>
      </c>
      <c r="G69" s="54"/>
      <c r="O69" s="77"/>
      <c r="P69" s="77"/>
      <c r="Q69" s="77"/>
    </row>
    <row r="70" spans="1:17" x14ac:dyDescent="0.3">
      <c r="A70" s="5" t="s">
        <v>227</v>
      </c>
      <c r="B70" s="7" t="s">
        <v>131</v>
      </c>
      <c r="C70" s="57">
        <v>1.200169272817716</v>
      </c>
      <c r="D70" s="57">
        <v>-3.5480013083799999</v>
      </c>
      <c r="E70" s="57">
        <v>0.38802151250999994</v>
      </c>
      <c r="F70" s="6" t="s">
        <v>17</v>
      </c>
      <c r="G70" s="54"/>
      <c r="O70" s="77"/>
      <c r="P70" s="77"/>
      <c r="Q70" s="77"/>
    </row>
    <row r="71" spans="1:17" x14ac:dyDescent="0.3">
      <c r="A71" s="21" t="s">
        <v>217</v>
      </c>
      <c r="B71" s="22" t="s">
        <v>127</v>
      </c>
      <c r="C71" s="56">
        <v>1.1757880654320989</v>
      </c>
      <c r="D71" s="56">
        <v>-3.7768989999999998</v>
      </c>
      <c r="E71" s="56">
        <v>-0.27255499999999999</v>
      </c>
      <c r="F71" s="8" t="s">
        <v>17</v>
      </c>
      <c r="G71" s="54"/>
      <c r="O71" s="77"/>
      <c r="P71" s="77"/>
      <c r="Q71" s="77"/>
    </row>
    <row r="72" spans="1:17" x14ac:dyDescent="0.3">
      <c r="A72" s="5" t="s">
        <v>219</v>
      </c>
      <c r="B72" s="7" t="s">
        <v>93</v>
      </c>
      <c r="C72" s="57">
        <v>1.17344490047784</v>
      </c>
      <c r="D72" s="57">
        <v>-14.570292189349999</v>
      </c>
      <c r="E72" s="57">
        <v>0.2788429583</v>
      </c>
      <c r="F72" s="6" t="s">
        <v>17</v>
      </c>
      <c r="G72" s="54"/>
      <c r="O72" s="77"/>
      <c r="P72" s="77"/>
      <c r="Q72" s="77"/>
    </row>
    <row r="73" spans="1:17" x14ac:dyDescent="0.3">
      <c r="A73" s="21" t="s">
        <v>223</v>
      </c>
      <c r="B73" s="22" t="s">
        <v>125</v>
      </c>
      <c r="C73" s="56">
        <v>1.063381574074074</v>
      </c>
      <c r="D73" s="56">
        <v>3.1545899999999998</v>
      </c>
      <c r="E73" s="56">
        <v>0.31970599999999999</v>
      </c>
      <c r="F73" s="8" t="s">
        <v>160</v>
      </c>
      <c r="G73" s="54"/>
      <c r="O73" s="77"/>
      <c r="P73" s="77"/>
      <c r="Q73" s="77"/>
    </row>
    <row r="74" spans="1:17" x14ac:dyDescent="0.3">
      <c r="A74" s="5" t="s">
        <v>231</v>
      </c>
      <c r="B74" s="7" t="s">
        <v>145</v>
      </c>
      <c r="C74" s="57">
        <v>1.010602761728395</v>
      </c>
      <c r="D74" s="57">
        <v>6.4506379999999996</v>
      </c>
      <c r="E74" s="57">
        <v>-0.43165100000000001</v>
      </c>
      <c r="F74" s="6" t="s">
        <v>158</v>
      </c>
      <c r="G74" s="54"/>
      <c r="O74" s="77"/>
      <c r="P74" s="77"/>
      <c r="Q74" s="77"/>
    </row>
    <row r="75" spans="1:17" x14ac:dyDescent="0.3">
      <c r="A75" s="21" t="s">
        <v>235</v>
      </c>
      <c r="B75" s="22" t="s">
        <v>147</v>
      </c>
      <c r="C75" s="56">
        <v>0.99241868533950628</v>
      </c>
      <c r="D75" s="56">
        <v>2.9956575000000001</v>
      </c>
      <c r="E75" s="56">
        <v>0.57851799999999998</v>
      </c>
      <c r="F75" s="8" t="s">
        <v>158</v>
      </c>
      <c r="G75" s="54"/>
      <c r="O75" s="77"/>
      <c r="P75" s="77"/>
      <c r="Q75" s="77"/>
    </row>
    <row r="76" spans="1:17" x14ac:dyDescent="0.3">
      <c r="A76" s="5" t="s">
        <v>247</v>
      </c>
      <c r="B76" s="7" t="s">
        <v>248</v>
      </c>
      <c r="C76" s="57">
        <v>0.96838337530864205</v>
      </c>
      <c r="D76" s="57">
        <v>4.5137957999999996</v>
      </c>
      <c r="E76" s="57">
        <v>-0.40487519999999999</v>
      </c>
      <c r="F76" s="6" t="s">
        <v>159</v>
      </c>
      <c r="G76" s="54"/>
      <c r="O76" s="77"/>
      <c r="P76" s="77"/>
      <c r="Q76" s="77"/>
    </row>
    <row r="77" spans="1:17" x14ac:dyDescent="0.3">
      <c r="A77" s="21" t="s">
        <v>236</v>
      </c>
      <c r="B77" s="22" t="s">
        <v>152</v>
      </c>
      <c r="C77" s="56">
        <v>0.94021425185185192</v>
      </c>
      <c r="D77" s="56">
        <v>0.69921149999999999</v>
      </c>
      <c r="E77" s="56">
        <v>-0.38549050000000001</v>
      </c>
      <c r="F77" s="8" t="s">
        <v>14</v>
      </c>
      <c r="G77" s="54"/>
      <c r="O77" s="77"/>
      <c r="P77" s="77"/>
      <c r="Q77" s="77"/>
    </row>
    <row r="78" spans="1:17" x14ac:dyDescent="0.3">
      <c r="A78" s="5" t="s">
        <v>215</v>
      </c>
      <c r="B78" s="7" t="s">
        <v>150</v>
      </c>
      <c r="C78" s="57">
        <v>0.94014050370370361</v>
      </c>
      <c r="D78" s="57">
        <v>-1.0177711999999999</v>
      </c>
      <c r="E78" s="57">
        <v>4.0490999999999999E-2</v>
      </c>
      <c r="F78" s="6" t="s">
        <v>14</v>
      </c>
      <c r="G78" s="54"/>
      <c r="O78" s="77"/>
      <c r="P78" s="77"/>
      <c r="Q78" s="77"/>
    </row>
    <row r="79" spans="1:17" x14ac:dyDescent="0.3">
      <c r="A79" s="21" t="s">
        <v>234</v>
      </c>
      <c r="B79" s="22" t="s">
        <v>156</v>
      </c>
      <c r="C79" s="56">
        <v>0.92516509012345682</v>
      </c>
      <c r="D79" s="56">
        <v>3.4318722999999998</v>
      </c>
      <c r="E79" s="56">
        <v>-0.12530160000000001</v>
      </c>
      <c r="F79" s="8" t="s">
        <v>14</v>
      </c>
      <c r="G79" s="54"/>
      <c r="O79" s="77"/>
      <c r="P79" s="77"/>
      <c r="Q79" s="77"/>
    </row>
    <row r="80" spans="1:17" x14ac:dyDescent="0.3">
      <c r="A80" s="5" t="s">
        <v>214</v>
      </c>
      <c r="B80" s="7" t="s">
        <v>132</v>
      </c>
      <c r="C80" s="57">
        <v>0.91935131234567891</v>
      </c>
      <c r="D80" s="57">
        <v>-5.2230540000000003</v>
      </c>
      <c r="E80" s="57">
        <v>-0.44865450000000001</v>
      </c>
      <c r="F80" s="6" t="s">
        <v>16</v>
      </c>
      <c r="G80" s="54"/>
      <c r="O80" s="77"/>
      <c r="P80" s="77"/>
      <c r="Q80" s="77"/>
    </row>
    <row r="81" spans="1:17" x14ac:dyDescent="0.3">
      <c r="A81" s="21" t="s">
        <v>216</v>
      </c>
      <c r="B81" s="22" t="s">
        <v>92</v>
      </c>
      <c r="C81" s="56">
        <v>0.90025002887467653</v>
      </c>
      <c r="D81" s="56">
        <v>-6.5944602849499994</v>
      </c>
      <c r="E81" s="56">
        <v>0.13896096679</v>
      </c>
      <c r="F81" s="8" t="s">
        <v>14</v>
      </c>
      <c r="G81" s="54"/>
      <c r="O81" s="77"/>
      <c r="P81" s="77"/>
      <c r="Q81" s="77"/>
    </row>
    <row r="82" spans="1:17" x14ac:dyDescent="0.3">
      <c r="A82" s="5" t="s">
        <v>210</v>
      </c>
      <c r="B82" s="7" t="s">
        <v>136</v>
      </c>
      <c r="C82" s="57">
        <v>0.89802107222222216</v>
      </c>
      <c r="D82" s="57">
        <v>-1.3239620000000001</v>
      </c>
      <c r="E82" s="57">
        <v>-0.53212499999999996</v>
      </c>
      <c r="F82" s="6" t="s">
        <v>11</v>
      </c>
      <c r="G82" s="54"/>
      <c r="O82" s="77"/>
      <c r="P82" s="77"/>
      <c r="Q82" s="77"/>
    </row>
    <row r="83" spans="1:17" x14ac:dyDescent="0.3">
      <c r="A83" s="21" t="s">
        <v>220</v>
      </c>
      <c r="B83" s="22" t="s">
        <v>138</v>
      </c>
      <c r="C83" s="56">
        <v>0.89147387625374086</v>
      </c>
      <c r="D83" s="56">
        <v>-8.6500942484200003</v>
      </c>
      <c r="E83" s="56">
        <v>-0.18261835462000001</v>
      </c>
      <c r="F83" s="8" t="s">
        <v>17</v>
      </c>
      <c r="G83" s="54"/>
      <c r="O83" s="77"/>
      <c r="P83" s="77"/>
      <c r="Q83" s="77"/>
    </row>
    <row r="84" spans="1:17" x14ac:dyDescent="0.3">
      <c r="A84" s="5" t="s">
        <v>218</v>
      </c>
      <c r="B84" s="7" t="s">
        <v>134</v>
      </c>
      <c r="C84" s="57">
        <v>0.85045895308641983</v>
      </c>
      <c r="D84" s="57">
        <v>-9.8411089999999994</v>
      </c>
      <c r="E84" s="57">
        <v>0.32960050000000002</v>
      </c>
      <c r="F84" s="6" t="s">
        <v>17</v>
      </c>
      <c r="G84" s="54"/>
      <c r="O84" s="77"/>
      <c r="P84" s="77"/>
      <c r="Q84" s="77"/>
    </row>
    <row r="85" spans="1:17" x14ac:dyDescent="0.3">
      <c r="A85" s="21" t="s">
        <v>238</v>
      </c>
      <c r="B85" s="22" t="s">
        <v>154</v>
      </c>
      <c r="C85" s="56">
        <v>0.78318191666666659</v>
      </c>
      <c r="D85" s="56">
        <v>-15.025270000000001</v>
      </c>
      <c r="E85" s="56">
        <v>6.5337999999999993E-2</v>
      </c>
      <c r="F85" s="8" t="s">
        <v>160</v>
      </c>
      <c r="G85" s="54"/>
      <c r="O85" s="77"/>
      <c r="P85" s="77"/>
      <c r="Q85" s="77"/>
    </row>
    <row r="86" spans="1:17" x14ac:dyDescent="0.3">
      <c r="A86" s="5" t="s">
        <v>229</v>
      </c>
      <c r="B86" s="7" t="s">
        <v>126</v>
      </c>
      <c r="C86" s="57">
        <v>0.70598066296296302</v>
      </c>
      <c r="D86" s="57">
        <v>7.1689600000000002</v>
      </c>
      <c r="E86" s="57">
        <v>-7.3450000000000002E-4</v>
      </c>
      <c r="F86" s="6" t="s">
        <v>17</v>
      </c>
      <c r="G86" s="54"/>
      <c r="O86" s="77"/>
      <c r="P86" s="77"/>
      <c r="Q86" s="77"/>
    </row>
    <row r="87" spans="1:17" x14ac:dyDescent="0.3">
      <c r="A87" s="21" t="s">
        <v>228</v>
      </c>
      <c r="B87" s="22" t="s">
        <v>135</v>
      </c>
      <c r="C87" s="56">
        <v>0.66653498518518506</v>
      </c>
      <c r="D87" s="56">
        <v>-6.1948749999999997</v>
      </c>
      <c r="E87" s="56">
        <v>-6.9766499999999995E-2</v>
      </c>
      <c r="F87" s="8" t="s">
        <v>17</v>
      </c>
      <c r="G87" s="54"/>
      <c r="O87" s="77"/>
      <c r="P87" s="77"/>
      <c r="Q87" s="77"/>
    </row>
    <row r="88" spans="1:17" x14ac:dyDescent="0.3">
      <c r="A88" s="5" t="s">
        <v>230</v>
      </c>
      <c r="B88" s="7" t="s">
        <v>86</v>
      </c>
      <c r="C88" s="57">
        <v>0.62075215123456784</v>
      </c>
      <c r="D88" s="57">
        <v>-1.7837455</v>
      </c>
      <c r="E88" s="57">
        <v>0.53709600000000002</v>
      </c>
      <c r="F88" s="6" t="s">
        <v>11</v>
      </c>
      <c r="G88" s="54"/>
      <c r="O88" s="77"/>
      <c r="P88" s="77"/>
      <c r="Q88" s="77"/>
    </row>
    <row r="89" spans="1:17" x14ac:dyDescent="0.3">
      <c r="A89" s="21" t="s">
        <v>261</v>
      </c>
      <c r="B89" s="22" t="s">
        <v>260</v>
      </c>
      <c r="C89" s="56">
        <v>0.60581111517241371</v>
      </c>
      <c r="D89" s="56">
        <v>-6.8329009999999997</v>
      </c>
      <c r="E89" s="56">
        <v>1.2922990000000001</v>
      </c>
      <c r="F89" s="8" t="s">
        <v>14</v>
      </c>
      <c r="G89" s="54"/>
      <c r="O89" s="77"/>
      <c r="P89" s="77"/>
      <c r="Q89" s="77"/>
    </row>
    <row r="90" spans="1:17" x14ac:dyDescent="0.3">
      <c r="A90" s="5" t="s">
        <v>226</v>
      </c>
      <c r="B90" s="7" t="s">
        <v>144</v>
      </c>
      <c r="C90" s="57">
        <v>0.5971881716049382</v>
      </c>
      <c r="D90" s="57">
        <v>-1.1728285000000001</v>
      </c>
      <c r="E90" s="57">
        <v>0.41604049999999998</v>
      </c>
      <c r="F90" s="6" t="s">
        <v>17</v>
      </c>
      <c r="G90" s="54"/>
      <c r="O90" s="77"/>
      <c r="P90" s="77"/>
      <c r="Q90" s="77"/>
    </row>
    <row r="91" spans="1:17" x14ac:dyDescent="0.3">
      <c r="A91" s="21" t="s">
        <v>232</v>
      </c>
      <c r="B91" s="22" t="s">
        <v>122</v>
      </c>
      <c r="C91" s="56">
        <v>0.57760690864197539</v>
      </c>
      <c r="D91" s="56">
        <v>-2.4810191000000001</v>
      </c>
      <c r="E91" s="56">
        <v>4.2100100000000001E-2</v>
      </c>
      <c r="F91" s="8" t="s">
        <v>159</v>
      </c>
      <c r="G91" s="54"/>
      <c r="O91" s="77"/>
      <c r="P91" s="77"/>
      <c r="Q91" s="77"/>
    </row>
    <row r="92" spans="1:17" x14ac:dyDescent="0.3">
      <c r="A92" s="5" t="s">
        <v>241</v>
      </c>
      <c r="B92" s="7" t="s">
        <v>155</v>
      </c>
      <c r="C92" s="57">
        <v>0.57638532160493827</v>
      </c>
      <c r="D92" s="57">
        <v>4.6558950000000001</v>
      </c>
      <c r="E92" s="57">
        <v>0.581932</v>
      </c>
      <c r="F92" s="6" t="s">
        <v>14</v>
      </c>
      <c r="G92" s="54"/>
      <c r="O92" s="77"/>
      <c r="P92" s="77"/>
      <c r="Q92" s="77"/>
    </row>
    <row r="93" spans="1:17" x14ac:dyDescent="0.3">
      <c r="A93" s="21" t="s">
        <v>239</v>
      </c>
      <c r="B93" s="22" t="s">
        <v>137</v>
      </c>
      <c r="C93" s="56">
        <v>0.53949629444444447</v>
      </c>
      <c r="D93" s="56">
        <v>-8.6037724999999998</v>
      </c>
      <c r="E93" s="56">
        <v>-1.5263564999999999</v>
      </c>
      <c r="F93" s="8" t="s">
        <v>11</v>
      </c>
      <c r="G93" s="54"/>
      <c r="O93" s="77"/>
      <c r="P93" s="77"/>
      <c r="Q93" s="77"/>
    </row>
    <row r="94" spans="1:17" x14ac:dyDescent="0.3">
      <c r="A94" s="5" t="s">
        <v>225</v>
      </c>
      <c r="B94" s="7" t="s">
        <v>124</v>
      </c>
      <c r="C94" s="57">
        <v>0.52886549393117288</v>
      </c>
      <c r="D94" s="57">
        <v>2.2767129829299999</v>
      </c>
      <c r="E94" s="57">
        <v>0.50530705500000006</v>
      </c>
      <c r="F94" s="6" t="s">
        <v>17</v>
      </c>
      <c r="G94" s="54"/>
      <c r="O94" s="77"/>
      <c r="P94" s="77"/>
      <c r="Q94" s="77"/>
    </row>
    <row r="95" spans="1:17" x14ac:dyDescent="0.3">
      <c r="A95" s="21" t="s">
        <v>233</v>
      </c>
      <c r="B95" s="22" t="s">
        <v>153</v>
      </c>
      <c r="C95" s="56">
        <v>0.48055055740740737</v>
      </c>
      <c r="D95" s="56">
        <v>-2.775563</v>
      </c>
      <c r="E95" s="56">
        <v>-6.6590999999999997E-2</v>
      </c>
      <c r="F95" s="8" t="s">
        <v>14</v>
      </c>
      <c r="G95" s="54"/>
      <c r="O95" s="77"/>
      <c r="P95" s="77"/>
      <c r="Q95" s="77"/>
    </row>
    <row r="96" spans="1:17" x14ac:dyDescent="0.3">
      <c r="A96" s="5" t="s">
        <v>252</v>
      </c>
      <c r="B96" s="7" t="s">
        <v>253</v>
      </c>
      <c r="C96" s="57">
        <v>0.47871038024691354</v>
      </c>
      <c r="D96" s="57">
        <v>1.9788512</v>
      </c>
      <c r="E96" s="57">
        <v>0.79173550000000004</v>
      </c>
      <c r="F96" s="6" t="s">
        <v>11</v>
      </c>
      <c r="G96" s="54"/>
      <c r="O96" s="77"/>
      <c r="P96" s="77"/>
      <c r="Q96" s="77"/>
    </row>
    <row r="97" spans="1:17" x14ac:dyDescent="0.3">
      <c r="A97" s="21" t="s">
        <v>263</v>
      </c>
      <c r="B97" s="22" t="s">
        <v>262</v>
      </c>
      <c r="C97" s="56">
        <v>0.458096612345679</v>
      </c>
      <c r="D97" s="56">
        <v>-1.2824152</v>
      </c>
      <c r="E97" s="56">
        <v>2.1300000000000052E-3</v>
      </c>
      <c r="F97" s="8" t="s">
        <v>14</v>
      </c>
      <c r="G97" s="54"/>
      <c r="O97" s="77"/>
      <c r="P97" s="77"/>
      <c r="Q97" s="77"/>
    </row>
    <row r="98" spans="1:17" x14ac:dyDescent="0.3">
      <c r="A98" s="5" t="s">
        <v>243</v>
      </c>
      <c r="B98" s="7" t="s">
        <v>244</v>
      </c>
      <c r="C98" s="57">
        <v>0.44522066141975308</v>
      </c>
      <c r="D98" s="57">
        <v>-16.932389000000001</v>
      </c>
      <c r="E98" s="57">
        <v>4.2130000000000001E-2</v>
      </c>
      <c r="F98" s="6" t="s">
        <v>15</v>
      </c>
      <c r="G98" s="54"/>
      <c r="O98" s="77"/>
      <c r="P98" s="77"/>
      <c r="Q98" s="77"/>
    </row>
    <row r="99" spans="1:17" x14ac:dyDescent="0.3">
      <c r="A99" s="21" t="s">
        <v>255</v>
      </c>
      <c r="B99" s="22" t="s">
        <v>256</v>
      </c>
      <c r="C99" s="56">
        <v>0.40598912962962963</v>
      </c>
      <c r="D99" s="56">
        <v>-1.0190129999999999</v>
      </c>
      <c r="E99" s="56">
        <v>0.124526</v>
      </c>
      <c r="F99" s="8" t="s">
        <v>158</v>
      </c>
      <c r="G99" s="54"/>
      <c r="O99" s="77"/>
      <c r="P99" s="77"/>
      <c r="Q99" s="77"/>
    </row>
    <row r="100" spans="1:17" x14ac:dyDescent="0.3">
      <c r="A100" s="5" t="s">
        <v>259</v>
      </c>
      <c r="B100" s="7" t="s">
        <v>258</v>
      </c>
      <c r="C100" s="57">
        <v>0.3938366858770988</v>
      </c>
      <c r="D100" s="57">
        <v>43.268059857940003</v>
      </c>
      <c r="E100" s="57">
        <v>-0.17880631419999998</v>
      </c>
      <c r="F100" s="6" t="s">
        <v>17</v>
      </c>
      <c r="G100" s="54"/>
      <c r="O100" s="77"/>
      <c r="P100" s="77"/>
      <c r="Q100" s="77"/>
    </row>
    <row r="101" spans="1:17" x14ac:dyDescent="0.3">
      <c r="A101" s="80" t="s">
        <v>285</v>
      </c>
      <c r="B101" s="81" t="s">
        <v>284</v>
      </c>
      <c r="C101" s="82">
        <v>0.38424269660185179</v>
      </c>
      <c r="D101" s="82">
        <v>8.9772226335000003</v>
      </c>
      <c r="E101" s="82">
        <v>-1.3055426104999999</v>
      </c>
      <c r="F101" s="9" t="s">
        <v>160</v>
      </c>
      <c r="G101" s="54"/>
      <c r="O101" s="77"/>
      <c r="P101" s="77"/>
      <c r="Q101" s="77"/>
    </row>
    <row r="102" spans="1:17" x14ac:dyDescent="0.3">
      <c r="A102" s="46"/>
      <c r="B102" s="10"/>
      <c r="C102" s="10"/>
      <c r="D102" s="10"/>
      <c r="E102" s="10"/>
      <c r="F102" s="47"/>
    </row>
    <row r="105" spans="1:17" x14ac:dyDescent="0.3">
      <c r="A105" s="11" t="s">
        <v>80</v>
      </c>
    </row>
    <row r="106" spans="1:17" x14ac:dyDescent="0.3">
      <c r="A106" s="11" t="s">
        <v>141</v>
      </c>
    </row>
    <row r="107" spans="1:17" x14ac:dyDescent="0.3">
      <c r="A107" s="11" t="s">
        <v>140</v>
      </c>
    </row>
    <row r="108" spans="1:17" x14ac:dyDescent="0.3">
      <c r="A108" s="11" t="s">
        <v>146</v>
      </c>
    </row>
    <row r="109" spans="1:17" x14ac:dyDescent="0.3">
      <c r="A109" s="11" t="s">
        <v>73</v>
      </c>
    </row>
  </sheetData>
  <conditionalFormatting sqref="D2:E101">
    <cfRule type="cellIs" dxfId="0" priority="1" operator="lessThan">
      <formula>0</formula>
    </cfRule>
  </conditionalFormatting>
  <pageMargins left="0.7" right="0.7" top="0.75" bottom="0.75" header="0.3" footer="0.3"/>
  <pageSetup scale="65" orientation="portrait" r:id="rId1"/>
  <ignoredErrors>
    <ignoredError sqref="B6 B36 B67 B75"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Terence Wong</cp:lastModifiedBy>
  <cp:lastPrinted>2024-07-01T01:26:22Z</cp:lastPrinted>
  <dcterms:created xsi:type="dcterms:W3CDTF">2020-01-13T01:31:10Z</dcterms:created>
  <dcterms:modified xsi:type="dcterms:W3CDTF">2024-08-26T05:39:24Z</dcterms:modified>
</cp:coreProperties>
</file>