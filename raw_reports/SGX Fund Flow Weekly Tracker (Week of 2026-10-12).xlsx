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54DEE5D2-FF1F-4E4E-A98F-FE59C002E47E}" xr6:coauthVersionLast="47" xr6:coauthVersionMax="47" xr10:uidLastSave="{00000000-0000-0000-0000-000000000000}"/>
  <bookViews>
    <workbookView xWindow="13995" yWindow="-163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<sst xmlns="http://schemas.openxmlformats.org/spreadsheetml/2006/main" count="140" uniqueCount="86">
  <si>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</si>
  <si>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</si>
  <si>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</si>
  <si>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</si>
  <si>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</si>
  <si>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</si>
  <si>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</si>
  <si>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</si>
  <si>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</si>
  <si>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</si>
  <si>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</si>
  <si>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</si>
  <si>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</si>
  <si>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</si>
  <si>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</si>
  <si>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</si>
  <si>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</si>
  <si>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</si>
  <si>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</si>
  <si>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</si>
  <si>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</si>
  <si>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</si>
  <si>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</si>
  <si>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</si>
  <si>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</si>
  <si>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</si>
  <si>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</si>
  <si>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</si>
  <si>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</si>
  <si>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</si>
  <si>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</si>
  <si>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</si>
  <si>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</si>
  <si>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</si>
  <si>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</si>
  <si>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</si>
  <si>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UOB</t>
  </si>
  <si>
    <t>U11</t>
  </si>
  <si>
    <t>SGX</t>
  </si>
  <si>
    <t>S68</t>
  </si>
  <si>
    <t>Keppel</t>
  </si>
  <si>
    <t>BN4</t>
  </si>
  <si>
    <t xml:space="preserve">AEM </t>
  </si>
  <si>
    <t>AWX</t>
  </si>
  <si>
    <t>Singtel</t>
  </si>
  <si>
    <t>Z74</t>
  </si>
  <si>
    <t>Yangzijiang Shipbuilding</t>
  </si>
  <si>
    <t>BS6</t>
  </si>
  <si>
    <t>UMS</t>
  </si>
  <si>
    <t>ST Engineering</t>
  </si>
  <si>
    <t>S63</t>
  </si>
  <si>
    <t>Genting Singapore</t>
  </si>
  <si>
    <t>G13</t>
  </si>
  <si>
    <t>CapitaLand Ascendas REIT</t>
  </si>
  <si>
    <t>A17U</t>
  </si>
  <si>
    <t>Seatrium</t>
  </si>
  <si>
    <t>5E2</t>
  </si>
  <si>
    <t>CapitaLand Investment</t>
  </si>
  <si>
    <t>9CI</t>
  </si>
  <si>
    <t>SIA</t>
  </si>
  <si>
    <t>C6L</t>
  </si>
  <si>
    <t>Sembcorp Industries</t>
  </si>
  <si>
    <t>U96</t>
  </si>
  <si>
    <t>CapitaLand Integrated Commercial Trust</t>
  </si>
  <si>
    <t>C38U</t>
  </si>
  <si>
    <t>Hongkong Land</t>
  </si>
  <si>
    <t>H78</t>
  </si>
  <si>
    <t>Q&amp;M Dental</t>
  </si>
  <si>
    <t>QC7</t>
  </si>
  <si>
    <t>DFI Retail Group</t>
  </si>
  <si>
    <t>D01</t>
  </si>
  <si>
    <t>Frasers Logistics &amp; Commercial Trust</t>
  </si>
  <si>
    <t>BUOU</t>
  </si>
  <si>
    <t>City Developments</t>
  </si>
  <si>
    <t>C09</t>
  </si>
  <si>
    <t>558</t>
  </si>
  <si>
    <t>Mapletree Pan Asia Commercial Trust</t>
  </si>
  <si>
    <t>N2IU</t>
  </si>
  <si>
    <t>Yangzijiang Financial</t>
  </si>
  <si>
    <t>YF8</t>
  </si>
  <si>
    <t>Top Glove</t>
  </si>
  <si>
    <t>BVA</t>
  </si>
  <si>
    <t>Week of 12 October 2026</t>
  </si>
  <si>
    <r>
      <t xml:space="preserve">Institutional investors net </t>
    </r>
    <r>
      <rPr>
        <b/>
        <sz val="11"/>
        <rFont val="Arial"/>
        <family val="2"/>
      </rPr>
      <t>sell</t>
    </r>
    <r>
      <rPr>
        <sz val="11"/>
        <rFont val="Arial"/>
        <family val="2"/>
      </rPr>
      <t xml:space="preserve"> (-S$214.8m) vs. (-S$895.9m) a week ago</t>
    </r>
  </si>
  <si>
    <r>
      <t xml:space="preserve">Retail investors net </t>
    </r>
    <r>
      <rPr>
        <b/>
        <sz val="11"/>
        <rFont val="Arial"/>
        <family val="2"/>
      </rPr>
      <t>buy</t>
    </r>
    <r>
      <rPr>
        <sz val="11"/>
        <rFont val="Arial"/>
        <family val="2"/>
      </rPr>
      <t xml:space="preserve"> (+S$267.3m) vs. (+S$760.5m) a week ago</t>
    </r>
  </si>
  <si>
    <t>Visit SGX Data Desk (https://sgxdatadesk.com) for direct access to SGX analytics and historical market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</si>
</sst>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82</v>
      </c>
      <c r="C1" s="59"/>
    </row>
    <row r="2" spans="1:13" x14ac:dyDescent="0.3">
      <c r="A2" s="52" t="s">
        <v>83</v>
      </c>
      <c r="I2" s="40"/>
    </row>
    <row r="3" spans="1:13" x14ac:dyDescent="0.3">
      <c r="A3" s="52" t="s">
        <v>84</v>
      </c>
      <c r="I3" s="40"/>
    </row>
    <row r="5" spans="1:13" ht="29.25" customHeight="1" x14ac:dyDescent="0.3">
      <c r="A5" s="3" t="s">
        <v>0</v>
      </c>
      <c r="B5" s="3" t="s">
        <v>1</v>
      </c>
      <c r="C5" s="4" t="s">
        <v>82</v>
      </c>
      <c r="D5" s="43" t="s">
        <v>2</v>
      </c>
      <c r="E5" s="43" t="s">
        <v>1</v>
      </c>
      <c r="F5" s="44" t="str">
        <f>+C5</f>
        <v>Week of 12 October 2026</v>
      </c>
      <c r="I5" s="2"/>
    </row>
    <row r="6" spans="1:13" ht="14.5" x14ac:dyDescent="0.35">
      <c r="A6" s="28" t="s">
        <v>36</v>
      </c>
      <c r="B6" s="46" t="s">
        <v>37</v>
      </c>
      <c r="C6" s="5">
        <v>76.077405099999993</v>
      </c>
      <c r="D6" s="28" t="s">
        <v>34</v>
      </c>
      <c r="E6" s="46" t="s">
        <v>35</v>
      </c>
      <c r="F6" s="5">
        <v>-98.507232200000004</v>
      </c>
      <c r="G6" s="61"/>
      <c r="H6"/>
      <c r="I6" s="2"/>
      <c r="M6"/>
    </row>
    <row r="7" spans="1:13" ht="14.5" x14ac:dyDescent="0.35">
      <c r="A7" s="29" t="s">
        <v>46</v>
      </c>
      <c r="B7" s="9" t="s">
        <v>47</v>
      </c>
      <c r="C7" s="7">
        <v>38.241016999999999</v>
      </c>
      <c r="D7" s="29" t="s">
        <v>42</v>
      </c>
      <c r="E7" s="9" t="s">
        <v>43</v>
      </c>
      <c r="F7" s="7">
        <v>-71.587990000000005</v>
      </c>
      <c r="G7" s="61"/>
      <c r="H7"/>
      <c r="I7" s="2"/>
      <c r="L7"/>
      <c r="M7"/>
    </row>
    <row r="8" spans="1:13" ht="14.5" x14ac:dyDescent="0.35">
      <c r="A8" s="30" t="s">
        <v>38</v>
      </c>
      <c r="B8" s="46" t="s">
        <v>39</v>
      </c>
      <c r="C8" s="5">
        <v>27.8292398</v>
      </c>
      <c r="D8" s="30" t="s">
        <v>22</v>
      </c>
      <c r="E8" s="46" t="s">
        <v>21</v>
      </c>
      <c r="F8" s="5">
        <v>-41.968027599999999</v>
      </c>
      <c r="G8" s="61"/>
      <c r="H8"/>
      <c r="I8" s="2"/>
      <c r="L8"/>
      <c r="M8"/>
    </row>
    <row r="9" spans="1:13" ht="14.5" x14ac:dyDescent="0.35">
      <c r="A9" s="29" t="s">
        <v>63</v>
      </c>
      <c r="B9" s="9" t="s">
        <v>64</v>
      </c>
      <c r="C9" s="7">
        <v>26.45215</v>
      </c>
      <c r="D9" s="29" t="s">
        <v>40</v>
      </c>
      <c r="E9" s="9" t="s">
        <v>41</v>
      </c>
      <c r="F9" s="7">
        <v>-34.614547899999998</v>
      </c>
      <c r="G9" s="61"/>
      <c r="H9"/>
      <c r="I9" s="2"/>
      <c r="L9"/>
      <c r="M9"/>
    </row>
    <row r="10" spans="1:13" ht="14.5" x14ac:dyDescent="0.35">
      <c r="A10" s="30" t="s">
        <v>61</v>
      </c>
      <c r="B10" s="46" t="s">
        <v>62</v>
      </c>
      <c r="C10" s="5">
        <v>25.373258</v>
      </c>
      <c r="D10" s="30" t="s">
        <v>57</v>
      </c>
      <c r="E10" s="46" t="s">
        <v>58</v>
      </c>
      <c r="F10" s="5">
        <v>-32.689937999999998</v>
      </c>
      <c r="G10" s="61"/>
      <c r="H10"/>
      <c r="I10" s="2"/>
      <c r="L10"/>
      <c r="M10"/>
    </row>
    <row r="11" spans="1:13" ht="14.5" x14ac:dyDescent="0.35">
      <c r="A11" s="29" t="s">
        <v>65</v>
      </c>
      <c r="B11" s="9" t="s">
        <v>66</v>
      </c>
      <c r="C11" s="7">
        <v>16.385192917099999</v>
      </c>
      <c r="D11" s="29" t="s">
        <v>59</v>
      </c>
      <c r="E11" s="9" t="s">
        <v>60</v>
      </c>
      <c r="F11" s="7">
        <v>-20.123435000000001</v>
      </c>
      <c r="G11" s="61"/>
      <c r="H11"/>
      <c r="I11" s="2"/>
      <c r="L11"/>
      <c r="M11"/>
    </row>
    <row r="12" spans="1:13" ht="14.5" x14ac:dyDescent="0.35">
      <c r="A12" s="30" t="s">
        <v>69</v>
      </c>
      <c r="B12" s="46" t="s">
        <v>70</v>
      </c>
      <c r="C12" s="5">
        <v>11.0227621855</v>
      </c>
      <c r="D12" s="30" t="s">
        <v>48</v>
      </c>
      <c r="E12" s="46" t="s">
        <v>75</v>
      </c>
      <c r="F12" s="5">
        <v>-17.373487999999998</v>
      </c>
      <c r="G12" s="61"/>
      <c r="H12"/>
      <c r="I12" s="2"/>
      <c r="L12"/>
      <c r="M12"/>
    </row>
    <row r="13" spans="1:13" ht="14.5" x14ac:dyDescent="0.35">
      <c r="A13" s="29" t="s">
        <v>44</v>
      </c>
      <c r="B13" s="9" t="s">
        <v>45</v>
      </c>
      <c r="C13" s="7">
        <v>4.8441936000000014</v>
      </c>
      <c r="D13" s="29" t="s">
        <v>55</v>
      </c>
      <c r="E13" s="9" t="s">
        <v>56</v>
      </c>
      <c r="F13" s="7">
        <v>-15.220276999999999</v>
      </c>
      <c r="G13" s="61"/>
      <c r="H13"/>
      <c r="I13" s="2"/>
      <c r="L13"/>
      <c r="M13"/>
    </row>
    <row r="14" spans="1:13" ht="14.5" x14ac:dyDescent="0.35">
      <c r="A14" s="30" t="s">
        <v>71</v>
      </c>
      <c r="B14" s="46" t="s">
        <v>72</v>
      </c>
      <c r="C14" s="5">
        <v>4.2515954999999996</v>
      </c>
      <c r="D14" s="30" t="s">
        <v>49</v>
      </c>
      <c r="E14" s="46" t="s">
        <v>50</v>
      </c>
      <c r="F14" s="5">
        <v>-12.014623</v>
      </c>
      <c r="G14" s="61"/>
      <c r="H14"/>
      <c r="I14" s="2"/>
      <c r="L14"/>
      <c r="M14"/>
    </row>
    <row r="15" spans="1:13" ht="14.5" x14ac:dyDescent="0.35">
      <c r="A15" s="31" t="s">
        <v>73</v>
      </c>
      <c r="B15" s="27" t="s">
        <v>74</v>
      </c>
      <c r="C15" s="8">
        <v>3.9272100000000001</v>
      </c>
      <c r="D15" s="31" t="s">
        <v>53</v>
      </c>
      <c r="E15" s="27" t="s">
        <v>54</v>
      </c>
      <c r="F15" s="8">
        <v>-11.044881999999999</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12 October 2026</v>
      </c>
      <c r="D18" s="45" t="s">
        <v>4</v>
      </c>
      <c r="E18" s="43" t="s">
        <v>1</v>
      </c>
      <c r="F18" s="44" t="str">
        <f>+C18</f>
        <v>Week of 12 October 2026</v>
      </c>
    </row>
    <row r="19" spans="1:9" x14ac:dyDescent="0.3">
      <c r="A19" s="30" t="s">
        <v>42</v>
      </c>
      <c r="B19" s="46" t="s">
        <v>43</v>
      </c>
      <c r="C19" s="16">
        <v>95.284946000000005</v>
      </c>
      <c r="D19" s="30" t="s">
        <v>36</v>
      </c>
      <c r="E19" s="15" t="s">
        <v>37</v>
      </c>
      <c r="F19" s="5">
        <v>-46.8227452</v>
      </c>
      <c r="I19" s="2"/>
    </row>
    <row r="20" spans="1:9" ht="14.5" x14ac:dyDescent="0.35">
      <c r="A20" s="29" t="s">
        <v>48</v>
      </c>
      <c r="B20" s="9" t="s">
        <v>75</v>
      </c>
      <c r="C20" s="7">
        <v>33.864010999999998</v>
      </c>
      <c r="D20" s="29" t="s">
        <v>46</v>
      </c>
      <c r="E20" s="17" t="s">
        <v>47</v>
      </c>
      <c r="F20" s="7">
        <v>-29.597263999999999</v>
      </c>
      <c r="G20" s="61"/>
      <c r="I20" s="2"/>
    </row>
    <row r="21" spans="1:9" ht="14.5" x14ac:dyDescent="0.35">
      <c r="A21" s="30" t="s">
        <v>55</v>
      </c>
      <c r="B21" s="46" t="s">
        <v>56</v>
      </c>
      <c r="C21" s="5">
        <v>31.162548999999999</v>
      </c>
      <c r="D21" s="30" t="s">
        <v>61</v>
      </c>
      <c r="E21" s="6" t="s">
        <v>62</v>
      </c>
      <c r="F21" s="5">
        <v>-28.602419000000001</v>
      </c>
      <c r="G21" s="61"/>
      <c r="I21" s="2"/>
    </row>
    <row r="22" spans="1:9" ht="14.5" x14ac:dyDescent="0.35">
      <c r="A22" s="29" t="s">
        <v>22</v>
      </c>
      <c r="B22" s="9" t="s">
        <v>21</v>
      </c>
      <c r="C22" s="7">
        <v>30.396602699999999</v>
      </c>
      <c r="D22" s="29" t="s">
        <v>65</v>
      </c>
      <c r="E22" s="17" t="s">
        <v>66</v>
      </c>
      <c r="F22" s="7">
        <v>-3.7584017561</v>
      </c>
      <c r="G22" s="61"/>
      <c r="I22" s="2"/>
    </row>
    <row r="23" spans="1:9" ht="14.5" x14ac:dyDescent="0.35">
      <c r="A23" s="30" t="s">
        <v>34</v>
      </c>
      <c r="B23" s="68" t="s">
        <v>35</v>
      </c>
      <c r="C23" s="69">
        <v>24.061358800000001</v>
      </c>
      <c r="D23" s="30" t="s">
        <v>78</v>
      </c>
      <c r="E23" s="6" t="s">
        <v>79</v>
      </c>
      <c r="F23" s="5">
        <v>-3.4963739999999999</v>
      </c>
      <c r="G23" s="61"/>
      <c r="I23" s="2"/>
    </row>
    <row r="24" spans="1:9" ht="14.5" x14ac:dyDescent="0.35">
      <c r="A24" s="70" t="s">
        <v>57</v>
      </c>
      <c r="B24" s="71" t="s">
        <v>58</v>
      </c>
      <c r="C24" s="72">
        <v>21.571359000000001</v>
      </c>
      <c r="D24" s="29" t="s">
        <v>51</v>
      </c>
      <c r="E24" s="17" t="s">
        <v>52</v>
      </c>
      <c r="F24" s="7">
        <v>-3.4155064999999998</v>
      </c>
      <c r="G24" s="61"/>
      <c r="I24" s="2"/>
    </row>
    <row r="25" spans="1:9" ht="14.5" x14ac:dyDescent="0.35">
      <c r="A25" s="30" t="s">
        <v>40</v>
      </c>
      <c r="B25" s="68" t="s">
        <v>41</v>
      </c>
      <c r="C25" s="69">
        <v>17.185954899999999</v>
      </c>
      <c r="D25" s="30" t="s">
        <v>67</v>
      </c>
      <c r="E25" s="6" t="s">
        <v>68</v>
      </c>
      <c r="F25" s="5">
        <v>-3.3905884999999998</v>
      </c>
      <c r="G25" s="61"/>
      <c r="I25" s="2"/>
    </row>
    <row r="26" spans="1:9" ht="14.5" x14ac:dyDescent="0.35">
      <c r="A26" s="70" t="s">
        <v>59</v>
      </c>
      <c r="B26" s="71" t="s">
        <v>60</v>
      </c>
      <c r="C26" s="72">
        <v>12.003999</v>
      </c>
      <c r="D26" s="29" t="s">
        <v>38</v>
      </c>
      <c r="E26" s="17" t="s">
        <v>39</v>
      </c>
      <c r="F26" s="7">
        <v>-3.3271571999999998</v>
      </c>
      <c r="G26" s="61"/>
      <c r="I26" s="2"/>
    </row>
    <row r="27" spans="1:9" ht="14.5" x14ac:dyDescent="0.35">
      <c r="A27" s="30" t="s">
        <v>49</v>
      </c>
      <c r="B27" s="46" t="s">
        <v>50</v>
      </c>
      <c r="C27" s="5">
        <v>11.870793000000001</v>
      </c>
      <c r="D27" s="30" t="s">
        <v>73</v>
      </c>
      <c r="E27" s="46" t="s">
        <v>74</v>
      </c>
      <c r="F27" s="5">
        <v>-2.7066859999999999</v>
      </c>
      <c r="G27" s="61"/>
      <c r="I27" s="2"/>
    </row>
    <row r="28" spans="1:9" ht="14.5" x14ac:dyDescent="0.35">
      <c r="A28" s="27" t="s">
        <v>76</v>
      </c>
      <c r="B28" s="56" t="s">
        <v>77</v>
      </c>
      <c r="C28" s="8">
        <v>8.1962860000000006</v>
      </c>
      <c r="D28" s="67" t="s">
        <v>80</v>
      </c>
      <c r="E28" s="56" t="s">
        <v>81</v>
      </c>
      <c r="F28" s="8">
        <v>-2.5859844999999999</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t="s">
        <v>85</v>
      </c>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0:B21 E12:E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-161.09824321231002</v>
      </c>
      <c r="B3" s="54">
        <v>46286</v>
      </c>
      <c r="C3" s="14">
        <v>0.61581616473999967</v>
      </c>
      <c r="D3" s="14">
        <v>-2.8786897087999996</v>
      </c>
      <c r="E3" s="14">
        <v>-1.9824638000000008</v>
      </c>
      <c r="F3" s="14">
        <v>-68.503075499999994</v>
      </c>
      <c r="G3" s="14">
        <v>-2.8509667688000007</v>
      </c>
      <c r="H3" s="14">
        <v>53.361529378699991</v>
      </c>
      <c r="I3" s="14">
        <v>-1.1121615000000002</v>
      </c>
      <c r="J3" s="14">
        <v>-18.616451033399997</v>
      </c>
      <c r="K3" s="14">
        <v>-79.76560114475005</v>
      </c>
      <c r="L3" s="14">
        <v>8.597190699999997</v>
      </c>
      <c r="M3" s="14">
        <v>-47.953719899999996</v>
      </c>
      <c r="N3" s="14">
        <v>-9.6500999999998421E-3</v>
      </c>
    </row>
    <row r="4" spans="1:15" x14ac:dyDescent="0.3">
      <c r="A4" s="38">
        <f>SUM(C4:N4)</f>
        <v>-309.29865062323989</v>
      </c>
      <c r="B4" s="42">
        <v>46293</v>
      </c>
      <c r="C4" s="53">
        <v>-4.51401390963</v>
      </c>
      <c r="D4" s="53">
        <v>-5.2473070780000013</v>
      </c>
      <c r="E4" s="53">
        <v>3.6890622999999998</v>
      </c>
      <c r="F4" s="53">
        <v>-37.570520599999995</v>
      </c>
      <c r="G4" s="53">
        <v>-6.6973278516499999</v>
      </c>
      <c r="H4" s="53">
        <v>-73.911993013999961</v>
      </c>
      <c r="I4" s="53">
        <v>5.7408999999999946E-2</v>
      </c>
      <c r="J4" s="53">
        <v>-92.458971875800003</v>
      </c>
      <c r="K4" s="53">
        <v>-154.43107834415997</v>
      </c>
      <c r="L4" s="53">
        <v>42.599410449999979</v>
      </c>
      <c r="M4" s="53">
        <v>19.837295700000002</v>
      </c>
      <c r="N4" s="53">
        <v>-0.65061539999999995</v>
      </c>
    </row>
    <row r="5" spans="1:15" x14ac:dyDescent="0.3">
      <c r="A5" s="38">
        <f>SUM(C5:N5)</f>
        <v>-895.87766925147992</v>
      </c>
      <c r="B5" s="66">
        <v>46300</v>
      </c>
      <c r="C5" s="14">
        <v>4.9442284419999991</v>
      </c>
      <c r="D5" s="14">
        <v>8.3792950999998006E-2</v>
      </c>
      <c r="E5" s="14">
        <v>-2.2749057000000001</v>
      </c>
      <c r="F5" s="14">
        <v>-772.96736537300001</v>
      </c>
      <c r="G5" s="14">
        <v>-5.2067675303000005</v>
      </c>
      <c r="H5" s="14">
        <v>-59.740679378879975</v>
      </c>
      <c r="I5" s="14">
        <v>-1.1231072000000004</v>
      </c>
      <c r="J5" s="14">
        <v>-0.59290447199999985</v>
      </c>
      <c r="K5" s="14">
        <v>-132.78865469029998</v>
      </c>
      <c r="L5" s="14">
        <v>47.559942199999995</v>
      </c>
      <c r="M5" s="14">
        <v>12.7019263</v>
      </c>
      <c r="N5" s="14">
        <v>13.526825200000003</v>
      </c>
    </row>
    <row r="6" spans="1:15" ht="14.5" x14ac:dyDescent="0.35">
      <c r="A6" s="38">
        <f>SUM(C6:N6)</f>
        <v>-214.76033371162998</v>
      </c>
      <c r="B6" s="58">
        <v>46307</v>
      </c>
      <c r="C6" s="53">
        <v>-8.149141494080002</v>
      </c>
      <c r="D6" s="53">
        <v>3.4468065854999979</v>
      </c>
      <c r="E6" s="53">
        <v>-0.53908280000000008</v>
      </c>
      <c r="F6" s="53">
        <v>-65.446615300000019</v>
      </c>
      <c r="G6" s="53">
        <v>-1.7288003279499997</v>
      </c>
      <c r="H6" s="53">
        <v>-57.031567038029962</v>
      </c>
      <c r="I6" s="53">
        <v>-1.2658040999999998</v>
      </c>
      <c r="J6" s="53">
        <v>15.722186617100007</v>
      </c>
      <c r="K6" s="53">
        <v>-21.408426904169996</v>
      </c>
      <c r="L6" s="53">
        <v>-105.83231935000002</v>
      </c>
      <c r="M6" s="53">
        <v>4.8963498000000012</v>
      </c>
      <c r="N6" s="53">
        <v>22.576080600000001</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-11.557349593689997</v>
      </c>
      <c r="B3" s="47">
        <v>46286</v>
      </c>
      <c r="C3" s="60">
        <v>4.0536695489600021</v>
      </c>
      <c r="D3" s="60">
        <v>12.086456343999998</v>
      </c>
      <c r="E3" s="60">
        <v>0.65858579999999989</v>
      </c>
      <c r="F3" s="60">
        <v>-157.85294630000001</v>
      </c>
      <c r="G3" s="60">
        <v>2.5906050559500002</v>
      </c>
      <c r="H3" s="60">
        <v>-17.323917914749988</v>
      </c>
      <c r="I3" s="60">
        <v>5.5802639999999988</v>
      </c>
      <c r="J3" s="60">
        <v>2.9412031761000001</v>
      </c>
      <c r="K3" s="60">
        <v>85.331450396049988</v>
      </c>
      <c r="L3" s="60">
        <v>-16.985215299999993</v>
      </c>
      <c r="M3" s="60">
        <v>52.291851299999998</v>
      </c>
      <c r="N3" s="60">
        <v>15.0706443</v>
      </c>
      <c r="P3" s="13"/>
    </row>
    <row r="4" spans="1:20" x14ac:dyDescent="0.3">
      <c r="A4" s="48">
        <f>SUM(C4:N4)</f>
        <v>377.56362352050996</v>
      </c>
      <c r="B4" s="58">
        <v>46293</v>
      </c>
      <c r="C4" s="55">
        <v>3.3157269357999986</v>
      </c>
      <c r="D4" s="55">
        <v>14.2166326598</v>
      </c>
      <c r="E4" s="55">
        <v>-4.3688103999999992</v>
      </c>
      <c r="F4" s="55">
        <v>207.64024069999999</v>
      </c>
      <c r="G4" s="55">
        <v>3.7519293923000006</v>
      </c>
      <c r="H4" s="55">
        <v>32.009014356050031</v>
      </c>
      <c r="I4" s="55">
        <v>0.39167490000000066</v>
      </c>
      <c r="J4" s="55">
        <v>117.40796338449998</v>
      </c>
      <c r="K4" s="55">
        <v>52.239471642059989</v>
      </c>
      <c r="L4" s="55">
        <v>-61.686153050000009</v>
      </c>
      <c r="M4" s="55">
        <v>11.470052000000001</v>
      </c>
      <c r="N4" s="55">
        <v>1.1758810000000002</v>
      </c>
      <c r="P4" s="13"/>
    </row>
    <row r="5" spans="1:20" x14ac:dyDescent="0.3">
      <c r="A5" s="48">
        <f>SUM(C5:N5)</f>
        <v>760.52230776646991</v>
      </c>
      <c r="B5" s="66">
        <v>46300</v>
      </c>
      <c r="C5" s="60">
        <v>-11.348627457180001</v>
      </c>
      <c r="D5" s="60">
        <v>15.296048870400003</v>
      </c>
      <c r="E5" s="60">
        <v>-9.3650499999999984E-2</v>
      </c>
      <c r="F5" s="60">
        <v>768.30175589299995</v>
      </c>
      <c r="G5" s="60">
        <v>3.0524259746999998</v>
      </c>
      <c r="H5" s="60">
        <v>11.528684271799996</v>
      </c>
      <c r="I5" s="60">
        <v>0.7555582999999999</v>
      </c>
      <c r="J5" s="60">
        <v>1.6950597025999994</v>
      </c>
      <c r="K5" s="60">
        <v>30.483159011150008</v>
      </c>
      <c r="L5" s="60">
        <v>-50.21155330000002</v>
      </c>
      <c r="M5" s="60">
        <v>-1.9573877999999989</v>
      </c>
      <c r="N5" s="60">
        <v>-6.9791652000000006</v>
      </c>
      <c r="P5" s="13"/>
    </row>
    <row r="6" spans="1:20" x14ac:dyDescent="0.3">
      <c r="A6" s="48">
        <f>SUM(C6:N6)</f>
        <v>267.26149260579984</v>
      </c>
      <c r="B6" s="58">
        <v>46307</v>
      </c>
      <c r="C6" s="55">
        <v>5.4550454782900015</v>
      </c>
      <c r="D6" s="55">
        <v>4.7261530745999991</v>
      </c>
      <c r="E6" s="55">
        <v>2.3909796000000005</v>
      </c>
      <c r="F6" s="55">
        <v>21.94091250000001</v>
      </c>
      <c r="G6" s="55">
        <v>-1.275693184650001</v>
      </c>
      <c r="H6" s="55">
        <v>45.013223389969966</v>
      </c>
      <c r="I6" s="55">
        <v>1.2023651</v>
      </c>
      <c r="J6" s="55">
        <v>-3.4937564560999994</v>
      </c>
      <c r="K6" s="55">
        <v>57.825206953689992</v>
      </c>
      <c r="L6" s="55">
        <v>151.48183354999992</v>
      </c>
      <c r="M6" s="55">
        <v>8.637618100000001</v>
      </c>
      <c r="N6" s="55">
        <v>-26.642395500000003</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2026-10-19T02:18:34Z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