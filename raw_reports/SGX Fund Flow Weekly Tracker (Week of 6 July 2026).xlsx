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5ABE5908-34BA-4E6D-A9C6-AEE2D1A07DF7}" xr6:coauthVersionLast="47" xr6:coauthVersionMax="47" xr10:uidLastSave="{00000000-0000-0000-0000-000000000000}"/>
  <bookViews>
    <workbookView xWindow="-16395" yWindow="-1647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<sst xmlns="http://schemas.openxmlformats.org/spreadsheetml/2006/main" count="139" uniqueCount="87">
  <si>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</si>
  <si>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</si>
  <si>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</si>
  <si>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</si>
  <si>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</si>
  <si>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</si>
  <si>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</si>
  <si>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</si>
  <si>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</si>
  <si>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</si>
  <si>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</si>
  <si>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</si>
  <si>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</si>
  <si>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</si>
  <si>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</si>
  <si>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</si>
  <si>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</si>
  <si>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</si>
  <si>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</si>
  <si>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</si>
  <si>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</si>
  <si>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</si>
  <si>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</si>
  <si>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</si>
  <si>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</si>
  <si>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</si>
  <si>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</si>
  <si>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</si>
  <si>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</si>
  <si>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</si>
  <si>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</si>
  <si>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</si>
  <si>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</si>
  <si>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</si>
  <si>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</si>
  <si>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</si>
  <si>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</si>
  <si>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</si>
  <si>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UOB</t>
  </si>
  <si>
    <t>U11</t>
  </si>
  <si>
    <t>SATS</t>
  </si>
  <si>
    <t>S58</t>
  </si>
  <si>
    <t xml:space="preserve">AEM </t>
  </si>
  <si>
    <t>AWX</t>
  </si>
  <si>
    <t>ST Engineering</t>
  </si>
  <si>
    <t>S63</t>
  </si>
  <si>
    <t>SIA</t>
  </si>
  <si>
    <t>C6L</t>
  </si>
  <si>
    <t>Sembcorp Industries</t>
  </si>
  <si>
    <t>U96</t>
  </si>
  <si>
    <t>Wilmar International</t>
  </si>
  <si>
    <t>F34</t>
  </si>
  <si>
    <t>CapitaLand Integrated Commercial Trust</t>
  </si>
  <si>
    <t>C38U</t>
  </si>
  <si>
    <t>Keppel</t>
  </si>
  <si>
    <t>BN4</t>
  </si>
  <si>
    <t>SGX</t>
  </si>
  <si>
    <t>S68</t>
  </si>
  <si>
    <t>CSE Global</t>
  </si>
  <si>
    <t>544</t>
  </si>
  <si>
    <t>Hongkong Land</t>
  </si>
  <si>
    <t>H78</t>
  </si>
  <si>
    <t>Keppel DC REIT</t>
  </si>
  <si>
    <t>AJBU</t>
  </si>
  <si>
    <t>Nanofilm</t>
  </si>
  <si>
    <t>MZH</t>
  </si>
  <si>
    <t>Keppel REIT</t>
  </si>
  <si>
    <t>K71U</t>
  </si>
  <si>
    <t>iFast Corporation</t>
  </si>
  <si>
    <t>AIY</t>
  </si>
  <si>
    <t>UOB Kay Hian</t>
  </si>
  <si>
    <t>U10</t>
  </si>
  <si>
    <t>Keppel Infrastructure Trust</t>
  </si>
  <si>
    <t>A7RU</t>
  </si>
  <si>
    <t>Jardine Matheson</t>
  </si>
  <si>
    <t>J36</t>
  </si>
  <si>
    <t>Yangzijiang Shipbuilding</t>
  </si>
  <si>
    <t>BS6</t>
  </si>
  <si>
    <t>A31</t>
  </si>
  <si>
    <t>Venture Corporation</t>
  </si>
  <si>
    <t>V03</t>
  </si>
  <si>
    <t>E28</t>
  </si>
  <si>
    <t>Week of 6 July 2026</t>
  </si>
  <si>
    <r>
      <t xml:space="preserve">Institutional investors net </t>
    </r>
    <r>
      <rPr>
        <b/>
        <sz val="11"/>
        <rFont val="Arial"/>
        <family val="2"/>
      </rPr>
      <t>buy</t>
    </r>
    <r>
      <rPr>
        <sz val="11"/>
        <rFont val="Arial"/>
        <family val="2"/>
      </rPr>
      <t xml:space="preserve"> (+S$126.7m) vs. (-S$236.6m) a week ago</t>
    </r>
  </si>
  <si>
    <r>
      <t xml:space="preserve">Retail investors net </t>
    </r>
    <r>
      <rPr>
        <b/>
        <sz val="11"/>
        <rFont val="Arial"/>
        <family val="2"/>
      </rPr>
      <t>sell</t>
    </r>
    <r>
      <rPr>
        <sz val="11"/>
        <rFont val="Arial"/>
        <family val="2"/>
      </rPr>
      <t xml:space="preserve"> (-S$225.3m) vs. (+S$63.8m) a week ago</t>
    </r>
  </si>
  <si>
    <t>Addvalue Tech</t>
  </si>
  <si>
    <t>Frencken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</si>
</sst>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0" zoomScaleNormal="8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82</v>
      </c>
      <c r="C1" s="59"/>
    </row>
    <row r="2" spans="1:13" x14ac:dyDescent="0.3">
      <c r="A2" s="52" t="s">
        <v>83</v>
      </c>
      <c r="I2" s="40"/>
    </row>
    <row r="3" spans="1:13" x14ac:dyDescent="0.3">
      <c r="A3" s="52" t="s">
        <v>84</v>
      </c>
      <c r="I3" s="40"/>
    </row>
    <row r="5" spans="1:13" ht="29.25" customHeight="1" x14ac:dyDescent="0.3">
      <c r="A5" s="3" t="s">
        <v>0</v>
      </c>
      <c r="B5" s="3" t="s">
        <v>1</v>
      </c>
      <c r="C5" s="4" t="s">
        <v>82</v>
      </c>
      <c r="D5" s="43" t="s">
        <v>2</v>
      </c>
      <c r="E5" s="43" t="s">
        <v>1</v>
      </c>
      <c r="F5" s="44" t="str">
        <f>+C5</f>
        <v>Week of 6 July 2026</v>
      </c>
      <c r="I5" s="2"/>
    </row>
    <row r="6" spans="1:13" ht="14.5" x14ac:dyDescent="0.35">
      <c r="A6" s="28" t="s">
        <v>38</v>
      </c>
      <c r="B6" s="46" t="s">
        <v>39</v>
      </c>
      <c r="C6" s="5">
        <v>118.833584</v>
      </c>
      <c r="D6" s="28" t="s">
        <v>36</v>
      </c>
      <c r="E6" s="46" t="s">
        <v>37</v>
      </c>
      <c r="F6" s="5">
        <v>-85.260022500000005</v>
      </c>
      <c r="G6" s="61"/>
      <c r="H6"/>
      <c r="I6" s="2"/>
      <c r="M6"/>
    </row>
    <row r="7" spans="1:13" ht="14.5" x14ac:dyDescent="0.35">
      <c r="A7" s="29" t="s">
        <v>46</v>
      </c>
      <c r="B7" s="9" t="s">
        <v>47</v>
      </c>
      <c r="C7" s="7">
        <v>109.23486800000001</v>
      </c>
      <c r="D7" s="29" t="s">
        <v>48</v>
      </c>
      <c r="E7" s="9" t="s">
        <v>49</v>
      </c>
      <c r="F7" s="7">
        <v>-77.044117</v>
      </c>
      <c r="G7" s="61"/>
      <c r="H7"/>
      <c r="I7" s="2"/>
      <c r="L7"/>
      <c r="M7"/>
    </row>
    <row r="8" spans="1:13" ht="14.5" x14ac:dyDescent="0.35">
      <c r="A8" s="30" t="s">
        <v>22</v>
      </c>
      <c r="B8" s="46" t="s">
        <v>21</v>
      </c>
      <c r="C8" s="5">
        <v>102.326284</v>
      </c>
      <c r="D8" s="30" t="s">
        <v>42</v>
      </c>
      <c r="E8" s="46" t="s">
        <v>43</v>
      </c>
      <c r="F8" s="5">
        <v>-29.172962999999999</v>
      </c>
      <c r="G8" s="61"/>
      <c r="H8"/>
      <c r="I8" s="2"/>
      <c r="L8"/>
      <c r="M8"/>
    </row>
    <row r="9" spans="1:13" ht="14.5" x14ac:dyDescent="0.35">
      <c r="A9" s="29" t="s">
        <v>34</v>
      </c>
      <c r="B9" s="9" t="s">
        <v>35</v>
      </c>
      <c r="C9" s="7">
        <v>44.487606</v>
      </c>
      <c r="D9" s="29" t="s">
        <v>62</v>
      </c>
      <c r="E9" s="9" t="s">
        <v>63</v>
      </c>
      <c r="F9" s="7">
        <v>-20.540499000000001</v>
      </c>
      <c r="G9" s="61"/>
      <c r="H9"/>
      <c r="I9" s="2"/>
      <c r="L9"/>
      <c r="M9"/>
    </row>
    <row r="10" spans="1:13" ht="14.5" x14ac:dyDescent="0.35">
      <c r="A10" s="30" t="s">
        <v>40</v>
      </c>
      <c r="B10" s="46" t="s">
        <v>41</v>
      </c>
      <c r="C10" s="5">
        <v>26.742144</v>
      </c>
      <c r="D10" s="30" t="s">
        <v>56</v>
      </c>
      <c r="E10" s="46" t="s">
        <v>57</v>
      </c>
      <c r="F10" s="5">
        <v>-16.650518999999999</v>
      </c>
      <c r="G10" s="61"/>
      <c r="H10"/>
      <c r="I10" s="2"/>
      <c r="L10"/>
      <c r="M10"/>
    </row>
    <row r="11" spans="1:13" ht="14.5" x14ac:dyDescent="0.35">
      <c r="A11" s="29" t="s">
        <v>44</v>
      </c>
      <c r="B11" s="9" t="s">
        <v>45</v>
      </c>
      <c r="C11" s="7">
        <v>22.280203</v>
      </c>
      <c r="D11" s="29" t="s">
        <v>72</v>
      </c>
      <c r="E11" s="9" t="s">
        <v>73</v>
      </c>
      <c r="F11" s="7">
        <v>-15.778848999999999</v>
      </c>
      <c r="G11" s="61"/>
      <c r="H11"/>
      <c r="I11" s="2"/>
      <c r="L11"/>
      <c r="M11"/>
    </row>
    <row r="12" spans="1:13" ht="14.5" x14ac:dyDescent="0.35">
      <c r="A12" s="30" t="s">
        <v>66</v>
      </c>
      <c r="B12" s="46" t="s">
        <v>67</v>
      </c>
      <c r="C12" s="5">
        <v>12.3648665</v>
      </c>
      <c r="D12" s="30" t="s">
        <v>74</v>
      </c>
      <c r="E12" s="46" t="s">
        <v>75</v>
      </c>
      <c r="F12" s="5">
        <v>-9.5715885832000005</v>
      </c>
      <c r="G12" s="61"/>
      <c r="H12"/>
      <c r="I12" s="2"/>
      <c r="L12"/>
      <c r="M12"/>
    </row>
    <row r="13" spans="1:13" ht="14.5" x14ac:dyDescent="0.35">
      <c r="A13" s="29" t="s">
        <v>60</v>
      </c>
      <c r="B13" s="9" t="s">
        <v>61</v>
      </c>
      <c r="C13" s="7">
        <v>10.5182227788</v>
      </c>
      <c r="D13" s="29" t="s">
        <v>52</v>
      </c>
      <c r="E13" s="9" t="s">
        <v>53</v>
      </c>
      <c r="F13" s="7">
        <v>-8.6317550000000001</v>
      </c>
      <c r="G13" s="61"/>
      <c r="H13"/>
      <c r="I13" s="2"/>
      <c r="L13"/>
      <c r="M13"/>
    </row>
    <row r="14" spans="1:13" ht="14.5" x14ac:dyDescent="0.35">
      <c r="A14" s="30" t="s">
        <v>68</v>
      </c>
      <c r="B14" s="46" t="s">
        <v>69</v>
      </c>
      <c r="C14" s="5">
        <v>9.6656890000000004</v>
      </c>
      <c r="D14" s="30" t="s">
        <v>58</v>
      </c>
      <c r="E14" s="46" t="s">
        <v>59</v>
      </c>
      <c r="F14" s="5">
        <v>-8.3832310000000003</v>
      </c>
      <c r="G14" s="61"/>
      <c r="H14"/>
      <c r="I14" s="2"/>
      <c r="L14"/>
      <c r="M14"/>
    </row>
    <row r="15" spans="1:13" ht="14.5" x14ac:dyDescent="0.35">
      <c r="A15" s="31" t="s">
        <v>70</v>
      </c>
      <c r="B15" s="27" t="s">
        <v>71</v>
      </c>
      <c r="C15" s="8">
        <v>6.2411490000000001</v>
      </c>
      <c r="D15" s="31" t="s">
        <v>76</v>
      </c>
      <c r="E15" s="27" t="s">
        <v>77</v>
      </c>
      <c r="F15" s="8">
        <v>-7.4917809999999996</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6 July 2026</v>
      </c>
      <c r="D18" s="45" t="s">
        <v>4</v>
      </c>
      <c r="E18" s="43" t="s">
        <v>1</v>
      </c>
      <c r="F18" s="44" t="str">
        <f>+C18</f>
        <v>Week of 6 July 2026</v>
      </c>
    </row>
    <row r="19" spans="1:9" x14ac:dyDescent="0.3">
      <c r="A19" s="30" t="s">
        <v>48</v>
      </c>
      <c r="B19" s="46" t="s">
        <v>49</v>
      </c>
      <c r="C19" s="16">
        <v>105.63423400000001</v>
      </c>
      <c r="D19" s="30" t="s">
        <v>22</v>
      </c>
      <c r="E19" s="15" t="s">
        <v>21</v>
      </c>
      <c r="F19" s="5">
        <v>-144.76561599999999</v>
      </c>
      <c r="I19" s="2"/>
    </row>
    <row r="20" spans="1:9" ht="14.5" x14ac:dyDescent="0.35">
      <c r="A20" s="29" t="s">
        <v>42</v>
      </c>
      <c r="B20" s="9" t="s">
        <v>43</v>
      </c>
      <c r="C20" s="7">
        <v>53.385508999999999</v>
      </c>
      <c r="D20" s="29" t="s">
        <v>38</v>
      </c>
      <c r="E20" s="17" t="s">
        <v>39</v>
      </c>
      <c r="F20" s="7">
        <v>-99.998321000000004</v>
      </c>
      <c r="G20" s="61"/>
      <c r="I20" s="2"/>
    </row>
    <row r="21" spans="1:9" ht="14.5" x14ac:dyDescent="0.35">
      <c r="A21" s="30" t="s">
        <v>36</v>
      </c>
      <c r="B21" s="46" t="s">
        <v>37</v>
      </c>
      <c r="C21" s="5">
        <v>50.529913200000003</v>
      </c>
      <c r="D21" s="30" t="s">
        <v>46</v>
      </c>
      <c r="E21" s="6" t="s">
        <v>47</v>
      </c>
      <c r="F21" s="5">
        <v>-91.740981000000005</v>
      </c>
      <c r="G21" s="61"/>
      <c r="I21" s="2"/>
    </row>
    <row r="22" spans="1:9" ht="14.5" x14ac:dyDescent="0.35">
      <c r="A22" s="29" t="s">
        <v>72</v>
      </c>
      <c r="B22" s="9" t="s">
        <v>73</v>
      </c>
      <c r="C22" s="7">
        <v>15.8320975</v>
      </c>
      <c r="D22" s="29" t="s">
        <v>34</v>
      </c>
      <c r="E22" s="17" t="s">
        <v>35</v>
      </c>
      <c r="F22" s="7">
        <v>-52.119191999999998</v>
      </c>
      <c r="G22" s="61"/>
      <c r="I22" s="2"/>
    </row>
    <row r="23" spans="1:9" ht="14.5" x14ac:dyDescent="0.35">
      <c r="A23" s="30" t="s">
        <v>85</v>
      </c>
      <c r="B23" s="68" t="s">
        <v>78</v>
      </c>
      <c r="C23" s="69">
        <v>12.4123254</v>
      </c>
      <c r="D23" s="30" t="s">
        <v>54</v>
      </c>
      <c r="E23" s="6" t="s">
        <v>55</v>
      </c>
      <c r="F23" s="5">
        <v>-30.966234</v>
      </c>
      <c r="G23" s="61"/>
      <c r="I23" s="2"/>
    </row>
    <row r="24" spans="1:9" ht="14.5" x14ac:dyDescent="0.35">
      <c r="A24" s="70" t="s">
        <v>56</v>
      </c>
      <c r="B24" s="71" t="s">
        <v>57</v>
      </c>
      <c r="C24" s="72">
        <v>11.539462</v>
      </c>
      <c r="D24" s="29" t="s">
        <v>44</v>
      </c>
      <c r="E24" s="17" t="s">
        <v>45</v>
      </c>
      <c r="F24" s="7">
        <v>-17.488947</v>
      </c>
      <c r="G24" s="61"/>
      <c r="I24" s="2"/>
    </row>
    <row r="25" spans="1:9" ht="14.5" x14ac:dyDescent="0.35">
      <c r="A25" s="30" t="s">
        <v>62</v>
      </c>
      <c r="B25" s="68" t="s">
        <v>63</v>
      </c>
      <c r="C25" s="69">
        <v>10.603505999999999</v>
      </c>
      <c r="D25" s="30" t="s">
        <v>40</v>
      </c>
      <c r="E25" s="6" t="s">
        <v>41</v>
      </c>
      <c r="F25" s="5">
        <v>-16.641380999999999</v>
      </c>
      <c r="G25" s="61"/>
      <c r="I25" s="2"/>
    </row>
    <row r="26" spans="1:9" ht="14.5" x14ac:dyDescent="0.35">
      <c r="A26" s="70" t="s">
        <v>79</v>
      </c>
      <c r="B26" s="71" t="s">
        <v>80</v>
      </c>
      <c r="C26" s="72">
        <v>9.3837290000000007</v>
      </c>
      <c r="D26" s="29" t="s">
        <v>50</v>
      </c>
      <c r="E26" s="17" t="s">
        <v>51</v>
      </c>
      <c r="F26" s="7">
        <v>-15.085895000000001</v>
      </c>
      <c r="G26" s="61"/>
      <c r="I26" s="2"/>
    </row>
    <row r="27" spans="1:9" ht="14.5" x14ac:dyDescent="0.35">
      <c r="A27" s="30" t="s">
        <v>64</v>
      </c>
      <c r="B27" s="46" t="s">
        <v>65</v>
      </c>
      <c r="C27" s="5">
        <v>9.1327119999999997</v>
      </c>
      <c r="D27" s="30" t="s">
        <v>70</v>
      </c>
      <c r="E27" s="46" t="s">
        <v>71</v>
      </c>
      <c r="F27" s="5">
        <v>-14.33235</v>
      </c>
      <c r="G27" s="61"/>
      <c r="I27" s="2"/>
    </row>
    <row r="28" spans="1:9" ht="14.5" x14ac:dyDescent="0.35">
      <c r="A28" s="27" t="s">
        <v>86</v>
      </c>
      <c r="B28" s="56" t="s">
        <v>81</v>
      </c>
      <c r="C28" s="8">
        <v>6.9960009999999997</v>
      </c>
      <c r="D28" s="67" t="s">
        <v>76</v>
      </c>
      <c r="E28" s="56" t="s">
        <v>77</v>
      </c>
      <c r="F28" s="8">
        <v>-12.767471</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1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196.60243214724005</v>
      </c>
      <c r="B3" s="54">
        <v>46188</v>
      </c>
      <c r="C3" s="14">
        <v>-13.162807864379998</v>
      </c>
      <c r="D3" s="14">
        <v>31.699789452300003</v>
      </c>
      <c r="E3" s="14">
        <v>-1.8667045999999998</v>
      </c>
      <c r="F3" s="14">
        <v>24.859924699999983</v>
      </c>
      <c r="G3" s="14">
        <v>-2.5754303732999997</v>
      </c>
      <c r="H3" s="14">
        <v>128.60005827877004</v>
      </c>
      <c r="I3" s="14">
        <v>-2.0017389000000003</v>
      </c>
      <c r="J3" s="14">
        <v>-38.122313443099998</v>
      </c>
      <c r="K3" s="14">
        <v>93.617804796950011</v>
      </c>
      <c r="L3" s="14">
        <v>1.5557636999999953</v>
      </c>
      <c r="M3" s="14">
        <v>-24.785618599999999</v>
      </c>
      <c r="N3" s="14">
        <v>-1.2162949999999999</v>
      </c>
    </row>
    <row r="4" spans="1:15" x14ac:dyDescent="0.3">
      <c r="A4" s="38">
        <f>SUM(C4:N4)</f>
        <v>211.82635451433006</v>
      </c>
      <c r="B4" s="42">
        <v>46195</v>
      </c>
      <c r="C4" s="53">
        <v>-7.340635585590003</v>
      </c>
      <c r="D4" s="53">
        <v>-5.9971673053999996</v>
      </c>
      <c r="E4" s="53">
        <v>-4.1483829000000014</v>
      </c>
      <c r="F4" s="53">
        <v>166.66166799999999</v>
      </c>
      <c r="G4" s="53">
        <v>-11.862249033299999</v>
      </c>
      <c r="H4" s="53">
        <v>89.481755612990028</v>
      </c>
      <c r="I4" s="53">
        <v>-2.5410271999999998</v>
      </c>
      <c r="J4" s="53">
        <v>-31.539990634499993</v>
      </c>
      <c r="K4" s="53">
        <v>-19.137483139869996</v>
      </c>
      <c r="L4" s="53">
        <v>-32.005299600000001</v>
      </c>
      <c r="M4" s="53">
        <v>42.130086999999996</v>
      </c>
      <c r="N4" s="53">
        <v>28.125079299999999</v>
      </c>
    </row>
    <row r="5" spans="1:15" x14ac:dyDescent="0.3">
      <c r="A5" s="38">
        <f>SUM(C5:N5)</f>
        <v>-236.64393119819002</v>
      </c>
      <c r="B5" s="66">
        <v>46202</v>
      </c>
      <c r="C5" s="14">
        <v>2.2176346432299994</v>
      </c>
      <c r="D5" s="14">
        <v>0.60791449819999965</v>
      </c>
      <c r="E5" s="14">
        <v>-1.7116288999999998</v>
      </c>
      <c r="F5" s="14">
        <v>-105.0203867</v>
      </c>
      <c r="G5" s="14">
        <v>-7.7308089134000006</v>
      </c>
      <c r="H5" s="14">
        <v>15.446260848710004</v>
      </c>
      <c r="I5" s="14">
        <v>-1.9067786999999996</v>
      </c>
      <c r="J5" s="14">
        <v>3.0140465138999977</v>
      </c>
      <c r="K5" s="14">
        <v>-49.022069071829996</v>
      </c>
      <c r="L5" s="14">
        <v>-1.2504533169999974</v>
      </c>
      <c r="M5" s="14">
        <v>-25.0537414</v>
      </c>
      <c r="N5" s="14">
        <v>-66.233920699999999</v>
      </c>
    </row>
    <row r="6" spans="1:15" ht="14.5" x14ac:dyDescent="0.35">
      <c r="A6" s="38">
        <f>SUM(C6:N6)</f>
        <v>126.68970479578003</v>
      </c>
      <c r="B6" s="58">
        <v>46209</v>
      </c>
      <c r="C6" s="53">
        <v>3.7207544810199997</v>
      </c>
      <c r="D6" s="53">
        <v>-5.6003928237000027</v>
      </c>
      <c r="E6" s="53">
        <v>1.4620603999999999</v>
      </c>
      <c r="F6" s="53">
        <v>255.01297320000003</v>
      </c>
      <c r="G6" s="53">
        <v>-4.9301227682799995</v>
      </c>
      <c r="H6" s="53">
        <v>125.76352195429001</v>
      </c>
      <c r="I6" s="53">
        <v>-1.900465900000001</v>
      </c>
      <c r="J6" s="53">
        <v>16.615559478800002</v>
      </c>
      <c r="K6" s="53">
        <v>-28.549516326350002</v>
      </c>
      <c r="L6" s="53">
        <v>-54.468523899999994</v>
      </c>
      <c r="M6" s="53">
        <v>-87.585507000000007</v>
      </c>
      <c r="N6" s="53">
        <v>-92.850635999999994</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-513.10191736653007</v>
      </c>
      <c r="B3" s="47">
        <v>46188</v>
      </c>
      <c r="C3" s="60">
        <v>14.515715980549997</v>
      </c>
      <c r="D3" s="60">
        <v>-8.7022246777000003</v>
      </c>
      <c r="E3" s="60">
        <v>2.7781222999999997</v>
      </c>
      <c r="F3" s="60">
        <v>-395.27919829999996</v>
      </c>
      <c r="G3" s="60">
        <v>5.8736425654999991</v>
      </c>
      <c r="H3" s="60">
        <v>-234.99006371603005</v>
      </c>
      <c r="I3" s="60">
        <v>2.537536499999999</v>
      </c>
      <c r="J3" s="60">
        <v>19.5591696573</v>
      </c>
      <c r="K3" s="60">
        <v>44.814774423849997</v>
      </c>
      <c r="L3" s="60">
        <v>-12.203229399999993</v>
      </c>
      <c r="M3" s="60">
        <v>59.293047799999997</v>
      </c>
      <c r="N3" s="60">
        <v>-11.299210500000001</v>
      </c>
      <c r="P3" s="13"/>
    </row>
    <row r="4" spans="1:20" x14ac:dyDescent="0.3">
      <c r="A4" s="48">
        <f>SUM(C4:N4)</f>
        <v>143.07016484572006</v>
      </c>
      <c r="B4" s="58">
        <v>46195</v>
      </c>
      <c r="C4" s="55">
        <v>17.922313298319992</v>
      </c>
      <c r="D4" s="55">
        <v>-2.4870335096999989</v>
      </c>
      <c r="E4" s="55">
        <v>2.5036412000000006</v>
      </c>
      <c r="F4" s="55">
        <v>97.095764100000025</v>
      </c>
      <c r="G4" s="55">
        <v>9.7877195857000014</v>
      </c>
      <c r="H4" s="55">
        <v>-75.881717661539994</v>
      </c>
      <c r="I4" s="55">
        <v>2.8736810999999993</v>
      </c>
      <c r="J4" s="55">
        <v>40.382934821100001</v>
      </c>
      <c r="K4" s="55">
        <v>-34.23878868816</v>
      </c>
      <c r="L4" s="55">
        <v>102.54291730000004</v>
      </c>
      <c r="M4" s="55">
        <v>10.7535864</v>
      </c>
      <c r="N4" s="55">
        <v>-28.184853099999998</v>
      </c>
      <c r="P4" s="13"/>
    </row>
    <row r="5" spans="1:20" x14ac:dyDescent="0.3">
      <c r="A5" s="48">
        <f>SUM(C5:N5)</f>
        <v>63.788342355320005</v>
      </c>
      <c r="B5" s="66">
        <v>46202</v>
      </c>
      <c r="C5" s="60">
        <v>-4.00868639796</v>
      </c>
      <c r="D5" s="60">
        <v>-16.559958995199999</v>
      </c>
      <c r="E5" s="60">
        <v>-1.9839170999999998</v>
      </c>
      <c r="F5" s="60">
        <v>-5.4253933999999999</v>
      </c>
      <c r="G5" s="60">
        <v>5.9539943818999994</v>
      </c>
      <c r="H5" s="60">
        <v>-59.113233189420001</v>
      </c>
      <c r="I5" s="60">
        <v>-0.42129499999999986</v>
      </c>
      <c r="J5" s="60">
        <v>11.212856821300001</v>
      </c>
      <c r="K5" s="60">
        <v>49.343927717699998</v>
      </c>
      <c r="L5" s="60">
        <v>-11.807945183000005</v>
      </c>
      <c r="M5" s="60">
        <v>17.119520999999999</v>
      </c>
      <c r="N5" s="60">
        <v>79.4784717</v>
      </c>
      <c r="P5" s="13"/>
    </row>
    <row r="6" spans="1:20" x14ac:dyDescent="0.3">
      <c r="A6" s="48">
        <f>SUM(C6:N6)</f>
        <v>-225.25367097405012</v>
      </c>
      <c r="B6" s="58">
        <v>46209</v>
      </c>
      <c r="C6" s="55">
        <v>-3.1431577511599995</v>
      </c>
      <c r="D6" s="55">
        <v>-18.158084931099999</v>
      </c>
      <c r="E6" s="55">
        <v>-2.7977415999999997</v>
      </c>
      <c r="F6" s="55">
        <v>-298.24366180000004</v>
      </c>
      <c r="G6" s="55">
        <v>3.2556330870000005</v>
      </c>
      <c r="H6" s="55">
        <v>-153.92276290849009</v>
      </c>
      <c r="I6" s="55">
        <v>1.8527100000000003</v>
      </c>
      <c r="J6" s="55">
        <v>-12.156782476399997</v>
      </c>
      <c r="K6" s="55">
        <v>-3.4092254938999993</v>
      </c>
      <c r="L6" s="55">
        <v>87.073168800000005</v>
      </c>
      <c r="M6" s="55">
        <v>52.858893999999999</v>
      </c>
      <c r="N6" s="55">
        <v>121.53734009999999</v>
      </c>
      <c r="P6" s="13"/>
    </row>
    <row r="7" spans="1:20" ht="14.5" x14ac:dyDescent="0.35">
      <c r="A7" s="51"/>
      <c r="B7" s="41"/>
      <c r="C7" s="50"/>
      <c r="D7" s="50"/>
      <c r="E7" s="50"/>
      <c r="F7" s="50"/>
      <c r="G7" s="50"/>
      <c r="H7" s="50"/>
      <c r="I7" s="50"/>
      <c r="J7" s="50"/>
      <c r="K7" s="50"/>
      <c r="L7" s="50"/>
      <c r="M7" s="50"/>
      <c r="N7" s="50"/>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Eden Ow</cp:lastModifiedBy>
  <cp:lastPrinted>2024-07-01T01:26:22Z</cp:lastPrinted>
  <dcterms:created xsi:type="dcterms:W3CDTF">2020-01-13T01:31:10Z</dcterms:created>
  <dcterms:modified xsi:type="dcterms:W3CDTF">2026-07-13T02:26:02Z</dcterms:modified>
</cp:coreProperties>
</file>