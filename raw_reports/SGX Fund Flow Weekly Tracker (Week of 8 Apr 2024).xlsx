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83B8945D-E788-406E-812F-64A1CE2FCDB8}" xr6:coauthVersionLast="47" xr6:coauthVersionMax="47" xr10:uidLastSave="{00000000-0000-0000-0000-000000000000}"/>
  <bookViews>
    <workbookView xWindow="-120" yWindow="-120" windowWidth="25440" windowHeight="1539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A1" i="4" l="1"/>
  <c r="A3" i="3" l="1"/>
  <c r="A4" i="3"/>
  <c r="A5" i="3"/>
  <c r="A6" i="3"/>
  <c r="A4" i="2"/>
  <c r="A5" i="2"/>
  <c r="A6" i="2"/>
  <c r="A3" i="2"/>
  <c r="C32"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<sst xmlns="http://schemas.openxmlformats.org/spreadsheetml/2006/main" count="518" uniqueCount="275">
  <si>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</si>
  <si>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</si>
  <si>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</si>
  <si>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</si>
  <si>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</si>
  <si>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</si>
  <si>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</si>
  <si>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</si>
  <si>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</si>
  <si>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</si>
  <si>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</si>
  <si>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</si>
  <si>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</si>
  <si>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</si>
  <si>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</si>
  <si>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</si>
  <si>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</si>
  <si>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</si>
  <si>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</si>
  <si>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</si>
  <si>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</si>
  <si>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</si>
  <si>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</si>
  <si>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</si>
  <si>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</si>
  <si>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</si>
  <si>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</si>
  <si>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</si>
  <si>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</si>
  <si>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</si>
  <si>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</si>
  <si>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</si>
  <si>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</si>
  <si>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</si>
  <si>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</si>
  <si>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</si>
  <si>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</si>
  <si>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</si>
  <si>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</si>
  <si>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</si>
  <si>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</si>
  <si>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</si>
  <si>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</si>
  <si>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</si>
  <si>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</si>
  <si>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</si>
  <si>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</si>
  <si>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</si>
  <si>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</si>
  <si>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</si>
  <si>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</si>
  <si>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</si>
  <si>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</si>
  <si>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</si>
  <si>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</si>
  <si>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</si>
  <si>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</si>
  <si>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</si>
  <si>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</si>
  <si>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</si>
  <si>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</si>
  <si>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</si>
  <si>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</si>
  <si>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</si>
  <si>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</si>
  <si>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</si>
  <si>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</si>
  <si>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</si>
  <si>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</si>
  <si>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</si>
  <si>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</si>
  <si>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</si>
  <si>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</si>
  <si>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</si>
  <si>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</si>
  <si>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</si>
  <si>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</si>
  <si>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</si>
  <si>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</si>
  <si>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</si>
  <si>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</si>
  <si>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</si>
  <si>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</si>
  <si>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</si>
  <si>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</si>
  <si>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</si>
  <si>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</si>
  <si>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</si>
  <si>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</si>
  <si>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</si>
  <si>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</si>
  <si>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</si>
  <si>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</si>
  <si>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</si>
  <si>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</si>
  <si>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</si>
  <si>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</si>
  <si>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</si>
  <si>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</si>
  <si>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</si>
  <si>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</si>
  <si>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</si>
  <si>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</si>
  <si>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</si>
  <si>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</si>
  <si>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</si>
  <si>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</si>
  <si>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</si>
  <si>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</si>
  <si>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</si>
  <si>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</si>
  <si>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</si>
  <si>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</si>
  <si>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</si>
  <si>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</si>
  <si>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</si>
  <si>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</si>
  <si>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</si>
  <si>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</si>
  <si>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</si>
  <si>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</si>
  <si>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</si>
  <si>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</si>
  <si>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</si>
  <si>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</si>
  <si>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</si>
  <si>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</si>
  <si>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</si>
  <si>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</si>
  <si>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</si>
  <si>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</si>
  <si>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</si>
  <si>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</si>
  <si>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</si>
  <si>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</si>
  <si>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</si>
  <si>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</si>
  <si>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</si>
  <si>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</si>
  <si>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</si>
  <si>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</si>
  <si>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</si>
  <si>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</si>
  <si>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</si>
  <si>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</si>
  <si>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</si>
  <si>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</si>
  <si>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</si>
  <si>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</si>
  <si>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</si>
  <si>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</si>
  <si>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</si>
  <si>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</si>
  <si>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</si>
  <si>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</si>
  <si>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</si>
  <si>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</si>
  <si>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BN2</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</si>
  <si>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</si>
  <si>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</si>
  <si>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</si>
  <si>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</si>
  <si>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</si>
  <si>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</si>
  <si>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</si>
  <si>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</si>
  <si>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</si>
  <si>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</si>
  <si>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</si>
  <si>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</si>
  <si>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</si>
  <si>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</si>
  <si>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</si>
  <si>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</si>
  <si>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</si>
  <si>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</si>
  <si>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</si>
  <si>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</si>
  <si>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</si>
  <si>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</si>
  <si>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</si>
  <si>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</si>
  <si>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</si>
  <si>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</si>
  <si>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</si>
  <si>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</si>
  <si>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</si>
  <si>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</si>
  <si>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</si>
  <si>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</si>
  <si>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</si>
  <si>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</si>
  <si>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</si>
  <si>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</si>
  <si>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</si>
  <si>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</si>
  <si>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</si>
  <si>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</si>
  <si>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</si>
  <si>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</si>
  <si>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</si>
  <si>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</si>
  <si>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</si>
  <si>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</si>
  <si>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</si>
  <si>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</si>
  <si>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</si>
  <si>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</si>
  <si>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</si>
  <si>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</si>
  <si>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</si>
  <si>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</si>
  <si>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</si>
  <si>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</si>
  <si>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</si>
  <si>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</si>
  <si>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</si>
  <si>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</si>
  <si>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</si>
  <si>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</si>
  <si>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</si>
  <si>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</si>
  <si>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</si>
  <si>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</si>
  <si>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</si>
  <si>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</si>
  <si>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</si>
  <si>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</si>
  <si>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</si>
  <si>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</si>
  <si>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</si>
  <si>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</si>
  <si>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</si>
  <si>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</si>
  <si>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</si>
  <si>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</si>
  <si>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</si>
  <si>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</si>
  <si>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</si>
  <si>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</si>
  <si>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</si>
  <si>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</si>
  <si>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</si>
  <si>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</si>
  <si>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</si>
  <si>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</si>
  <si>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</si>
  <si>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Valuetronics</t>
  </si>
  <si>
    <t>Haw Par</t>
  </si>
  <si>
    <t>TheHourGlass</t>
  </si>
  <si>
    <t>Sasseur Reit</t>
  </si>
  <si>
    <t>Delfi</t>
  </si>
  <si>
    <t>Yoma Strategic</t>
  </si>
  <si>
    <t>SIA Engineering</t>
  </si>
  <si>
    <t>Source: SGX.</t>
  </si>
  <si>
    <t>Mapletree Pan Asia Commercial Trust</t>
  </si>
  <si>
    <t>Wing Tai</t>
  </si>
  <si>
    <t>W05</t>
  </si>
  <si>
    <t>Straits Trading</t>
  </si>
  <si>
    <t>S20</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</si>
  <si>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</si>
  <si>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</si>
  <si>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</si>
  <si>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</si>
  <si>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</si>
  <si>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Dyna-Mac Holdings</t>
  </si>
  <si>
    <t>Mermaid Maritime</t>
  </si>
  <si>
    <t>DU4</t>
  </si>
  <si>
    <t>Bumitama Agri</t>
  </si>
  <si>
    <t>P8Z</t>
  </si>
  <si>
    <r>
      <t xml:space="preserve">Institutional investors net </t>
    </r>
    <r>
      <rPr>
        <b/>
        <sz val="11"/>
        <rFont val="Arial"/>
        <family val="2"/>
      </rPr>
      <t>sell</t>
    </r>
    <r>
      <rPr>
        <sz val="11"/>
        <rFont val="Arial"/>
        <family val="2"/>
      </rPr>
      <t xml:space="preserve"> (-S$58.1m) vs. (+S$11.2m) a week ago</t>
    </r>
  </si>
  <si>
    <r>
      <t xml:space="preserve">Retail investors net </t>
    </r>
    <r>
      <rPr>
        <b/>
        <sz val="11"/>
        <rFont val="Arial"/>
        <family val="2"/>
      </rPr>
      <t>buy</t>
    </r>
    <r>
      <rPr>
        <sz val="11"/>
        <rFont val="Arial"/>
        <family val="2"/>
      </rPr>
      <t xml:space="preserve"> (+S$69.4m) vs.(+S$72.1m) a week ago</t>
    </r>
  </si>
  <si>
    <t>Week of 8 April 2024</t>
  </si>
  <si>
    <t>Jardine Matheson Holdings</t>
  </si>
  <si>
    <t>Best World 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</si>
</sst>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2"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272</v>
      </c>
    </row>
    <row r="2" spans="1:13" x14ac:dyDescent="0.3">
      <c r="A2" s="83" t="s">
        <v>270</v>
      </c>
      <c r="I2" s="58"/>
    </row>
    <row r="3" spans="1:13" x14ac:dyDescent="0.3">
      <c r="A3" s="83" t="s">
        <v>271</v>
      </c>
      <c r="I3" s="58"/>
    </row>
    <row r="5" spans="1:13" ht="29.25" customHeight="1" x14ac:dyDescent="0.3">
      <c r="A5" s="3" t="s">
        <v>0</v>
      </c>
      <c r="B5" s="3" t="s">
        <v>1</v>
      </c>
      <c r="C5" s="4" t="s">
        <v>272</v>
      </c>
      <c r="D5" s="78" t="s">
        <v>2</v>
      </c>
      <c r="E5" s="78" t="s">
        <v>1</v>
      </c>
      <c r="F5" s="79" t="str">
        <f>+C5</f>
        <v>Week of 8 April 2024</v>
      </c>
    </row>
    <row r="6" spans="1:13" ht="14.5" x14ac:dyDescent="0.35">
      <c r="A6" s="36" t="s">
        <v>26</v>
      </c>
      <c r="B6" s="84" t="s">
        <v>21</v>
      </c>
      <c r="C6" s="6">
        <v>27.809151</v>
      </c>
      <c r="D6" s="36" t="s">
        <v>49</v>
      </c>
      <c r="E6" s="84" t="s">
        <v>47</v>
      </c>
      <c r="F6" s="6">
        <v>-30.168925600000001</v>
      </c>
      <c r="K6" s="47"/>
      <c r="L6"/>
      <c r="M6"/>
    </row>
    <row r="7" spans="1:13" ht="14.5" x14ac:dyDescent="0.35">
      <c r="A7" s="37" t="s">
        <v>50</v>
      </c>
      <c r="B7" s="10" t="s">
        <v>48</v>
      </c>
      <c r="C7" s="8">
        <v>19.797827000000002</v>
      </c>
      <c r="D7" s="37" t="s">
        <v>61</v>
      </c>
      <c r="E7" s="10" t="s">
        <v>53</v>
      </c>
      <c r="F7" s="8">
        <v>-27.229937</v>
      </c>
      <c r="K7" s="47"/>
      <c r="L7"/>
      <c r="M7"/>
    </row>
    <row r="8" spans="1:13" ht="14.5" x14ac:dyDescent="0.35">
      <c r="A8" s="38" t="s">
        <v>36</v>
      </c>
      <c r="B8" s="84" t="s">
        <v>35</v>
      </c>
      <c r="C8" s="6">
        <v>12.509105</v>
      </c>
      <c r="D8" s="38" t="s">
        <v>153</v>
      </c>
      <c r="E8" s="84" t="s">
        <v>32</v>
      </c>
      <c r="F8" s="6">
        <v>-16.132742</v>
      </c>
      <c r="K8" s="47"/>
      <c r="L8"/>
      <c r="M8"/>
    </row>
    <row r="9" spans="1:13" ht="14.5" x14ac:dyDescent="0.35">
      <c r="A9" s="37" t="s">
        <v>143</v>
      </c>
      <c r="B9" s="10" t="s">
        <v>108</v>
      </c>
      <c r="C9" s="8">
        <v>10.937535</v>
      </c>
      <c r="D9" s="37" t="s">
        <v>146</v>
      </c>
      <c r="E9" s="10" t="s">
        <v>90</v>
      </c>
      <c r="F9" s="8">
        <v>-12.3900524</v>
      </c>
      <c r="K9" s="47"/>
      <c r="L9"/>
      <c r="M9"/>
    </row>
    <row r="10" spans="1:13" ht="14.5" x14ac:dyDescent="0.35">
      <c r="A10" s="38" t="s">
        <v>28</v>
      </c>
      <c r="B10" s="84" t="s">
        <v>23</v>
      </c>
      <c r="C10" s="6">
        <v>10.451271999999999</v>
      </c>
      <c r="D10" s="38" t="s">
        <v>40</v>
      </c>
      <c r="E10" s="84" t="s">
        <v>38</v>
      </c>
      <c r="F10" s="6">
        <v>-10.307561</v>
      </c>
      <c r="K10" s="47"/>
      <c r="L10"/>
      <c r="M10"/>
    </row>
    <row r="11" spans="1:13" ht="14.5" x14ac:dyDescent="0.35">
      <c r="A11" s="37" t="s">
        <v>44</v>
      </c>
      <c r="B11" s="10" t="s">
        <v>41</v>
      </c>
      <c r="C11" s="8">
        <v>9.1597190000000008</v>
      </c>
      <c r="D11" s="37" t="s">
        <v>29</v>
      </c>
      <c r="E11" s="10" t="s">
        <v>24</v>
      </c>
      <c r="F11" s="8">
        <v>-10.276915000000001</v>
      </c>
      <c r="K11" s="47"/>
      <c r="L11"/>
      <c r="M11"/>
    </row>
    <row r="12" spans="1:13" ht="14.5" x14ac:dyDescent="0.35">
      <c r="A12" s="38" t="s">
        <v>265</v>
      </c>
      <c r="B12" s="84" t="s">
        <v>131</v>
      </c>
      <c r="C12" s="6">
        <v>3.7446625</v>
      </c>
      <c r="D12" s="38" t="s">
        <v>86</v>
      </c>
      <c r="E12" s="84" t="s">
        <v>85</v>
      </c>
      <c r="F12" s="6">
        <v>-7.1090080000000002</v>
      </c>
      <c r="K12" s="47"/>
      <c r="L12"/>
      <c r="M12"/>
    </row>
    <row r="13" spans="1:13" ht="14.5" x14ac:dyDescent="0.35">
      <c r="A13" s="37" t="s">
        <v>46</v>
      </c>
      <c r="B13" s="10" t="s">
        <v>43</v>
      </c>
      <c r="C13" s="8">
        <v>2.2787790000000001</v>
      </c>
      <c r="D13" s="37" t="s">
        <v>63</v>
      </c>
      <c r="E13" s="10" t="s">
        <v>54</v>
      </c>
      <c r="F13" s="8">
        <v>-7.0673789999999999</v>
      </c>
      <c r="K13" s="47"/>
      <c r="L13"/>
      <c r="M13"/>
    </row>
    <row r="14" spans="1:13" ht="14.5" x14ac:dyDescent="0.35">
      <c r="A14" s="38" t="s">
        <v>65</v>
      </c>
      <c r="B14" s="84" t="s">
        <v>59</v>
      </c>
      <c r="C14" s="6">
        <v>2.1867070000000002</v>
      </c>
      <c r="D14" s="38" t="s">
        <v>89</v>
      </c>
      <c r="E14" s="84" t="s">
        <v>25</v>
      </c>
      <c r="F14" s="6">
        <v>-6.2829079999999999</v>
      </c>
      <c r="K14" s="47"/>
      <c r="L14"/>
      <c r="M14"/>
    </row>
    <row r="15" spans="1:13" ht="14.5" x14ac:dyDescent="0.35">
      <c r="A15" s="39" t="s">
        <v>60</v>
      </c>
      <c r="B15" s="35" t="s">
        <v>51</v>
      </c>
      <c r="C15" s="9">
        <v>1.866322</v>
      </c>
      <c r="D15" s="39" t="s">
        <v>273</v>
      </c>
      <c r="E15" s="35" t="s">
        <v>52</v>
      </c>
      <c r="F15" s="9">
        <v>-5.1493836396000008</v>
      </c>
      <c r="K15" s="47"/>
      <c r="L15"/>
      <c r="M15"/>
    </row>
    <row r="16" spans="1:13" ht="15.5" x14ac:dyDescent="0.35">
      <c r="A16" s="10"/>
      <c r="B16" s="10"/>
      <c r="C16" s="10"/>
      <c r="D16" s="33"/>
      <c r="E16" s="10"/>
      <c r="F16" s="10"/>
    </row>
    <row r="17" spans="1:13" x14ac:dyDescent="0.3">
      <c r="A17" s="10"/>
      <c r="B17" s="10"/>
      <c r="C17" s="10"/>
      <c r="D17" s="10"/>
      <c r="E17" s="10"/>
      <c r="F17" s="10"/>
    </row>
    <row r="18" spans="1:13" ht="28.5" customHeight="1" x14ac:dyDescent="0.3">
      <c r="A18" s="41" t="s">
        <v>3</v>
      </c>
      <c r="B18" s="3" t="s">
        <v>1</v>
      </c>
      <c r="C18" s="4" t="str">
        <f>C5</f>
        <v>Week of 8 April 2024</v>
      </c>
      <c r="D18" s="80" t="s">
        <v>4</v>
      </c>
      <c r="E18" s="78" t="s">
        <v>1</v>
      </c>
      <c r="F18" s="79" t="str">
        <f>+C18</f>
        <v>Week of 8 April 2024</v>
      </c>
    </row>
    <row r="19" spans="1:13" ht="14.5" x14ac:dyDescent="0.35">
      <c r="A19" s="74" t="s">
        <v>49</v>
      </c>
      <c r="B19" s="84" t="s">
        <v>47</v>
      </c>
      <c r="C19" s="6">
        <v>21.214587099999999</v>
      </c>
      <c r="D19" s="36" t="s">
        <v>26</v>
      </c>
      <c r="E19" s="84" t="s">
        <v>21</v>
      </c>
      <c r="F19" s="6">
        <v>-16.573836</v>
      </c>
      <c r="I19" s="40"/>
      <c r="K19" s="47"/>
      <c r="L19"/>
      <c r="M19"/>
    </row>
    <row r="20" spans="1:13" ht="14.5" x14ac:dyDescent="0.35">
      <c r="A20" s="37" t="s">
        <v>61</v>
      </c>
      <c r="B20" s="10" t="s">
        <v>53</v>
      </c>
      <c r="C20" s="8">
        <v>20.186964</v>
      </c>
      <c r="D20" s="37" t="s">
        <v>50</v>
      </c>
      <c r="E20" s="10" t="s">
        <v>48</v>
      </c>
      <c r="F20" s="8">
        <v>-11.490416</v>
      </c>
      <c r="I20" s="40"/>
      <c r="K20" s="47"/>
      <c r="L20"/>
      <c r="M20"/>
    </row>
    <row r="21" spans="1:13" ht="14.5" x14ac:dyDescent="0.35">
      <c r="A21" s="38" t="s">
        <v>153</v>
      </c>
      <c r="B21" s="84" t="s">
        <v>32</v>
      </c>
      <c r="C21" s="6">
        <v>18.740888000000002</v>
      </c>
      <c r="D21" s="38" t="s">
        <v>27</v>
      </c>
      <c r="E21" s="84" t="s">
        <v>22</v>
      </c>
      <c r="F21" s="6">
        <v>-11.217444</v>
      </c>
      <c r="I21" s="40"/>
      <c r="K21" s="47"/>
      <c r="L21"/>
      <c r="M21"/>
    </row>
    <row r="22" spans="1:13" ht="14.5" x14ac:dyDescent="0.35">
      <c r="A22" s="37" t="s">
        <v>29</v>
      </c>
      <c r="B22" s="10" t="s">
        <v>24</v>
      </c>
      <c r="C22" s="8">
        <v>15.3103</v>
      </c>
      <c r="D22" s="37" t="s">
        <v>28</v>
      </c>
      <c r="E22" s="10" t="s">
        <v>23</v>
      </c>
      <c r="F22" s="8">
        <v>-10.246771000000001</v>
      </c>
      <c r="I22" s="40"/>
      <c r="K22" s="47"/>
      <c r="L22"/>
      <c r="M22"/>
    </row>
    <row r="23" spans="1:13" ht="14.5" x14ac:dyDescent="0.35">
      <c r="A23" s="38" t="s">
        <v>86</v>
      </c>
      <c r="B23" s="84" t="s">
        <v>85</v>
      </c>
      <c r="C23" s="6">
        <v>14.557624000000001</v>
      </c>
      <c r="D23" s="38" t="s">
        <v>143</v>
      </c>
      <c r="E23" s="84" t="s">
        <v>108</v>
      </c>
      <c r="F23" s="6">
        <v>-9.1536310000000007</v>
      </c>
      <c r="I23" s="50"/>
      <c r="K23" s="47"/>
      <c r="L23"/>
      <c r="M23"/>
    </row>
    <row r="24" spans="1:13" ht="14.5" x14ac:dyDescent="0.35">
      <c r="A24" s="37" t="s">
        <v>40</v>
      </c>
      <c r="B24" s="10" t="s">
        <v>38</v>
      </c>
      <c r="C24" s="8">
        <v>12.273631</v>
      </c>
      <c r="D24" s="37" t="s">
        <v>36</v>
      </c>
      <c r="E24" s="10" t="s">
        <v>35</v>
      </c>
      <c r="F24" s="8">
        <v>-5.4326695000000003</v>
      </c>
      <c r="I24" s="40"/>
      <c r="K24" s="47"/>
      <c r="L24"/>
      <c r="M24"/>
    </row>
    <row r="25" spans="1:13" ht="14.5" x14ac:dyDescent="0.35">
      <c r="A25" s="38" t="s">
        <v>79</v>
      </c>
      <c r="B25" s="84" t="s">
        <v>56</v>
      </c>
      <c r="C25" s="6">
        <v>9.2845359999999992</v>
      </c>
      <c r="D25" s="38" t="s">
        <v>44</v>
      </c>
      <c r="E25" s="84" t="s">
        <v>41</v>
      </c>
      <c r="F25" s="6">
        <v>-5.271503</v>
      </c>
      <c r="I25" s="40"/>
      <c r="K25" s="47"/>
      <c r="L25"/>
      <c r="M25"/>
    </row>
    <row r="26" spans="1:13" ht="14.5" x14ac:dyDescent="0.35">
      <c r="A26" s="37" t="s">
        <v>63</v>
      </c>
      <c r="B26" s="10" t="s">
        <v>54</v>
      </c>
      <c r="C26" s="8">
        <v>6.2085140000000001</v>
      </c>
      <c r="D26" s="37" t="s">
        <v>274</v>
      </c>
      <c r="E26" s="10" t="s">
        <v>117</v>
      </c>
      <c r="F26" s="8">
        <v>-4.1524049999999999</v>
      </c>
      <c r="I26" s="40"/>
      <c r="K26" s="47"/>
      <c r="L26"/>
      <c r="M26"/>
    </row>
    <row r="27" spans="1:13" ht="14.5" x14ac:dyDescent="0.35">
      <c r="A27" s="38" t="s">
        <v>89</v>
      </c>
      <c r="B27" s="84" t="s">
        <v>25</v>
      </c>
      <c r="C27" s="6">
        <v>6.0476890000000001</v>
      </c>
      <c r="D27" s="38" t="s">
        <v>46</v>
      </c>
      <c r="E27" s="84" t="s">
        <v>43</v>
      </c>
      <c r="F27" s="6">
        <v>-3.323976</v>
      </c>
      <c r="I27" s="40"/>
      <c r="K27" s="47"/>
      <c r="L27"/>
      <c r="M27"/>
    </row>
    <row r="28" spans="1:13" ht="14.5" x14ac:dyDescent="0.35">
      <c r="A28" s="39" t="s">
        <v>146</v>
      </c>
      <c r="B28" s="35" t="s">
        <v>90</v>
      </c>
      <c r="C28" s="9">
        <v>4.0684353000000018</v>
      </c>
      <c r="D28" s="39" t="s">
        <v>265</v>
      </c>
      <c r="E28" s="35" t="s">
        <v>131</v>
      </c>
      <c r="F28" s="9">
        <v>-2.7020135000000001</v>
      </c>
      <c r="I28" s="40"/>
      <c r="K28" s="47"/>
      <c r="L28"/>
      <c r="M28"/>
    </row>
    <row r="29" spans="1:13" x14ac:dyDescent="0.3">
      <c r="A29" s="10"/>
      <c r="B29" s="10"/>
      <c r="C29" s="10"/>
      <c r="D29" s="10"/>
      <c r="E29" s="10"/>
      <c r="F29" s="10"/>
    </row>
    <row r="30" spans="1:13" ht="14.5" x14ac:dyDescent="0.35">
      <c r="A30" s="11" t="s">
        <v>254</v>
      </c>
      <c r="B30" s="11"/>
      <c r="C30" s="10"/>
      <c r="D30" s="10"/>
      <c r="E30" s="10"/>
      <c r="F30" s="10"/>
    </row>
    <row r="31" spans="1:13" ht="14.5" x14ac:dyDescent="0.35">
      <c r="A31" s="11" t="s">
        <v>82</v>
      </c>
      <c r="B31" s="11"/>
      <c r="C31" s="10"/>
      <c r="D31" s="10"/>
      <c r="E31" s="10"/>
      <c r="F31" s="10"/>
    </row>
    <row r="32" spans="1:13" ht="14.5" x14ac:dyDescent="0.35">
      <c r="A32" s="11" t="s">
        <v>262</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88"/>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5" t="s">
        <v>68</v>
      </c>
      <c r="B37" s="26"/>
      <c r="C37" s="27"/>
      <c r="D37" s="27"/>
      <c r="E37" s="26"/>
      <c r="F37" s="26"/>
      <c r="I37" s="40"/>
    </row>
    <row r="38" spans="1:9" customFormat="1" ht="14.5" x14ac:dyDescent="0.35">
      <c r="A38" s="28" t="s">
        <v>69</v>
      </c>
      <c r="B38" s="26"/>
      <c r="C38" s="27"/>
      <c r="D38" s="27"/>
      <c r="E38" s="26"/>
      <c r="F38" s="26"/>
      <c r="I38" s="40"/>
    </row>
    <row r="39" spans="1:9" s="32" customFormat="1" ht="19.399999999999999" customHeight="1" x14ac:dyDescent="0.35">
      <c r="A39" s="29" t="s">
        <v>70</v>
      </c>
      <c r="B39" s="30"/>
      <c r="C39" s="31"/>
      <c r="D39" s="31"/>
      <c r="E39" s="30"/>
      <c r="F39" s="30"/>
      <c r="I39" s="43"/>
    </row>
    <row r="40" spans="1:9" ht="169.4" customHeight="1" x14ac:dyDescent="0.3">
      <c r="A40" s="89" t="s">
        <v>263</v>
      </c>
      <c r="B40" s="89"/>
      <c r="C40" s="89"/>
      <c r="D40" s="89"/>
      <c r="E40" s="89"/>
      <c r="F40" s="89"/>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90" t="s">
        <v>7</v>
      </c>
      <c r="B1" s="13"/>
      <c r="C1" s="92" t="s">
        <v>8</v>
      </c>
      <c r="D1" s="93"/>
      <c r="E1" s="93"/>
      <c r="F1" s="93"/>
      <c r="G1" s="93"/>
      <c r="H1" s="93"/>
      <c r="I1" s="93"/>
      <c r="J1" s="93"/>
      <c r="K1" s="93"/>
      <c r="L1" s="93"/>
      <c r="M1" s="93"/>
      <c r="N1" s="94"/>
    </row>
    <row r="2" spans="1:15" ht="60" customHeight="1" x14ac:dyDescent="0.3">
      <c r="A2" s="9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9">
        <f>SUM(C3:N3)</f>
        <v>31.937897368899975</v>
      </c>
      <c r="B3" s="16">
        <v>45369</v>
      </c>
      <c r="C3" s="17">
        <v>-10.920580196530002</v>
      </c>
      <c r="D3" s="17">
        <v>-13.220598702099998</v>
      </c>
      <c r="E3" s="17">
        <v>2.0659631999999997</v>
      </c>
      <c r="F3" s="17">
        <v>63.355457072800014</v>
      </c>
      <c r="G3" s="17">
        <v>2.3681930926999999</v>
      </c>
      <c r="H3" s="17">
        <v>-78.662564451620014</v>
      </c>
      <c r="I3" s="17">
        <v>7.9237500000000016E-2</v>
      </c>
      <c r="J3" s="17">
        <v>7.4607171881999994</v>
      </c>
      <c r="K3" s="17">
        <v>-28.444535634550011</v>
      </c>
      <c r="L3" s="17">
        <v>-0.96904700000000055</v>
      </c>
      <c r="M3" s="17">
        <v>75.227409600000001</v>
      </c>
      <c r="N3" s="17">
        <v>13.5982457</v>
      </c>
    </row>
    <row r="4" spans="1:15" x14ac:dyDescent="0.3">
      <c r="A4" s="49">
        <f t="shared" ref="A4:A6" si="0">SUM(C4:N4)</f>
        <v>159.53442455886997</v>
      </c>
      <c r="B4" s="70">
        <v>45376</v>
      </c>
      <c r="C4" s="71">
        <v>-14.01480872976</v>
      </c>
      <c r="D4" s="71">
        <v>6.4198294929999999</v>
      </c>
      <c r="E4" s="71">
        <v>1.0949617999999997</v>
      </c>
      <c r="F4" s="71">
        <v>89.457771599999987</v>
      </c>
      <c r="G4" s="71">
        <v>2.5799119042000003</v>
      </c>
      <c r="H4" s="71">
        <v>36.065275632629991</v>
      </c>
      <c r="I4" s="71">
        <v>-2.5790844000000002</v>
      </c>
      <c r="J4" s="71">
        <v>-11.289007811300001</v>
      </c>
      <c r="K4" s="71">
        <v>16.609655570099999</v>
      </c>
      <c r="L4" s="71">
        <v>2.2089608000000003</v>
      </c>
      <c r="M4" s="71">
        <v>21.799004700000001</v>
      </c>
      <c r="N4" s="71">
        <v>11.181953999999999</v>
      </c>
    </row>
    <row r="5" spans="1:15" x14ac:dyDescent="0.3">
      <c r="A5" s="49">
        <f t="shared" si="0"/>
        <v>11.210359671850007</v>
      </c>
      <c r="B5" s="73">
        <v>45383</v>
      </c>
      <c r="C5" s="17">
        <v>4.9706656615599982</v>
      </c>
      <c r="D5" s="17">
        <v>5.2866588348999981</v>
      </c>
      <c r="E5" s="17">
        <v>5.731975799999999</v>
      </c>
      <c r="F5" s="17">
        <v>47.434014500000011</v>
      </c>
      <c r="G5" s="17">
        <v>-3.3347575301000005</v>
      </c>
      <c r="H5" s="17">
        <v>11.197740546119999</v>
      </c>
      <c r="I5" s="17">
        <v>-3.6536908999999991</v>
      </c>
      <c r="J5" s="17">
        <v>-10.6743296181</v>
      </c>
      <c r="K5" s="17">
        <v>14.76492677747</v>
      </c>
      <c r="L5" s="17">
        <v>-4.1124567999999995</v>
      </c>
      <c r="M5" s="17">
        <v>-71.961471399999979</v>
      </c>
      <c r="N5" s="17">
        <v>15.561083799999999</v>
      </c>
    </row>
    <row r="6" spans="1:15" x14ac:dyDescent="0.3">
      <c r="A6" s="49">
        <f t="shared" si="0"/>
        <v>-58.12638117449999</v>
      </c>
      <c r="B6" s="81">
        <v>45390</v>
      </c>
      <c r="C6" s="71">
        <v>33.108235429300002</v>
      </c>
      <c r="D6" s="71">
        <v>9.3174450458000013</v>
      </c>
      <c r="E6" s="71">
        <v>4.5391655999999987</v>
      </c>
      <c r="F6" s="71">
        <v>21.4146535</v>
      </c>
      <c r="G6" s="71">
        <v>-2.6098244372000003</v>
      </c>
      <c r="H6" s="71">
        <v>-56.036524798399981</v>
      </c>
      <c r="I6" s="71">
        <v>-1.8968515000000004</v>
      </c>
      <c r="J6" s="71">
        <v>-7.1130968407999999</v>
      </c>
      <c r="K6" s="71">
        <v>-29.762097773200004</v>
      </c>
      <c r="L6" s="71">
        <v>0.69758830000000038</v>
      </c>
      <c r="M6" s="71">
        <v>-30.951977600000003</v>
      </c>
      <c r="N6" s="71">
        <v>1.1669039000000001</v>
      </c>
    </row>
    <row r="7" spans="1:15" x14ac:dyDescent="0.3">
      <c r="A7" s="72"/>
      <c r="B7" s="12"/>
      <c r="C7" s="14"/>
      <c r="D7" s="14"/>
      <c r="E7" s="14"/>
      <c r="F7" s="14"/>
      <c r="G7" s="14"/>
      <c r="H7" s="14"/>
      <c r="I7" s="14"/>
      <c r="J7" s="14"/>
      <c r="K7" s="14"/>
      <c r="L7" s="14"/>
      <c r="M7" s="14"/>
      <c r="N7" s="14"/>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61"/>
      <c r="D13" s="61"/>
      <c r="E13" s="61"/>
      <c r="F13" s="61"/>
      <c r="G13" s="61"/>
      <c r="H13" s="61"/>
      <c r="I13" s="61"/>
      <c r="J13" s="61"/>
      <c r="K13" s="61"/>
      <c r="L13" s="61"/>
      <c r="M13" s="61"/>
      <c r="N13" s="61"/>
    </row>
    <row r="14" spans="1:15" ht="14.5" x14ac:dyDescent="0.35">
      <c r="B14" s="57"/>
      <c r="C14" s="57"/>
      <c r="D14" s="57"/>
      <c r="E14" s="57"/>
      <c r="F14" s="57"/>
      <c r="G14" s="57"/>
      <c r="H14" s="57"/>
      <c r="I14" s="57"/>
      <c r="J14" s="57"/>
      <c r="K14" s="57"/>
      <c r="L14" s="57"/>
      <c r="M14" s="57"/>
      <c r="N14"/>
      <c r="O14" s="46"/>
    </row>
    <row r="15" spans="1:15" ht="14.5" x14ac:dyDescent="0.35">
      <c r="C15" s="57"/>
      <c r="D15" s="57"/>
      <c r="E15" s="57"/>
      <c r="F15" s="57"/>
      <c r="G15" s="57"/>
      <c r="H15" s="57"/>
      <c r="I15" s="57"/>
      <c r="J15" s="57"/>
      <c r="K15" s="57"/>
      <c r="L15" s="57"/>
      <c r="M15" s="57"/>
      <c r="N15" s="57"/>
      <c r="O15" s="57"/>
    </row>
    <row r="16" spans="1:15" ht="14.5" x14ac:dyDescent="0.35">
      <c r="C16" s="46"/>
      <c r="D16" s="46"/>
      <c r="E16" s="46"/>
      <c r="F16" s="46"/>
      <c r="G16" s="46"/>
      <c r="H16" s="46"/>
      <c r="I16" s="46"/>
      <c r="J16" s="46"/>
      <c r="K16" s="46"/>
      <c r="L16" s="46"/>
      <c r="M16" s="46"/>
      <c r="N16" s="46"/>
      <c r="O16" s="46"/>
    </row>
    <row r="17" spans="3:15" ht="14.5" x14ac:dyDescent="0.35">
      <c r="C17" s="44"/>
      <c r="D17" s="44"/>
      <c r="E17" s="44"/>
      <c r="F17" s="44"/>
      <c r="G17" s="44"/>
      <c r="H17" s="44"/>
      <c r="I17" s="44"/>
      <c r="J17" s="44"/>
      <c r="K17" s="44"/>
      <c r="L17" s="44"/>
      <c r="M17" s="44"/>
      <c r="N17" s="44"/>
      <c r="O17" s="44"/>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90" t="s">
        <v>7</v>
      </c>
      <c r="B1" s="13"/>
      <c r="C1" s="92" t="s">
        <v>8</v>
      </c>
      <c r="D1" s="93"/>
      <c r="E1" s="93"/>
      <c r="F1" s="93"/>
      <c r="G1" s="93"/>
      <c r="H1" s="93"/>
      <c r="I1" s="93"/>
      <c r="J1" s="93"/>
      <c r="K1" s="93"/>
      <c r="L1" s="93"/>
      <c r="M1" s="93"/>
      <c r="N1" s="94"/>
    </row>
    <row r="2" spans="1:18" ht="56" x14ac:dyDescent="0.3">
      <c r="A2" s="9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86">
        <f>SUM(C3:N3)</f>
        <v>-182.32087650568005</v>
      </c>
      <c r="B3" s="68">
        <v>45369</v>
      </c>
      <c r="C3" s="69">
        <v>5.007530280360001</v>
      </c>
      <c r="D3" s="69">
        <v>6.3240302074000008</v>
      </c>
      <c r="E3" s="69">
        <v>-2.6412838000000001</v>
      </c>
      <c r="F3" s="69">
        <v>-198.88981357280002</v>
      </c>
      <c r="G3" s="69">
        <v>-5.4705667527999999</v>
      </c>
      <c r="H3" s="69">
        <v>62.106076312780012</v>
      </c>
      <c r="I3" s="69">
        <v>-3.2461999999999963E-2</v>
      </c>
      <c r="J3" s="69">
        <v>-3.5936229860000002</v>
      </c>
      <c r="K3" s="69">
        <v>16.169491505380002</v>
      </c>
      <c r="L3" s="69">
        <v>2.228842600000001</v>
      </c>
      <c r="M3" s="69">
        <v>-53.966533499999997</v>
      </c>
      <c r="N3" s="69">
        <v>-9.5625648000000005</v>
      </c>
      <c r="P3" s="15"/>
    </row>
    <row r="4" spans="1:18" x14ac:dyDescent="0.3">
      <c r="A4" s="86">
        <f t="shared" ref="A4:A6" si="0">SUM(C4:N4)</f>
        <v>-146.28573179519</v>
      </c>
      <c r="B4" s="60">
        <v>45376</v>
      </c>
      <c r="C4" s="59">
        <v>8.7045006330400039</v>
      </c>
      <c r="D4" s="59">
        <v>-5.0956913075000001</v>
      </c>
      <c r="E4" s="59">
        <v>-3.0854703000000003</v>
      </c>
      <c r="F4" s="59">
        <v>-75.462999800000006</v>
      </c>
      <c r="G4" s="59">
        <v>-2.7382364285</v>
      </c>
      <c r="H4" s="59">
        <v>-49.749350524350007</v>
      </c>
      <c r="I4" s="59">
        <v>4.1399800000000013</v>
      </c>
      <c r="J4" s="59">
        <v>8.2430180967999984</v>
      </c>
      <c r="K4" s="59">
        <v>-0.76341756468000033</v>
      </c>
      <c r="L4" s="59">
        <v>1.9042988999999979</v>
      </c>
      <c r="M4" s="59">
        <v>-22.840090400000001</v>
      </c>
      <c r="N4" s="59">
        <v>-9.542273100000001</v>
      </c>
      <c r="P4" s="15"/>
    </row>
    <row r="5" spans="1:18" x14ac:dyDescent="0.3">
      <c r="A5" s="86">
        <f t="shared" si="0"/>
        <v>72.08057366656999</v>
      </c>
      <c r="B5" s="85">
        <v>45383</v>
      </c>
      <c r="C5" s="69">
        <v>0.17824061886000001</v>
      </c>
      <c r="D5" s="69">
        <v>5.2017359214999992</v>
      </c>
      <c r="E5" s="69">
        <v>-5.1289709999999991</v>
      </c>
      <c r="F5" s="69">
        <v>37.428505899999983</v>
      </c>
      <c r="G5" s="69">
        <v>2.9165658689000007</v>
      </c>
      <c r="H5" s="69">
        <v>-3.3060172429799985</v>
      </c>
      <c r="I5" s="69">
        <v>2.28295</v>
      </c>
      <c r="J5" s="69">
        <v>7.0022843222999995</v>
      </c>
      <c r="K5" s="69">
        <v>17.800924877989999</v>
      </c>
      <c r="L5" s="69">
        <v>2.1909886000000007</v>
      </c>
      <c r="M5" s="69">
        <v>24.715510499999997</v>
      </c>
      <c r="N5" s="69">
        <v>-19.202144699999998</v>
      </c>
      <c r="P5" s="15"/>
    </row>
    <row r="6" spans="1:18" x14ac:dyDescent="0.3">
      <c r="A6" s="86">
        <f t="shared" si="0"/>
        <v>69.422018094660004</v>
      </c>
      <c r="B6" s="87">
        <v>45390</v>
      </c>
      <c r="C6" s="59">
        <v>-21.558901905840013</v>
      </c>
      <c r="D6" s="59">
        <v>-3.0247511846000004</v>
      </c>
      <c r="E6" s="59">
        <v>-3.6765742999999995</v>
      </c>
      <c r="F6" s="59">
        <v>-8.2566684000000006</v>
      </c>
      <c r="G6" s="59">
        <v>3.729176174</v>
      </c>
      <c r="H6" s="59">
        <v>33.569461491480013</v>
      </c>
      <c r="I6" s="59">
        <v>0.83852150000000003</v>
      </c>
      <c r="J6" s="59">
        <v>11.111939880599996</v>
      </c>
      <c r="K6" s="59">
        <v>34.11516873902</v>
      </c>
      <c r="L6" s="59">
        <v>-0.16624980000000045</v>
      </c>
      <c r="M6" s="59">
        <v>21.7076204</v>
      </c>
      <c r="N6" s="59">
        <v>1.0332754999999998</v>
      </c>
      <c r="P6" s="15"/>
    </row>
    <row r="7" spans="1:18" x14ac:dyDescent="0.3">
      <c r="A7" s="72"/>
      <c r="B7" s="60"/>
      <c r="C7" s="59"/>
      <c r="D7" s="59"/>
      <c r="E7" s="59"/>
      <c r="F7" s="59"/>
      <c r="G7" s="59"/>
      <c r="H7" s="59"/>
      <c r="I7" s="59"/>
      <c r="J7" s="59"/>
      <c r="K7" s="59"/>
      <c r="L7" s="59"/>
      <c r="M7" s="59"/>
      <c r="N7" s="59"/>
      <c r="P7" s="15"/>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7"/>
      <c r="D12" s="57"/>
      <c r="E12" s="57"/>
      <c r="F12" s="57"/>
      <c r="G12" s="57"/>
      <c r="H12" s="57"/>
      <c r="I12" s="57"/>
      <c r="J12" s="57"/>
      <c r="K12" s="57"/>
      <c r="L12" s="57"/>
      <c r="M12" s="57"/>
      <c r="N12" s="57"/>
    </row>
    <row r="13" spans="1:18" ht="14.5" x14ac:dyDescent="0.35">
      <c r="B13"/>
      <c r="C13" s="82"/>
      <c r="D13" s="82"/>
      <c r="E13" s="82"/>
      <c r="F13" s="82"/>
      <c r="G13" s="82"/>
      <c r="H13" s="82"/>
      <c r="I13" s="82"/>
      <c r="J13" s="82"/>
      <c r="K13" s="82"/>
      <c r="L13" s="82"/>
      <c r="M13" s="82"/>
      <c r="N13" s="82"/>
    </row>
    <row r="14" spans="1:18" ht="14.5" x14ac:dyDescent="0.35">
      <c r="B14"/>
      <c r="C14" s="57"/>
      <c r="D14" s="57"/>
      <c r="E14" s="57"/>
      <c r="F14" s="57"/>
      <c r="G14" s="57"/>
      <c r="H14" s="57"/>
      <c r="I14" s="57"/>
      <c r="J14" s="57"/>
      <c r="K14" s="57"/>
      <c r="L14" s="57"/>
      <c r="M14" s="57"/>
      <c r="N14" s="57"/>
      <c r="O14" s="46"/>
      <c r="P14"/>
      <c r="Q14"/>
      <c r="R14"/>
    </row>
    <row r="15" spans="1:18" ht="14.5" x14ac:dyDescent="0.35">
      <c r="B15"/>
      <c r="C15"/>
      <c r="D15"/>
      <c r="E15"/>
      <c r="F15"/>
      <c r="G15"/>
      <c r="H15"/>
      <c r="I15"/>
      <c r="J15"/>
      <c r="K15"/>
      <c r="L15"/>
      <c r="M15"/>
      <c r="N15"/>
      <c r="O15"/>
      <c r="P15"/>
      <c r="Q15"/>
      <c r="R15"/>
    </row>
    <row r="16" spans="1:18" ht="14.5" x14ac:dyDescent="0.35">
      <c r="C16" s="57"/>
      <c r="D16" s="57"/>
      <c r="E16" s="57"/>
      <c r="F16" s="57"/>
      <c r="G16" s="57"/>
      <c r="H16" s="57"/>
      <c r="I16" s="57"/>
      <c r="J16" s="57"/>
      <c r="K16" s="57"/>
      <c r="L16" s="57"/>
      <c r="M16" s="57"/>
      <c r="N16" s="57"/>
      <c r="O16"/>
    </row>
    <row r="17" spans="3:14" ht="14.5" x14ac:dyDescent="0.35">
      <c r="C17" s="44"/>
      <c r="D17" s="44"/>
      <c r="E17" s="44"/>
      <c r="F17" s="44"/>
      <c r="G17" s="44"/>
      <c r="H17" s="44"/>
      <c r="I17" s="44"/>
      <c r="J17" s="44"/>
      <c r="K17" s="44"/>
      <c r="L17" s="44"/>
      <c r="M17" s="44"/>
      <c r="N17" s="44"/>
    </row>
    <row r="18" spans="3:14" ht="14.5" x14ac:dyDescent="0.35">
      <c r="C18"/>
      <c r="D18"/>
      <c r="E18"/>
      <c r="F18"/>
      <c r="G18"/>
      <c r="H18"/>
      <c r="I18"/>
      <c r="J18"/>
      <c r="K18"/>
      <c r="L18"/>
      <c r="M18"/>
      <c r="N18"/>
    </row>
    <row r="19" spans="3:14" ht="14.5" x14ac:dyDescent="0.35">
      <c r="C19" s="46"/>
      <c r="D19" s="46"/>
      <c r="E19" s="46"/>
      <c r="F19" s="46"/>
      <c r="G19" s="46"/>
      <c r="H19" s="46"/>
      <c r="I19" s="46"/>
      <c r="J19" s="46"/>
      <c r="K19" s="46"/>
      <c r="L19" s="46"/>
      <c r="M19" s="46"/>
      <c r="N19" s="46"/>
    </row>
    <row r="20" spans="3:14" ht="14.5" x14ac:dyDescent="0.35">
      <c r="C20"/>
      <c r="D20"/>
    </row>
    <row r="21" spans="3:14" ht="14.5" x14ac:dyDescent="0.35">
      <c r="C21"/>
      <c r="D21"/>
    </row>
    <row r="22" spans="3:14" ht="14.5" x14ac:dyDescent="0.35">
      <c r="C22"/>
      <c r="D22"/>
    </row>
    <row r="23" spans="3:14" ht="14.5" x14ac:dyDescent="0.35">
      <c r="C23"/>
      <c r="D23"/>
    </row>
    <row r="24" spans="3:14" ht="14.5" x14ac:dyDescent="0.3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9" ht="56" x14ac:dyDescent="0.35">
      <c r="A1" s="34" t="str">
        <f>CONCATENATE("STI Constituents - ",'Weekly Top 10'!$C$5)</f>
        <v>STI Constituents - Week of 8 April 2024</v>
      </c>
      <c r="B1" s="18" t="s">
        <v>1</v>
      </c>
      <c r="C1" s="19" t="s">
        <v>73</v>
      </c>
      <c r="D1" s="19" t="s">
        <v>74</v>
      </c>
    </row>
    <row r="2" spans="1:9" x14ac:dyDescent="0.35">
      <c r="A2" s="20" t="s">
        <v>89</v>
      </c>
      <c r="B2" s="21" t="s">
        <v>25</v>
      </c>
      <c r="C2" s="22">
        <v>-6.2829079999999999</v>
      </c>
      <c r="D2" s="22">
        <v>6.0476890000000001</v>
      </c>
      <c r="E2" s="40"/>
      <c r="F2" s="44"/>
      <c r="H2" s="45"/>
      <c r="I2" s="45"/>
    </row>
    <row r="3" spans="1:9" x14ac:dyDescent="0.35">
      <c r="A3" s="23" t="s">
        <v>79</v>
      </c>
      <c r="B3" s="24" t="s">
        <v>56</v>
      </c>
      <c r="C3" s="8">
        <v>-4.1802910000000004</v>
      </c>
      <c r="D3" s="8">
        <v>9.2845359999999992</v>
      </c>
      <c r="E3" s="40"/>
      <c r="F3" s="44"/>
      <c r="H3" s="45"/>
      <c r="I3" s="45"/>
    </row>
    <row r="4" spans="1:9" x14ac:dyDescent="0.35">
      <c r="A4" s="5" t="s">
        <v>86</v>
      </c>
      <c r="B4" s="7" t="s">
        <v>85</v>
      </c>
      <c r="C4" s="6">
        <v>-7.1090080000000002</v>
      </c>
      <c r="D4" s="6">
        <v>14.557624000000001</v>
      </c>
      <c r="E4" s="40"/>
      <c r="F4" s="44"/>
      <c r="H4" s="45"/>
      <c r="I4" s="45"/>
    </row>
    <row r="5" spans="1:9" x14ac:dyDescent="0.35">
      <c r="A5" s="23" t="s">
        <v>63</v>
      </c>
      <c r="B5" s="24" t="s">
        <v>54</v>
      </c>
      <c r="C5" s="8">
        <v>-7.0673789999999999</v>
      </c>
      <c r="D5" s="8">
        <v>6.2085140000000001</v>
      </c>
      <c r="E5" s="40"/>
      <c r="F5" s="44"/>
      <c r="H5" s="45"/>
      <c r="I5" s="45"/>
    </row>
    <row r="6" spans="1:9" x14ac:dyDescent="0.35">
      <c r="A6" s="5" t="s">
        <v>87</v>
      </c>
      <c r="B6" s="7" t="s">
        <v>57</v>
      </c>
      <c r="C6" s="6">
        <v>-2.0949614541999999</v>
      </c>
      <c r="D6" s="6">
        <v>3.0363794153999999</v>
      </c>
      <c r="E6" s="40"/>
      <c r="F6" s="44"/>
      <c r="H6" s="45"/>
      <c r="I6" s="45"/>
    </row>
    <row r="7" spans="1:9" x14ac:dyDescent="0.35">
      <c r="A7" s="23" t="s">
        <v>26</v>
      </c>
      <c r="B7" s="24" t="s">
        <v>21</v>
      </c>
      <c r="C7" s="8">
        <v>27.809151</v>
      </c>
      <c r="D7" s="8">
        <v>-16.573836</v>
      </c>
      <c r="E7" s="40"/>
      <c r="F7" s="44"/>
      <c r="H7" s="45"/>
      <c r="I7" s="45"/>
    </row>
    <row r="8" spans="1:9" x14ac:dyDescent="0.35">
      <c r="A8" s="5" t="s">
        <v>264</v>
      </c>
      <c r="B8" s="7" t="s">
        <v>111</v>
      </c>
      <c r="C8" s="6">
        <v>-2.416067</v>
      </c>
      <c r="D8" s="6">
        <v>1.2796050000000001</v>
      </c>
      <c r="E8" s="40"/>
      <c r="F8" s="44"/>
      <c r="H8" s="45"/>
      <c r="I8" s="45"/>
    </row>
    <row r="9" spans="1:9" x14ac:dyDescent="0.35">
      <c r="A9" s="23" t="s">
        <v>81</v>
      </c>
      <c r="B9" s="24" t="s">
        <v>80</v>
      </c>
      <c r="C9" s="8">
        <v>-4.6295250000000001</v>
      </c>
      <c r="D9" s="8">
        <v>2.1817129999999998</v>
      </c>
      <c r="E9" s="40"/>
      <c r="F9" s="44"/>
      <c r="H9" s="45"/>
      <c r="I9" s="45"/>
    </row>
    <row r="10" spans="1:9" x14ac:dyDescent="0.35">
      <c r="A10" s="5" t="s">
        <v>36</v>
      </c>
      <c r="B10" s="7" t="s">
        <v>35</v>
      </c>
      <c r="C10" s="6">
        <v>12.509105</v>
      </c>
      <c r="D10" s="6">
        <v>-5.4326695000000003</v>
      </c>
      <c r="E10" s="40"/>
      <c r="F10" s="44"/>
      <c r="H10" s="45"/>
      <c r="I10" s="45"/>
    </row>
    <row r="11" spans="1:9" x14ac:dyDescent="0.35">
      <c r="A11" s="23" t="s">
        <v>64</v>
      </c>
      <c r="B11" s="24" t="s">
        <v>55</v>
      </c>
      <c r="C11" s="8">
        <v>-1.7293883407999999</v>
      </c>
      <c r="D11" s="8">
        <v>1.7192777805999999</v>
      </c>
      <c r="E11" s="40"/>
      <c r="F11" s="44"/>
      <c r="H11" s="45"/>
      <c r="I11" s="45"/>
    </row>
    <row r="12" spans="1:9" x14ac:dyDescent="0.35">
      <c r="A12" s="5" t="s">
        <v>50</v>
      </c>
      <c r="B12" s="7" t="s">
        <v>48</v>
      </c>
      <c r="C12" s="6">
        <v>19.797827000000002</v>
      </c>
      <c r="D12" s="6">
        <v>-11.490416</v>
      </c>
      <c r="E12" s="40"/>
      <c r="F12" s="44"/>
      <c r="H12" s="45"/>
      <c r="I12" s="45"/>
    </row>
    <row r="13" spans="1:9" x14ac:dyDescent="0.35">
      <c r="A13" s="23" t="s">
        <v>62</v>
      </c>
      <c r="B13" s="24" t="s">
        <v>52</v>
      </c>
      <c r="C13" s="8">
        <v>-5.1493836396000008</v>
      </c>
      <c r="D13" s="8">
        <v>2.6871746409999999</v>
      </c>
      <c r="E13" s="40"/>
      <c r="F13" s="44"/>
      <c r="H13" s="45"/>
      <c r="I13" s="45"/>
    </row>
    <row r="14" spans="1:9" x14ac:dyDescent="0.35">
      <c r="A14" s="5" t="s">
        <v>153</v>
      </c>
      <c r="B14" s="7" t="s">
        <v>32</v>
      </c>
      <c r="C14" s="6">
        <v>-16.132742</v>
      </c>
      <c r="D14" s="6">
        <v>18.740888000000002</v>
      </c>
      <c r="E14" s="40"/>
      <c r="F14" s="44"/>
      <c r="H14" s="45"/>
      <c r="I14" s="45"/>
    </row>
    <row r="15" spans="1:9" x14ac:dyDescent="0.35">
      <c r="A15" s="23" t="s">
        <v>255</v>
      </c>
      <c r="B15" s="24" t="s">
        <v>58</v>
      </c>
      <c r="C15" s="8">
        <v>1.0432840000000001</v>
      </c>
      <c r="D15" s="8">
        <v>0.79167799999999999</v>
      </c>
      <c r="E15" s="40"/>
      <c r="F15" s="44"/>
      <c r="H15" s="45"/>
      <c r="I15" s="45"/>
    </row>
    <row r="16" spans="1:9" x14ac:dyDescent="0.35">
      <c r="A16" s="5" t="s">
        <v>77</v>
      </c>
      <c r="B16" s="7" t="s">
        <v>76</v>
      </c>
      <c r="C16" s="6">
        <v>-1.2788619999999999</v>
      </c>
      <c r="D16" s="6">
        <v>1.2797639999999999</v>
      </c>
      <c r="E16" s="40"/>
      <c r="F16" s="44"/>
      <c r="H16" s="45"/>
      <c r="I16" s="45"/>
    </row>
    <row r="17" spans="1:9" x14ac:dyDescent="0.35">
      <c r="A17" s="23" t="s">
        <v>40</v>
      </c>
      <c r="B17" s="24" t="s">
        <v>38</v>
      </c>
      <c r="C17" s="8">
        <v>-10.307561</v>
      </c>
      <c r="D17" s="8">
        <v>12.273631</v>
      </c>
      <c r="E17" s="40"/>
      <c r="F17" s="44"/>
      <c r="H17" s="45"/>
      <c r="I17" s="45"/>
    </row>
    <row r="18" spans="1:9" x14ac:dyDescent="0.35">
      <c r="A18" s="5" t="s">
        <v>27</v>
      </c>
      <c r="B18" s="7" t="s">
        <v>22</v>
      </c>
      <c r="C18" s="6">
        <v>0.25442300000000001</v>
      </c>
      <c r="D18" s="6">
        <v>-11.217444</v>
      </c>
      <c r="E18" s="40"/>
      <c r="F18" s="44"/>
      <c r="H18" s="45"/>
      <c r="I18" s="45"/>
    </row>
    <row r="19" spans="1:9" x14ac:dyDescent="0.35">
      <c r="A19" s="23" t="s">
        <v>34</v>
      </c>
      <c r="B19" s="24" t="s">
        <v>30</v>
      </c>
      <c r="C19" s="8">
        <v>-1.9116029999999999</v>
      </c>
      <c r="D19" s="8">
        <v>0.79088199999999997</v>
      </c>
      <c r="E19" s="40"/>
      <c r="F19" s="44"/>
      <c r="H19" s="45"/>
      <c r="I19" s="45"/>
    </row>
    <row r="20" spans="1:9" x14ac:dyDescent="0.35">
      <c r="A20" s="5" t="s">
        <v>146</v>
      </c>
      <c r="B20" s="7" t="s">
        <v>90</v>
      </c>
      <c r="C20" s="6">
        <v>-12.3900524</v>
      </c>
      <c r="D20" s="6">
        <v>4.0684353000000018</v>
      </c>
      <c r="E20" s="40"/>
      <c r="F20" s="44"/>
      <c r="H20" s="45"/>
      <c r="I20" s="45"/>
    </row>
    <row r="21" spans="1:9" x14ac:dyDescent="0.35">
      <c r="A21" s="66" t="s">
        <v>45</v>
      </c>
      <c r="B21" s="24" t="s">
        <v>42</v>
      </c>
      <c r="C21" s="8">
        <v>1.1129169999999999</v>
      </c>
      <c r="D21" s="8">
        <v>1.0734699999999999</v>
      </c>
      <c r="E21" s="40"/>
      <c r="F21" s="44"/>
      <c r="H21" s="45"/>
      <c r="I21" s="45"/>
    </row>
    <row r="22" spans="1:9" x14ac:dyDescent="0.35">
      <c r="A22" s="67" t="s">
        <v>29</v>
      </c>
      <c r="B22" s="7" t="s">
        <v>24</v>
      </c>
      <c r="C22" s="6">
        <v>-10.276915000000001</v>
      </c>
      <c r="D22" s="75">
        <v>15.3103</v>
      </c>
      <c r="E22" s="40"/>
      <c r="F22" s="44"/>
      <c r="H22" s="45"/>
      <c r="I22" s="45"/>
    </row>
    <row r="23" spans="1:9" x14ac:dyDescent="0.35">
      <c r="A23" s="23" t="s">
        <v>33</v>
      </c>
      <c r="B23" s="24" t="s">
        <v>31</v>
      </c>
      <c r="C23" s="8">
        <v>-2.6558380000000001</v>
      </c>
      <c r="D23" s="8">
        <v>-2.4942959999999998</v>
      </c>
      <c r="E23" s="40"/>
      <c r="F23" s="44"/>
      <c r="H23" s="45"/>
      <c r="I23" s="45"/>
    </row>
    <row r="24" spans="1:9" x14ac:dyDescent="0.35">
      <c r="A24" s="5" t="s">
        <v>49</v>
      </c>
      <c r="B24" s="7" t="s">
        <v>47</v>
      </c>
      <c r="C24" s="6">
        <v>-30.168925600000001</v>
      </c>
      <c r="D24" s="6">
        <v>21.214587099999999</v>
      </c>
      <c r="E24" s="40"/>
      <c r="F24" s="44"/>
      <c r="H24" s="45"/>
      <c r="I24" s="45"/>
    </row>
    <row r="25" spans="1:9" x14ac:dyDescent="0.35">
      <c r="A25" s="23" t="s">
        <v>39</v>
      </c>
      <c r="B25" s="24" t="s">
        <v>37</v>
      </c>
      <c r="C25" s="8">
        <v>-0.63182799999999995</v>
      </c>
      <c r="D25" s="8">
        <v>0.38508500000000001</v>
      </c>
      <c r="E25" s="40"/>
      <c r="F25" s="44"/>
      <c r="H25" s="45"/>
      <c r="I25" s="45"/>
    </row>
    <row r="26" spans="1:9" x14ac:dyDescent="0.35">
      <c r="A26" s="5" t="s">
        <v>60</v>
      </c>
      <c r="B26" s="7" t="s">
        <v>51</v>
      </c>
      <c r="C26" s="6">
        <v>1.866322</v>
      </c>
      <c r="D26" s="6">
        <v>-1.378841</v>
      </c>
      <c r="E26" s="40"/>
      <c r="F26" s="44"/>
      <c r="H26" s="45"/>
      <c r="I26" s="45"/>
    </row>
    <row r="27" spans="1:9" x14ac:dyDescent="0.35">
      <c r="A27" s="23" t="s">
        <v>28</v>
      </c>
      <c r="B27" s="24" t="s">
        <v>23</v>
      </c>
      <c r="C27" s="8">
        <v>10.451271999999999</v>
      </c>
      <c r="D27" s="8">
        <v>-10.246771000000001</v>
      </c>
      <c r="E27" s="40"/>
      <c r="F27" s="44"/>
      <c r="H27" s="45"/>
      <c r="I27" s="45"/>
    </row>
    <row r="28" spans="1:9" x14ac:dyDescent="0.35">
      <c r="A28" s="5" t="s">
        <v>65</v>
      </c>
      <c r="B28" s="7" t="s">
        <v>59</v>
      </c>
      <c r="C28" s="6">
        <v>2.1867070000000002</v>
      </c>
      <c r="D28" s="6">
        <v>2.0007259999999998</v>
      </c>
      <c r="E28" s="40"/>
      <c r="F28" s="44"/>
      <c r="H28" s="45"/>
      <c r="I28" s="45"/>
    </row>
    <row r="29" spans="1:9" x14ac:dyDescent="0.35">
      <c r="A29" s="23" t="s">
        <v>46</v>
      </c>
      <c r="B29" s="24" t="s">
        <v>43</v>
      </c>
      <c r="C29" s="8">
        <v>2.2787790000000001</v>
      </c>
      <c r="D29" s="8">
        <v>-3.323976</v>
      </c>
      <c r="E29" s="40"/>
      <c r="F29" s="44"/>
      <c r="H29" s="45"/>
      <c r="I29" s="45"/>
    </row>
    <row r="30" spans="1:9" x14ac:dyDescent="0.35">
      <c r="A30" s="5" t="s">
        <v>44</v>
      </c>
      <c r="B30" s="7" t="s">
        <v>41</v>
      </c>
      <c r="C30" s="6">
        <v>9.1597190000000008</v>
      </c>
      <c r="D30" s="6">
        <v>-5.271503</v>
      </c>
      <c r="E30" s="40"/>
      <c r="F30" s="44"/>
      <c r="H30" s="45"/>
      <c r="I30" s="45"/>
    </row>
    <row r="31" spans="1:9" ht="15" thickBot="1" x14ac:dyDescent="0.4">
      <c r="A31" s="23" t="s">
        <v>61</v>
      </c>
      <c r="B31" s="24" t="s">
        <v>53</v>
      </c>
      <c r="C31" s="8">
        <v>-27.229937</v>
      </c>
      <c r="D31" s="8">
        <v>20.186964</v>
      </c>
      <c r="E31" s="40"/>
      <c r="F31" s="44"/>
      <c r="H31" s="45"/>
      <c r="I31" s="45"/>
    </row>
    <row r="32" spans="1:9" ht="21" customHeight="1" thickBot="1" x14ac:dyDescent="0.4">
      <c r="A32" s="95" t="s">
        <v>66</v>
      </c>
      <c r="B32" s="96"/>
      <c r="C32" s="76">
        <f>SUM(C2:C31)</f>
        <v>-65.173669434600001</v>
      </c>
      <c r="D32" s="77">
        <f>SUM(D2:D31)</f>
        <v>77.689170737000012</v>
      </c>
    </row>
    <row r="34" spans="1:7" x14ac:dyDescent="0.35">
      <c r="A34" s="11" t="s">
        <v>67</v>
      </c>
      <c r="B34" s="56"/>
      <c r="C34" s="56"/>
      <c r="D34" s="56"/>
      <c r="E34" s="56"/>
      <c r="F34" s="56"/>
      <c r="G34" s="56"/>
    </row>
    <row r="35" spans="1:7" x14ac:dyDescent="0.35">
      <c r="A35" s="11" t="s">
        <v>82</v>
      </c>
    </row>
    <row r="36" spans="1:7" x14ac:dyDescent="0.35">
      <c r="A36" s="11" t="s">
        <v>83</v>
      </c>
    </row>
    <row r="37" spans="1:7" x14ac:dyDescent="0.3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9" ht="42" x14ac:dyDescent="0.35">
      <c r="A1" s="34" t="str">
        <f>CONCATENATE("100 Most Traded Stocks YTD - ",'Weekly Top 10'!$C$5)</f>
        <v>100 Most Traded Stocks YTD - Week of 8 April 2024</v>
      </c>
      <c r="B1" s="18" t="s">
        <v>1</v>
      </c>
      <c r="C1" s="53" t="s">
        <v>101</v>
      </c>
      <c r="D1" s="19" t="s">
        <v>100</v>
      </c>
      <c r="E1" s="19" t="s">
        <v>102</v>
      </c>
      <c r="F1" s="19" t="s">
        <v>103</v>
      </c>
    </row>
    <row r="2" spans="1:9" x14ac:dyDescent="0.35">
      <c r="A2" s="20" t="s">
        <v>26</v>
      </c>
      <c r="B2" s="21" t="s">
        <v>21</v>
      </c>
      <c r="C2" s="62">
        <v>138.00127829588729</v>
      </c>
      <c r="D2" s="62">
        <v>-197.1474455</v>
      </c>
      <c r="E2" s="62">
        <v>19.089252999999999</v>
      </c>
      <c r="F2" s="22" t="s">
        <v>13</v>
      </c>
      <c r="G2" s="61"/>
      <c r="H2" s="61"/>
      <c r="I2" s="61"/>
    </row>
    <row r="3" spans="1:9" x14ac:dyDescent="0.35">
      <c r="A3" s="23" t="s">
        <v>28</v>
      </c>
      <c r="B3" s="24" t="s">
        <v>23</v>
      </c>
      <c r="C3" s="63">
        <v>80.911103856549289</v>
      </c>
      <c r="D3" s="63">
        <v>-56.983927000000001</v>
      </c>
      <c r="E3" s="63">
        <v>10.338482000000001</v>
      </c>
      <c r="F3" s="8" t="s">
        <v>13</v>
      </c>
      <c r="G3" s="61"/>
      <c r="H3" s="61"/>
      <c r="I3" s="61"/>
    </row>
    <row r="4" spans="1:9" x14ac:dyDescent="0.35">
      <c r="A4" s="5" t="s">
        <v>49</v>
      </c>
      <c r="B4" s="7" t="s">
        <v>47</v>
      </c>
      <c r="C4" s="64">
        <v>69.332214682225342</v>
      </c>
      <c r="D4" s="64">
        <v>10.5963391</v>
      </c>
      <c r="E4" s="64">
        <v>-69.518298900000005</v>
      </c>
      <c r="F4" s="6" t="s">
        <v>165</v>
      </c>
      <c r="G4" s="61"/>
      <c r="H4" s="61"/>
      <c r="I4" s="61"/>
    </row>
    <row r="5" spans="1:9" x14ac:dyDescent="0.35">
      <c r="A5" s="23" t="s">
        <v>169</v>
      </c>
      <c r="B5" s="24" t="s">
        <v>22</v>
      </c>
      <c r="C5" s="63">
        <v>67.714683136718307</v>
      </c>
      <c r="D5" s="63">
        <v>150.8064316</v>
      </c>
      <c r="E5" s="63">
        <v>3.3428330000000002</v>
      </c>
      <c r="F5" s="8" t="s">
        <v>13</v>
      </c>
      <c r="G5" s="61"/>
      <c r="H5" s="61"/>
      <c r="I5" s="61"/>
    </row>
    <row r="6" spans="1:9" x14ac:dyDescent="0.35">
      <c r="A6" s="5" t="s">
        <v>146</v>
      </c>
      <c r="B6" s="7" t="s">
        <v>90</v>
      </c>
      <c r="C6" s="64">
        <v>44.079944486380278</v>
      </c>
      <c r="D6" s="64">
        <v>-89.948820400000002</v>
      </c>
      <c r="E6" s="64">
        <v>-15.964323199999999</v>
      </c>
      <c r="F6" s="6" t="s">
        <v>14</v>
      </c>
      <c r="G6" s="61"/>
      <c r="H6" s="61"/>
      <c r="I6" s="61"/>
    </row>
    <row r="7" spans="1:9" x14ac:dyDescent="0.35">
      <c r="A7" s="23" t="s">
        <v>170</v>
      </c>
      <c r="B7" s="24" t="s">
        <v>56</v>
      </c>
      <c r="C7" s="63">
        <v>42.970302253380282</v>
      </c>
      <c r="D7" s="63">
        <v>-27.363240999999999</v>
      </c>
      <c r="E7" s="63">
        <v>-6.2196769999999999</v>
      </c>
      <c r="F7" s="8" t="s">
        <v>17</v>
      </c>
      <c r="G7" s="61"/>
      <c r="H7" s="61"/>
      <c r="I7" s="61"/>
    </row>
    <row r="8" spans="1:9" x14ac:dyDescent="0.35">
      <c r="A8" s="5" t="s">
        <v>33</v>
      </c>
      <c r="B8" s="7" t="s">
        <v>31</v>
      </c>
      <c r="C8" s="64">
        <v>38.819682946619722</v>
      </c>
      <c r="D8" s="64">
        <v>-127.16768500000001</v>
      </c>
      <c r="E8" s="64">
        <v>-8.3613979999999994</v>
      </c>
      <c r="F8" s="48" t="s">
        <v>14</v>
      </c>
      <c r="G8" s="61"/>
      <c r="H8" s="61"/>
      <c r="I8" s="61"/>
    </row>
    <row r="9" spans="1:9" x14ac:dyDescent="0.35">
      <c r="A9" s="23" t="s">
        <v>171</v>
      </c>
      <c r="B9" s="24" t="s">
        <v>25</v>
      </c>
      <c r="C9" s="63">
        <v>34.489293109436616</v>
      </c>
      <c r="D9" s="63">
        <v>-31.285385000000002</v>
      </c>
      <c r="E9" s="63">
        <v>0.1110539999999999</v>
      </c>
      <c r="F9" s="8" t="s">
        <v>17</v>
      </c>
      <c r="G9" s="61"/>
      <c r="H9" s="61"/>
      <c r="I9" s="61"/>
    </row>
    <row r="10" spans="1:9" x14ac:dyDescent="0.35">
      <c r="A10" s="5" t="s">
        <v>172</v>
      </c>
      <c r="B10" s="7" t="s">
        <v>53</v>
      </c>
      <c r="C10" s="64">
        <v>34.427639078873241</v>
      </c>
      <c r="D10" s="64">
        <v>50.673406999999997</v>
      </c>
      <c r="E10" s="64">
        <v>-26.934486</v>
      </c>
      <c r="F10" s="6" t="s">
        <v>14</v>
      </c>
      <c r="G10" s="61"/>
      <c r="H10" s="61"/>
      <c r="I10" s="61"/>
    </row>
    <row r="11" spans="1:9" x14ac:dyDescent="0.35">
      <c r="A11" s="23" t="s">
        <v>175</v>
      </c>
      <c r="B11" s="24" t="s">
        <v>35</v>
      </c>
      <c r="C11" s="63">
        <v>27.329281829718312</v>
      </c>
      <c r="D11" s="63">
        <v>-27.7717265</v>
      </c>
      <c r="E11" s="63">
        <v>15.0517465</v>
      </c>
      <c r="F11" s="8" t="s">
        <v>10</v>
      </c>
      <c r="G11" s="61"/>
      <c r="H11" s="61"/>
      <c r="I11" s="61"/>
    </row>
    <row r="12" spans="1:9" x14ac:dyDescent="0.35">
      <c r="A12" s="5" t="s">
        <v>173</v>
      </c>
      <c r="B12" s="7" t="s">
        <v>85</v>
      </c>
      <c r="C12" s="64">
        <v>26.9055009933662</v>
      </c>
      <c r="D12" s="64">
        <v>-147.838942</v>
      </c>
      <c r="E12" s="64">
        <v>-6.0049530000000004</v>
      </c>
      <c r="F12" s="6" t="s">
        <v>13</v>
      </c>
      <c r="G12" s="61"/>
      <c r="H12" s="61"/>
      <c r="I12" s="61"/>
    </row>
    <row r="13" spans="1:9" x14ac:dyDescent="0.35">
      <c r="A13" s="23" t="s">
        <v>174</v>
      </c>
      <c r="B13" s="24" t="s">
        <v>38</v>
      </c>
      <c r="C13" s="63">
        <v>26.453174499999999</v>
      </c>
      <c r="D13" s="63">
        <v>-121.70286900000001</v>
      </c>
      <c r="E13" s="63">
        <v>-10.032548</v>
      </c>
      <c r="F13" s="8" t="s">
        <v>17</v>
      </c>
      <c r="G13" s="61"/>
      <c r="H13" s="61"/>
      <c r="I13" s="61"/>
    </row>
    <row r="14" spans="1:9" x14ac:dyDescent="0.35">
      <c r="A14" s="5" t="s">
        <v>153</v>
      </c>
      <c r="B14" s="7" t="s">
        <v>32</v>
      </c>
      <c r="C14" s="64">
        <v>24.293132430014083</v>
      </c>
      <c r="D14" s="64">
        <v>112.543021</v>
      </c>
      <c r="E14" s="64">
        <v>-16.229372000000001</v>
      </c>
      <c r="F14" s="6" t="s">
        <v>14</v>
      </c>
      <c r="G14" s="61"/>
      <c r="H14" s="61"/>
      <c r="I14" s="61"/>
    </row>
    <row r="15" spans="1:9" x14ac:dyDescent="0.35">
      <c r="A15" s="23" t="s">
        <v>184</v>
      </c>
      <c r="B15" s="24" t="s">
        <v>59</v>
      </c>
      <c r="C15" s="63">
        <v>19.541897977323949</v>
      </c>
      <c r="D15" s="63">
        <v>-120.075147</v>
      </c>
      <c r="E15" s="63">
        <v>1.5958220000000001</v>
      </c>
      <c r="F15" s="8" t="s">
        <v>16</v>
      </c>
      <c r="G15" s="61"/>
      <c r="H15" s="61"/>
      <c r="I15" s="61"/>
    </row>
    <row r="16" spans="1:9" x14ac:dyDescent="0.35">
      <c r="A16" s="5" t="s">
        <v>179</v>
      </c>
      <c r="B16" s="7" t="s">
        <v>42</v>
      </c>
      <c r="C16" s="64">
        <v>19.363930431267601</v>
      </c>
      <c r="D16" s="64">
        <v>5.5277431999999989</v>
      </c>
      <c r="E16" s="64">
        <v>3.1901320000000002</v>
      </c>
      <c r="F16" s="6" t="s">
        <v>19</v>
      </c>
      <c r="G16" s="61"/>
      <c r="H16" s="61"/>
      <c r="I16" s="61"/>
    </row>
    <row r="17" spans="1:11" x14ac:dyDescent="0.35">
      <c r="A17" s="23" t="s">
        <v>182</v>
      </c>
      <c r="B17" s="24" t="s">
        <v>51</v>
      </c>
      <c r="C17" s="63">
        <v>18.965550302816901</v>
      </c>
      <c r="D17" s="63">
        <v>36.275036500000006</v>
      </c>
      <c r="E17" s="63">
        <v>1.2537039999999999</v>
      </c>
      <c r="F17" s="8" t="s">
        <v>11</v>
      </c>
      <c r="G17" s="61"/>
      <c r="H17" s="61"/>
      <c r="I17" s="61"/>
    </row>
    <row r="18" spans="1:11" x14ac:dyDescent="0.35">
      <c r="A18" s="5" t="s">
        <v>181</v>
      </c>
      <c r="B18" s="7" t="s">
        <v>58</v>
      </c>
      <c r="C18" s="64">
        <v>18.522615855633799</v>
      </c>
      <c r="D18" s="64">
        <v>-63.718958999999998</v>
      </c>
      <c r="E18" s="64">
        <v>1.973347</v>
      </c>
      <c r="F18" s="6" t="s">
        <v>17</v>
      </c>
      <c r="G18" s="61"/>
      <c r="H18" s="61"/>
      <c r="I18" s="61"/>
      <c r="J18" s="61"/>
      <c r="K18" s="61"/>
    </row>
    <row r="19" spans="1:11" x14ac:dyDescent="0.35">
      <c r="A19" s="23" t="s">
        <v>183</v>
      </c>
      <c r="B19" s="24" t="s">
        <v>48</v>
      </c>
      <c r="C19" s="63">
        <v>17.746573818309859</v>
      </c>
      <c r="D19" s="63">
        <v>-54.193724000000003</v>
      </c>
      <c r="E19" s="63">
        <v>21.963736000000001</v>
      </c>
      <c r="F19" s="8" t="s">
        <v>10</v>
      </c>
      <c r="G19" s="61"/>
      <c r="H19" s="61"/>
      <c r="I19" s="61"/>
      <c r="J19" s="61"/>
      <c r="K19" s="61"/>
    </row>
    <row r="20" spans="1:11" x14ac:dyDescent="0.35">
      <c r="A20" s="5" t="s">
        <v>178</v>
      </c>
      <c r="B20" s="7" t="s">
        <v>41</v>
      </c>
      <c r="C20" s="64">
        <v>16.850328447056338</v>
      </c>
      <c r="D20" s="64">
        <v>6.186585</v>
      </c>
      <c r="E20" s="64">
        <v>7.5860029999999998</v>
      </c>
      <c r="F20" s="6" t="s">
        <v>11</v>
      </c>
      <c r="G20" s="61"/>
      <c r="H20" s="61"/>
      <c r="I20" s="61"/>
      <c r="J20" s="61"/>
      <c r="K20" s="61"/>
    </row>
    <row r="21" spans="1:11" x14ac:dyDescent="0.35">
      <c r="A21" s="23" t="s">
        <v>185</v>
      </c>
      <c r="B21" s="24" t="s">
        <v>54</v>
      </c>
      <c r="C21" s="63">
        <v>16.715907114084509</v>
      </c>
      <c r="D21" s="63">
        <v>-61.952596</v>
      </c>
      <c r="E21" s="63">
        <v>-5.4135260000000001</v>
      </c>
      <c r="F21" s="8" t="s">
        <v>16</v>
      </c>
      <c r="G21" s="61"/>
      <c r="H21" s="61"/>
      <c r="I21" s="61"/>
      <c r="J21" s="61"/>
      <c r="K21" s="61"/>
    </row>
    <row r="22" spans="1:11" x14ac:dyDescent="0.35">
      <c r="A22" s="5" t="s">
        <v>177</v>
      </c>
      <c r="B22" s="7" t="s">
        <v>52</v>
      </c>
      <c r="C22" s="64">
        <v>16.655651732863969</v>
      </c>
      <c r="D22" s="64">
        <v>18.0544436104</v>
      </c>
      <c r="E22" s="64">
        <v>-1.9809395918999981</v>
      </c>
      <c r="F22" s="6" t="s">
        <v>14</v>
      </c>
      <c r="G22" s="61"/>
      <c r="H22" s="61"/>
      <c r="I22" s="61"/>
      <c r="J22" s="61"/>
      <c r="K22" s="61"/>
    </row>
    <row r="23" spans="1:11" x14ac:dyDescent="0.35">
      <c r="A23" s="23" t="s">
        <v>29</v>
      </c>
      <c r="B23" s="24" t="s">
        <v>24</v>
      </c>
      <c r="C23" s="63">
        <v>16.526124932394371</v>
      </c>
      <c r="D23" s="63">
        <v>-125.941035</v>
      </c>
      <c r="E23" s="63">
        <v>-10.780595999999999</v>
      </c>
      <c r="F23" s="8" t="s">
        <v>13</v>
      </c>
      <c r="G23" s="61"/>
      <c r="H23" s="61"/>
      <c r="I23" s="61"/>
      <c r="J23" s="61"/>
      <c r="K23" s="61"/>
    </row>
    <row r="24" spans="1:11" x14ac:dyDescent="0.35">
      <c r="A24" s="5" t="s">
        <v>39</v>
      </c>
      <c r="B24" s="7" t="s">
        <v>37</v>
      </c>
      <c r="C24" s="64">
        <v>15.265795230985921</v>
      </c>
      <c r="D24" s="64">
        <v>46.087933</v>
      </c>
      <c r="E24" s="64">
        <v>-1.15212</v>
      </c>
      <c r="F24" s="6" t="s">
        <v>14</v>
      </c>
      <c r="G24" s="61"/>
      <c r="H24" s="61"/>
      <c r="I24" s="61"/>
      <c r="J24" s="61"/>
      <c r="K24" s="61"/>
    </row>
    <row r="25" spans="1:11" x14ac:dyDescent="0.35">
      <c r="A25" s="23" t="s">
        <v>180</v>
      </c>
      <c r="B25" s="24" t="s">
        <v>76</v>
      </c>
      <c r="C25" s="63">
        <v>13.113142216056339</v>
      </c>
      <c r="D25" s="63">
        <v>-35.221719</v>
      </c>
      <c r="E25" s="63">
        <v>0.24788399999999999</v>
      </c>
      <c r="F25" s="8" t="s">
        <v>17</v>
      </c>
      <c r="G25" s="61"/>
      <c r="H25" s="61"/>
      <c r="I25" s="61"/>
      <c r="J25" s="61"/>
      <c r="K25" s="61"/>
    </row>
    <row r="26" spans="1:11" x14ac:dyDescent="0.35">
      <c r="A26" s="5" t="s">
        <v>176</v>
      </c>
      <c r="B26" s="7" t="s">
        <v>78</v>
      </c>
      <c r="C26" s="64">
        <v>12.933890578873239</v>
      </c>
      <c r="D26" s="64">
        <v>-62.221795</v>
      </c>
      <c r="E26" s="64">
        <v>-1.016983</v>
      </c>
      <c r="F26" s="6" t="s">
        <v>17</v>
      </c>
      <c r="G26" s="61"/>
      <c r="H26" s="61"/>
      <c r="I26" s="61"/>
      <c r="J26" s="61"/>
      <c r="K26" s="61"/>
    </row>
    <row r="27" spans="1:11" x14ac:dyDescent="0.35">
      <c r="A27" s="23" t="s">
        <v>34</v>
      </c>
      <c r="B27" s="24" t="s">
        <v>30</v>
      </c>
      <c r="C27" s="63">
        <v>11.826246657746481</v>
      </c>
      <c r="D27" s="63">
        <v>-17.711372999999998</v>
      </c>
      <c r="E27" s="63">
        <v>-1.50217</v>
      </c>
      <c r="F27" s="8" t="s">
        <v>14</v>
      </c>
      <c r="G27" s="61"/>
      <c r="H27" s="61"/>
      <c r="I27" s="61"/>
      <c r="J27" s="61"/>
      <c r="K27" s="61"/>
    </row>
    <row r="28" spans="1:11" x14ac:dyDescent="0.35">
      <c r="A28" s="5" t="s">
        <v>189</v>
      </c>
      <c r="B28" s="7" t="s">
        <v>80</v>
      </c>
      <c r="C28" s="64">
        <v>11.449137744366201</v>
      </c>
      <c r="D28" s="64">
        <v>-47.375934999999998</v>
      </c>
      <c r="E28" s="64">
        <v>-7.5294189999999999</v>
      </c>
      <c r="F28" s="6" t="s">
        <v>17</v>
      </c>
      <c r="G28" s="61"/>
      <c r="H28" s="61"/>
      <c r="I28" s="61"/>
      <c r="J28" s="61"/>
      <c r="K28" s="61"/>
    </row>
    <row r="29" spans="1:11" x14ac:dyDescent="0.35">
      <c r="A29" s="23" t="s">
        <v>186</v>
      </c>
      <c r="B29" s="24" t="s">
        <v>43</v>
      </c>
      <c r="C29" s="63">
        <v>10.124550504225351</v>
      </c>
      <c r="D29" s="63">
        <v>65.249818000000005</v>
      </c>
      <c r="E29" s="63">
        <v>2.9729139999999998</v>
      </c>
      <c r="F29" s="8" t="s">
        <v>166</v>
      </c>
      <c r="G29" s="61"/>
      <c r="H29" s="61"/>
      <c r="I29" s="61"/>
      <c r="J29" s="61"/>
      <c r="K29" s="61"/>
    </row>
    <row r="30" spans="1:11" x14ac:dyDescent="0.35">
      <c r="A30" s="5" t="s">
        <v>191</v>
      </c>
      <c r="B30" s="7" t="s">
        <v>91</v>
      </c>
      <c r="C30" s="64">
        <v>9.3693646690140859</v>
      </c>
      <c r="D30" s="64">
        <v>-32.455632000000001</v>
      </c>
      <c r="E30" s="64">
        <v>2.5294479999999999</v>
      </c>
      <c r="F30" s="6" t="s">
        <v>17</v>
      </c>
      <c r="G30" s="61"/>
      <c r="H30" s="61"/>
      <c r="I30" s="61"/>
      <c r="J30" s="61"/>
      <c r="K30" s="61"/>
    </row>
    <row r="31" spans="1:11" x14ac:dyDescent="0.35">
      <c r="A31" s="23" t="s">
        <v>190</v>
      </c>
      <c r="B31" s="24" t="s">
        <v>55</v>
      </c>
      <c r="C31" s="63">
        <v>8.4049789808928193</v>
      </c>
      <c r="D31" s="63">
        <v>-5.7888810743000017</v>
      </c>
      <c r="E31" s="63">
        <v>-0.77966549850000011</v>
      </c>
      <c r="F31" s="8" t="s">
        <v>16</v>
      </c>
      <c r="G31" s="61"/>
      <c r="H31" s="61"/>
      <c r="I31" s="61"/>
      <c r="J31" s="61"/>
      <c r="K31" s="61"/>
    </row>
    <row r="32" spans="1:11" x14ac:dyDescent="0.35">
      <c r="A32" s="5" t="s">
        <v>188</v>
      </c>
      <c r="B32" s="7" t="s">
        <v>111</v>
      </c>
      <c r="C32" s="64">
        <v>7.7838569943661975</v>
      </c>
      <c r="D32" s="64">
        <v>1.0060899999999999</v>
      </c>
      <c r="E32" s="64">
        <v>-2.6707809999999998</v>
      </c>
      <c r="F32" s="6" t="s">
        <v>17</v>
      </c>
      <c r="G32" s="61"/>
      <c r="H32" s="61"/>
      <c r="I32" s="61"/>
      <c r="J32" s="61"/>
      <c r="K32" s="61"/>
    </row>
    <row r="33" spans="1:11" x14ac:dyDescent="0.35">
      <c r="A33" s="23" t="s">
        <v>187</v>
      </c>
      <c r="B33" s="24" t="s">
        <v>104</v>
      </c>
      <c r="C33" s="63">
        <v>7.7599498956619728</v>
      </c>
      <c r="D33" s="63">
        <v>-5.9507994999999996</v>
      </c>
      <c r="E33" s="63">
        <v>1.4040049999999999</v>
      </c>
      <c r="F33" s="8" t="s">
        <v>17</v>
      </c>
      <c r="G33" s="61"/>
      <c r="H33" s="61"/>
      <c r="I33" s="61"/>
      <c r="J33" s="61"/>
      <c r="K33" s="61"/>
    </row>
    <row r="34" spans="1:11" x14ac:dyDescent="0.35">
      <c r="A34" s="5" t="s">
        <v>143</v>
      </c>
      <c r="B34" s="7" t="s">
        <v>108</v>
      </c>
      <c r="C34" s="64">
        <v>7.2166805577464794</v>
      </c>
      <c r="D34" s="64">
        <v>44.761377000000003</v>
      </c>
      <c r="E34" s="64">
        <v>14.38916</v>
      </c>
      <c r="F34" s="6" t="s">
        <v>14</v>
      </c>
      <c r="G34" s="61"/>
      <c r="H34" s="61"/>
      <c r="I34" s="61"/>
      <c r="J34" s="61"/>
      <c r="K34" s="61"/>
    </row>
    <row r="35" spans="1:11" x14ac:dyDescent="0.35">
      <c r="A35" s="23" t="s">
        <v>192</v>
      </c>
      <c r="B35" s="24" t="s">
        <v>92</v>
      </c>
      <c r="C35" s="63">
        <v>6.1049782073802819</v>
      </c>
      <c r="D35" s="63">
        <v>-52.979207224</v>
      </c>
      <c r="E35" s="63">
        <v>-0.60286700000000004</v>
      </c>
      <c r="F35" s="8" t="s">
        <v>166</v>
      </c>
      <c r="G35" s="61"/>
      <c r="H35" s="61"/>
      <c r="I35" s="61"/>
      <c r="J35" s="61"/>
      <c r="K35" s="61"/>
    </row>
    <row r="36" spans="1:11" x14ac:dyDescent="0.35">
      <c r="A36" s="5" t="s">
        <v>195</v>
      </c>
      <c r="B36" s="7" t="s">
        <v>147</v>
      </c>
      <c r="C36" s="64">
        <v>6.0238673267605627</v>
      </c>
      <c r="D36" s="64">
        <v>3.4463360000000001</v>
      </c>
      <c r="E36" s="64">
        <v>0.58394199999999996</v>
      </c>
      <c r="F36" s="6" t="s">
        <v>166</v>
      </c>
      <c r="G36" s="61"/>
      <c r="H36" s="61"/>
      <c r="I36" s="61"/>
      <c r="J36" s="61"/>
      <c r="K36" s="61"/>
    </row>
    <row r="37" spans="1:11" x14ac:dyDescent="0.35">
      <c r="A37" s="23" t="s">
        <v>194</v>
      </c>
      <c r="B37" s="24" t="s">
        <v>112</v>
      </c>
      <c r="C37" s="63">
        <v>5.8035907422535216</v>
      </c>
      <c r="D37" s="63">
        <v>25.840029000000001</v>
      </c>
      <c r="E37" s="63">
        <v>-1.022105</v>
      </c>
      <c r="F37" s="8" t="s">
        <v>166</v>
      </c>
      <c r="G37" s="61"/>
      <c r="H37" s="61"/>
      <c r="I37" s="61"/>
      <c r="J37" s="61"/>
      <c r="K37" s="61"/>
    </row>
    <row r="38" spans="1:11" x14ac:dyDescent="0.35">
      <c r="A38" s="5" t="s">
        <v>196</v>
      </c>
      <c r="B38" s="7" t="s">
        <v>123</v>
      </c>
      <c r="C38" s="64">
        <v>5.0979985633802816</v>
      </c>
      <c r="D38" s="64">
        <v>13.119574500000001</v>
      </c>
      <c r="E38" s="64">
        <v>-1.5836874999999999</v>
      </c>
      <c r="F38" s="6" t="s">
        <v>167</v>
      </c>
      <c r="G38" s="61"/>
      <c r="H38" s="61"/>
      <c r="I38" s="61"/>
      <c r="J38" s="61"/>
      <c r="K38" s="61"/>
    </row>
    <row r="39" spans="1:11" x14ac:dyDescent="0.35">
      <c r="A39" s="23" t="s">
        <v>193</v>
      </c>
      <c r="B39" s="24" t="s">
        <v>94</v>
      </c>
      <c r="C39" s="63">
        <v>5.0209356342957747</v>
      </c>
      <c r="D39" s="63">
        <v>-26.323071500000001</v>
      </c>
      <c r="E39" s="63">
        <v>-1.715123</v>
      </c>
      <c r="F39" s="8" t="s">
        <v>17</v>
      </c>
      <c r="G39" s="61"/>
      <c r="H39" s="61"/>
      <c r="I39" s="61"/>
      <c r="J39" s="61"/>
      <c r="K39" s="61"/>
    </row>
    <row r="40" spans="1:11" x14ac:dyDescent="0.35">
      <c r="A40" s="5" t="s">
        <v>198</v>
      </c>
      <c r="B40" s="7" t="s">
        <v>126</v>
      </c>
      <c r="C40" s="64">
        <v>4.2375539359154919</v>
      </c>
      <c r="D40" s="64">
        <v>-7.013312</v>
      </c>
      <c r="E40" s="64">
        <v>-1.1495999999999999E-2</v>
      </c>
      <c r="F40" s="6" t="s">
        <v>166</v>
      </c>
      <c r="G40" s="61"/>
      <c r="H40" s="61"/>
      <c r="I40" s="61"/>
      <c r="J40" s="61"/>
      <c r="K40" s="61"/>
    </row>
    <row r="41" spans="1:11" x14ac:dyDescent="0.35">
      <c r="A41" s="23" t="s">
        <v>212</v>
      </c>
      <c r="B41" s="24" t="s">
        <v>110</v>
      </c>
      <c r="C41" s="63">
        <v>4.1725483743661966</v>
      </c>
      <c r="D41" s="63">
        <v>-13.0832575</v>
      </c>
      <c r="E41" s="63">
        <v>-1.1244215</v>
      </c>
      <c r="F41" s="8" t="s">
        <v>11</v>
      </c>
      <c r="G41" s="61"/>
      <c r="H41" s="61"/>
      <c r="I41" s="61"/>
      <c r="J41" s="61"/>
      <c r="K41" s="61"/>
    </row>
    <row r="42" spans="1:11" x14ac:dyDescent="0.35">
      <c r="A42" s="5" t="s">
        <v>200</v>
      </c>
      <c r="B42" s="7" t="s">
        <v>105</v>
      </c>
      <c r="C42" s="64">
        <v>3.7614929742957748</v>
      </c>
      <c r="D42" s="64">
        <v>1.7365105000000001</v>
      </c>
      <c r="E42" s="64">
        <v>1.345081</v>
      </c>
      <c r="F42" s="6" t="s">
        <v>17</v>
      </c>
      <c r="G42" s="61"/>
      <c r="H42" s="61"/>
      <c r="I42" s="61"/>
      <c r="J42" s="61"/>
      <c r="K42" s="61"/>
    </row>
    <row r="43" spans="1:11" x14ac:dyDescent="0.35">
      <c r="A43" s="23" t="s">
        <v>199</v>
      </c>
      <c r="B43" s="24" t="s">
        <v>113</v>
      </c>
      <c r="C43" s="63">
        <v>3.089785612676057</v>
      </c>
      <c r="D43" s="63">
        <v>-12.175454999999999</v>
      </c>
      <c r="E43" s="63">
        <v>-1.8123400000000001</v>
      </c>
      <c r="F43" s="8" t="s">
        <v>166</v>
      </c>
      <c r="G43" s="61"/>
      <c r="H43" s="61"/>
      <c r="I43" s="61"/>
      <c r="J43" s="61"/>
      <c r="K43" s="61"/>
    </row>
    <row r="44" spans="1:11" x14ac:dyDescent="0.35">
      <c r="A44" s="5" t="s">
        <v>197</v>
      </c>
      <c r="B44" s="7" t="s">
        <v>97</v>
      </c>
      <c r="C44" s="64">
        <v>2.8273554436619719</v>
      </c>
      <c r="D44" s="64">
        <v>-0.86214349999999995</v>
      </c>
      <c r="E44" s="64">
        <v>-0.44414049999999999</v>
      </c>
      <c r="F44" s="6" t="s">
        <v>14</v>
      </c>
      <c r="G44" s="61"/>
      <c r="H44" s="61"/>
      <c r="I44" s="61"/>
      <c r="J44" s="61"/>
      <c r="K44" s="61"/>
    </row>
    <row r="45" spans="1:11" x14ac:dyDescent="0.35">
      <c r="A45" s="23" t="s">
        <v>217</v>
      </c>
      <c r="B45" s="24" t="s">
        <v>131</v>
      </c>
      <c r="C45" s="63">
        <v>2.813210591549296</v>
      </c>
      <c r="D45" s="63">
        <v>9.4150314999999996</v>
      </c>
      <c r="E45" s="63">
        <v>5.1780014999999997</v>
      </c>
      <c r="F45" s="8" t="s">
        <v>167</v>
      </c>
      <c r="G45" s="61"/>
      <c r="H45" s="61"/>
      <c r="I45" s="61"/>
      <c r="J45" s="61"/>
      <c r="K45" s="61"/>
    </row>
    <row r="46" spans="1:11" x14ac:dyDescent="0.35">
      <c r="A46" s="5" t="s">
        <v>205</v>
      </c>
      <c r="B46" s="7" t="s">
        <v>109</v>
      </c>
      <c r="C46" s="64">
        <v>2.7596695563380282</v>
      </c>
      <c r="D46" s="64">
        <v>-15.117373000000001</v>
      </c>
      <c r="E46" s="64">
        <v>0.32853450000000012</v>
      </c>
      <c r="F46" s="6" t="s">
        <v>17</v>
      </c>
      <c r="G46" s="61"/>
      <c r="H46" s="61"/>
      <c r="I46" s="61"/>
      <c r="J46" s="61"/>
      <c r="K46" s="61"/>
    </row>
    <row r="47" spans="1:11" x14ac:dyDescent="0.35">
      <c r="A47" s="23" t="s">
        <v>213</v>
      </c>
      <c r="B47" s="24" t="s">
        <v>121</v>
      </c>
      <c r="C47" s="63">
        <v>2.6527930923729581</v>
      </c>
      <c r="D47" s="63">
        <v>7.3151203889000023</v>
      </c>
      <c r="E47" s="63">
        <v>0.46025532164999983</v>
      </c>
      <c r="F47" s="8" t="s">
        <v>17</v>
      </c>
      <c r="G47" s="61"/>
      <c r="H47" s="61"/>
      <c r="I47" s="61"/>
      <c r="J47" s="61"/>
      <c r="K47" s="61"/>
    </row>
    <row r="48" spans="1:11" x14ac:dyDescent="0.35">
      <c r="A48" s="5" t="s">
        <v>204</v>
      </c>
      <c r="B48" s="7" t="s">
        <v>120</v>
      </c>
      <c r="C48" s="64">
        <v>2.6329291725352109</v>
      </c>
      <c r="D48" s="64">
        <v>-4.9557570000000002</v>
      </c>
      <c r="E48" s="64">
        <v>-3.4887890000000001</v>
      </c>
      <c r="F48" s="6" t="s">
        <v>17</v>
      </c>
      <c r="G48" s="61"/>
      <c r="H48" s="61"/>
      <c r="I48" s="61"/>
      <c r="J48" s="61"/>
      <c r="K48" s="61"/>
    </row>
    <row r="49" spans="1:11" x14ac:dyDescent="0.35">
      <c r="A49" s="23" t="s">
        <v>221</v>
      </c>
      <c r="B49" s="24" t="s">
        <v>133</v>
      </c>
      <c r="C49" s="63">
        <v>2.6295612890140854</v>
      </c>
      <c r="D49" s="63">
        <v>-4.3388004999999996</v>
      </c>
      <c r="E49" s="63">
        <v>-0.53539899999999996</v>
      </c>
      <c r="F49" s="8" t="s">
        <v>168</v>
      </c>
      <c r="G49" s="61"/>
      <c r="H49" s="61"/>
      <c r="I49" s="61"/>
      <c r="J49" s="61"/>
      <c r="K49" s="61"/>
    </row>
    <row r="50" spans="1:11" x14ac:dyDescent="0.35">
      <c r="A50" s="5" t="s">
        <v>201</v>
      </c>
      <c r="B50" s="7" t="s">
        <v>118</v>
      </c>
      <c r="C50" s="64">
        <v>2.610697144084507</v>
      </c>
      <c r="D50" s="64">
        <v>-4.267163</v>
      </c>
      <c r="E50" s="64">
        <v>-0.53130599999999994</v>
      </c>
      <c r="F50" s="6" t="s">
        <v>165</v>
      </c>
      <c r="G50" s="61"/>
      <c r="H50" s="61"/>
      <c r="I50" s="61"/>
      <c r="J50" s="61"/>
      <c r="K50" s="61"/>
    </row>
    <row r="51" spans="1:11" x14ac:dyDescent="0.35">
      <c r="A51" s="23" t="s">
        <v>203</v>
      </c>
      <c r="B51" s="24" t="s">
        <v>107</v>
      </c>
      <c r="C51" s="63">
        <v>2.6101576478873239</v>
      </c>
      <c r="D51" s="63">
        <v>-1.5145455000000001</v>
      </c>
      <c r="E51" s="63">
        <v>0.99515149999999997</v>
      </c>
      <c r="F51" s="8" t="s">
        <v>167</v>
      </c>
      <c r="G51" s="61"/>
      <c r="H51" s="61"/>
      <c r="I51" s="61"/>
      <c r="J51" s="61"/>
      <c r="K51" s="61"/>
    </row>
    <row r="52" spans="1:11" x14ac:dyDescent="0.35">
      <c r="A52" s="5" t="s">
        <v>202</v>
      </c>
      <c r="B52" s="7" t="s">
        <v>98</v>
      </c>
      <c r="C52" s="64">
        <v>2.3416755571830992</v>
      </c>
      <c r="D52" s="64">
        <v>-26.983643499999999</v>
      </c>
      <c r="E52" s="64">
        <v>0.33834599999999998</v>
      </c>
      <c r="F52" s="6" t="s">
        <v>17</v>
      </c>
      <c r="G52" s="61"/>
      <c r="H52" s="61"/>
      <c r="I52" s="61"/>
      <c r="J52" s="61"/>
      <c r="K52" s="61"/>
    </row>
    <row r="53" spans="1:11" x14ac:dyDescent="0.35">
      <c r="A53" s="23" t="s">
        <v>210</v>
      </c>
      <c r="B53" s="24" t="s">
        <v>57</v>
      </c>
      <c r="C53" s="63">
        <v>2.3161735764250699</v>
      </c>
      <c r="D53" s="63">
        <v>-6.5087246080999996</v>
      </c>
      <c r="E53" s="63">
        <v>-3.3161043380000002</v>
      </c>
      <c r="F53" s="8" t="s">
        <v>11</v>
      </c>
      <c r="G53" s="61"/>
      <c r="H53" s="61"/>
      <c r="I53" s="61"/>
      <c r="J53" s="61"/>
      <c r="K53" s="61"/>
    </row>
    <row r="54" spans="1:11" x14ac:dyDescent="0.35">
      <c r="A54" s="5" t="s">
        <v>209</v>
      </c>
      <c r="B54" s="7" t="s">
        <v>124</v>
      </c>
      <c r="C54" s="64">
        <v>2.270474178873239</v>
      </c>
      <c r="D54" s="64">
        <v>-19.806846</v>
      </c>
      <c r="E54" s="64">
        <v>0.43001</v>
      </c>
      <c r="F54" s="6" t="s">
        <v>17</v>
      </c>
      <c r="G54" s="61"/>
      <c r="H54" s="61"/>
      <c r="I54" s="61"/>
      <c r="J54" s="61"/>
      <c r="K54" s="61"/>
    </row>
    <row r="55" spans="1:11" x14ac:dyDescent="0.35">
      <c r="A55" s="23" t="s">
        <v>211</v>
      </c>
      <c r="B55" s="24" t="s">
        <v>106</v>
      </c>
      <c r="C55" s="63">
        <v>2.197955274647887</v>
      </c>
      <c r="D55" s="63">
        <v>-7.8870060000000004</v>
      </c>
      <c r="E55" s="63">
        <v>0.81201049999999997</v>
      </c>
      <c r="F55" s="8" t="s">
        <v>15</v>
      </c>
      <c r="G55" s="61"/>
      <c r="H55" s="61"/>
      <c r="I55" s="61"/>
      <c r="J55" s="61"/>
      <c r="K55" s="61"/>
    </row>
    <row r="56" spans="1:11" x14ac:dyDescent="0.35">
      <c r="A56" s="5" t="s">
        <v>230</v>
      </c>
      <c r="B56" s="7" t="s">
        <v>99</v>
      </c>
      <c r="C56" s="64">
        <v>2.0990493126760557</v>
      </c>
      <c r="D56" s="64">
        <v>-0.58215249999999996</v>
      </c>
      <c r="E56" s="64">
        <v>1.4971969999999999</v>
      </c>
      <c r="F56" s="6" t="s">
        <v>11</v>
      </c>
      <c r="G56" s="61"/>
      <c r="H56" s="61"/>
      <c r="I56" s="61"/>
      <c r="J56" s="61"/>
      <c r="K56" s="61"/>
    </row>
    <row r="57" spans="1:11" x14ac:dyDescent="0.35">
      <c r="A57" s="23" t="s">
        <v>214</v>
      </c>
      <c r="B57" s="24" t="s">
        <v>93</v>
      </c>
      <c r="C57" s="63">
        <v>2.0443574197183101</v>
      </c>
      <c r="D57" s="63">
        <v>-17.344114999999999</v>
      </c>
      <c r="E57" s="63">
        <v>-1.5954839999999999</v>
      </c>
      <c r="F57" s="8" t="s">
        <v>11</v>
      </c>
      <c r="G57" s="61"/>
      <c r="H57" s="61"/>
      <c r="I57" s="61"/>
      <c r="J57" s="61"/>
      <c r="K57" s="61"/>
    </row>
    <row r="58" spans="1:11" x14ac:dyDescent="0.35">
      <c r="A58" s="5" t="s">
        <v>207</v>
      </c>
      <c r="B58" s="7" t="s">
        <v>122</v>
      </c>
      <c r="C58" s="64">
        <v>2.0063406430985919</v>
      </c>
      <c r="D58" s="64">
        <v>-11.417482</v>
      </c>
      <c r="E58" s="64">
        <v>-0.22253100000000001</v>
      </c>
      <c r="F58" s="6" t="s">
        <v>17</v>
      </c>
      <c r="G58" s="61"/>
      <c r="H58" s="61"/>
      <c r="I58" s="61"/>
      <c r="J58" s="61"/>
      <c r="K58" s="61"/>
    </row>
    <row r="59" spans="1:11" x14ac:dyDescent="0.35">
      <c r="A59" s="23" t="s">
        <v>216</v>
      </c>
      <c r="B59" s="24" t="s">
        <v>114</v>
      </c>
      <c r="C59" s="63">
        <v>1.982246190140845</v>
      </c>
      <c r="D59" s="63">
        <v>2.2614990000000001</v>
      </c>
      <c r="E59" s="63">
        <v>0.38050650000000003</v>
      </c>
      <c r="F59" s="8" t="s">
        <v>13</v>
      </c>
      <c r="G59" s="61"/>
      <c r="H59" s="61"/>
      <c r="I59" s="61"/>
      <c r="J59" s="61"/>
      <c r="K59" s="61"/>
    </row>
    <row r="60" spans="1:11" x14ac:dyDescent="0.35">
      <c r="A60" s="5" t="s">
        <v>219</v>
      </c>
      <c r="B60" s="7" t="s">
        <v>115</v>
      </c>
      <c r="C60" s="64">
        <v>1.9805283718309861</v>
      </c>
      <c r="D60" s="64">
        <v>1.506254</v>
      </c>
      <c r="E60" s="64">
        <v>0.619838</v>
      </c>
      <c r="F60" s="6" t="s">
        <v>11</v>
      </c>
      <c r="G60" s="61"/>
      <c r="H60" s="61"/>
      <c r="I60" s="61"/>
      <c r="J60" s="61"/>
      <c r="K60" s="61"/>
    </row>
    <row r="61" spans="1:11" x14ac:dyDescent="0.35">
      <c r="A61" s="23" t="s">
        <v>206</v>
      </c>
      <c r="B61" s="24" t="s">
        <v>154</v>
      </c>
      <c r="C61" s="63">
        <v>1.7693263549295781</v>
      </c>
      <c r="D61" s="63">
        <v>-0.85965380000000002</v>
      </c>
      <c r="E61" s="63">
        <v>9.6547899999999978E-2</v>
      </c>
      <c r="F61" s="8" t="s">
        <v>14</v>
      </c>
      <c r="G61" s="61"/>
      <c r="H61" s="61"/>
      <c r="I61" s="61"/>
      <c r="J61" s="61"/>
      <c r="K61" s="61"/>
    </row>
    <row r="62" spans="1:11" x14ac:dyDescent="0.35">
      <c r="A62" s="5" t="s">
        <v>208</v>
      </c>
      <c r="B62" s="7" t="s">
        <v>119</v>
      </c>
      <c r="C62" s="64">
        <v>1.763742693869859</v>
      </c>
      <c r="D62" s="64">
        <v>-3.9515351982300002</v>
      </c>
      <c r="E62" s="64">
        <v>0.10879686823</v>
      </c>
      <c r="F62" s="6" t="s">
        <v>10</v>
      </c>
      <c r="G62" s="61"/>
      <c r="H62" s="61"/>
      <c r="I62" s="61"/>
      <c r="J62" s="61"/>
      <c r="K62" s="61"/>
    </row>
    <row r="63" spans="1:11" x14ac:dyDescent="0.35">
      <c r="A63" s="23" t="s">
        <v>227</v>
      </c>
      <c r="B63" s="24" t="s">
        <v>96</v>
      </c>
      <c r="C63" s="63">
        <v>1.5815204079267611</v>
      </c>
      <c r="D63" s="63">
        <v>-16.10378367269</v>
      </c>
      <c r="E63" s="63">
        <v>-0.43312560937000005</v>
      </c>
      <c r="F63" s="8" t="s">
        <v>17</v>
      </c>
      <c r="G63" s="61"/>
      <c r="H63" s="61"/>
      <c r="I63" s="61"/>
      <c r="J63" s="61"/>
      <c r="K63" s="61"/>
    </row>
    <row r="64" spans="1:11" x14ac:dyDescent="0.35">
      <c r="A64" s="5" t="s">
        <v>223</v>
      </c>
      <c r="B64" s="7" t="s">
        <v>155</v>
      </c>
      <c r="C64" s="64">
        <v>1.3848702014084509</v>
      </c>
      <c r="D64" s="64">
        <v>-0.76654140000000004</v>
      </c>
      <c r="E64" s="64">
        <v>-0.22322539999999999</v>
      </c>
      <c r="F64" s="6" t="s">
        <v>14</v>
      </c>
      <c r="G64" s="61"/>
      <c r="H64" s="61"/>
      <c r="I64" s="61"/>
      <c r="J64" s="61"/>
      <c r="K64" s="61"/>
    </row>
    <row r="65" spans="1:11" x14ac:dyDescent="0.35">
      <c r="A65" s="23" t="s">
        <v>229</v>
      </c>
      <c r="B65" s="24" t="s">
        <v>116</v>
      </c>
      <c r="C65" s="63">
        <v>1.3281173746478869</v>
      </c>
      <c r="D65" s="63">
        <v>-23.380458999999998</v>
      </c>
      <c r="E65" s="63">
        <v>-5.2394910000000001</v>
      </c>
      <c r="F65" s="8" t="s">
        <v>168</v>
      </c>
      <c r="G65" s="61"/>
      <c r="H65" s="61"/>
      <c r="I65" s="61"/>
      <c r="J65" s="61"/>
      <c r="K65" s="61"/>
    </row>
    <row r="66" spans="1:11" x14ac:dyDescent="0.35">
      <c r="A66" s="5" t="s">
        <v>220</v>
      </c>
      <c r="B66" s="7" t="s">
        <v>132</v>
      </c>
      <c r="C66" s="64">
        <v>1.264346056338028</v>
      </c>
      <c r="D66" s="64">
        <v>8.6661549999999998</v>
      </c>
      <c r="E66" s="64">
        <v>-8.6747000000000005E-2</v>
      </c>
      <c r="F66" s="6" t="s">
        <v>165</v>
      </c>
      <c r="G66" s="61"/>
      <c r="H66" s="61"/>
      <c r="I66" s="61"/>
      <c r="J66" s="61"/>
      <c r="K66" s="61"/>
    </row>
    <row r="67" spans="1:11" x14ac:dyDescent="0.35">
      <c r="A67" s="23" t="s">
        <v>218</v>
      </c>
      <c r="B67" s="24" t="s">
        <v>140</v>
      </c>
      <c r="C67" s="63">
        <v>1.221827225352113</v>
      </c>
      <c r="D67" s="63">
        <v>4.2270830000000004</v>
      </c>
      <c r="E67" s="63">
        <v>0.53459199999999996</v>
      </c>
      <c r="F67" s="8" t="s">
        <v>11</v>
      </c>
      <c r="G67" s="61"/>
      <c r="H67" s="61"/>
      <c r="I67" s="61"/>
      <c r="J67" s="61"/>
      <c r="K67" s="61"/>
    </row>
    <row r="68" spans="1:11" x14ac:dyDescent="0.35">
      <c r="A68" s="5" t="s">
        <v>225</v>
      </c>
      <c r="B68" s="7" t="s">
        <v>130</v>
      </c>
      <c r="C68" s="64">
        <v>1.2043688957746481</v>
      </c>
      <c r="D68" s="64">
        <v>-1.176363</v>
      </c>
      <c r="E68" s="64">
        <v>0.69903199999999999</v>
      </c>
      <c r="F68" s="6" t="s">
        <v>17</v>
      </c>
      <c r="G68" s="61"/>
      <c r="H68" s="61"/>
      <c r="I68" s="61"/>
      <c r="J68" s="61"/>
      <c r="K68" s="61"/>
    </row>
    <row r="69" spans="1:11" x14ac:dyDescent="0.35">
      <c r="A69" s="23" t="s">
        <v>235</v>
      </c>
      <c r="B69" s="24" t="s">
        <v>134</v>
      </c>
      <c r="C69" s="63">
        <v>1.145944789549155</v>
      </c>
      <c r="D69" s="63">
        <v>-1.8295538845200001</v>
      </c>
      <c r="E69" s="63">
        <v>-0.24681476809</v>
      </c>
      <c r="F69" s="8" t="s">
        <v>17</v>
      </c>
      <c r="G69" s="61"/>
      <c r="H69" s="61"/>
      <c r="I69" s="61"/>
      <c r="J69" s="61"/>
      <c r="K69" s="61"/>
    </row>
    <row r="70" spans="1:11" x14ac:dyDescent="0.35">
      <c r="A70" s="5" t="s">
        <v>215</v>
      </c>
      <c r="B70" s="7" t="s">
        <v>148</v>
      </c>
      <c r="C70" s="64">
        <v>1.1315063845070419</v>
      </c>
      <c r="D70" s="64">
        <v>0.33303969999999999</v>
      </c>
      <c r="E70" s="64">
        <v>-0.15556029999999998</v>
      </c>
      <c r="F70" s="6" t="s">
        <v>168</v>
      </c>
      <c r="G70" s="61"/>
      <c r="H70" s="61"/>
      <c r="I70" s="61"/>
      <c r="J70" s="61"/>
      <c r="K70" s="61"/>
    </row>
    <row r="71" spans="1:11" x14ac:dyDescent="0.35">
      <c r="A71" s="23" t="s">
        <v>246</v>
      </c>
      <c r="B71" s="24" t="s">
        <v>117</v>
      </c>
      <c r="C71" s="63">
        <v>1.1176557042253521</v>
      </c>
      <c r="D71" s="63">
        <v>-6.8532359999999999</v>
      </c>
      <c r="E71" s="63">
        <v>-0.51467399999999985</v>
      </c>
      <c r="F71" s="8" t="s">
        <v>10</v>
      </c>
      <c r="G71" s="61"/>
      <c r="H71" s="61"/>
      <c r="I71" s="61"/>
      <c r="J71" s="61"/>
      <c r="K71" s="61"/>
    </row>
    <row r="72" spans="1:11" x14ac:dyDescent="0.35">
      <c r="A72" s="5" t="s">
        <v>228</v>
      </c>
      <c r="B72" s="7" t="s">
        <v>142</v>
      </c>
      <c r="C72" s="64">
        <v>1.071269261118394</v>
      </c>
      <c r="D72" s="64">
        <v>-2.1263872392000001</v>
      </c>
      <c r="E72" s="64">
        <v>0.15917499489999998</v>
      </c>
      <c r="F72" s="6" t="s">
        <v>17</v>
      </c>
      <c r="G72" s="61"/>
      <c r="H72" s="61"/>
      <c r="I72" s="61"/>
      <c r="J72" s="61"/>
      <c r="K72" s="61"/>
    </row>
    <row r="73" spans="1:11" x14ac:dyDescent="0.35">
      <c r="A73" s="23" t="s">
        <v>224</v>
      </c>
      <c r="B73" s="24" t="s">
        <v>95</v>
      </c>
      <c r="C73" s="63">
        <v>1.05879774386507</v>
      </c>
      <c r="D73" s="63">
        <v>-4.8045521137999989</v>
      </c>
      <c r="E73" s="63">
        <v>0.53067725861000015</v>
      </c>
      <c r="F73" s="8" t="s">
        <v>14</v>
      </c>
      <c r="G73" s="61"/>
      <c r="H73" s="61"/>
      <c r="I73" s="61"/>
      <c r="J73" s="61"/>
      <c r="K73" s="61"/>
    </row>
    <row r="74" spans="1:11" x14ac:dyDescent="0.35">
      <c r="A74" s="5" t="s">
        <v>239</v>
      </c>
      <c r="B74" s="7" t="s">
        <v>150</v>
      </c>
      <c r="C74" s="64">
        <v>1.039395014084507</v>
      </c>
      <c r="D74" s="64">
        <v>4.2044860000000002</v>
      </c>
      <c r="E74" s="64">
        <v>-0.50289550000000005</v>
      </c>
      <c r="F74" s="6" t="s">
        <v>166</v>
      </c>
      <c r="G74" s="61"/>
      <c r="H74" s="61"/>
      <c r="I74" s="61"/>
      <c r="J74" s="61"/>
      <c r="K74" s="61"/>
    </row>
    <row r="75" spans="1:11" x14ac:dyDescent="0.35">
      <c r="A75" s="23" t="s">
        <v>232</v>
      </c>
      <c r="B75" s="24" t="s">
        <v>137</v>
      </c>
      <c r="C75" s="63">
        <v>0.97167382394366197</v>
      </c>
      <c r="D75" s="63">
        <v>-4.8903175000000001</v>
      </c>
      <c r="E75" s="63">
        <v>-0.22361449999999999</v>
      </c>
      <c r="F75" s="8" t="s">
        <v>14</v>
      </c>
      <c r="G75" s="61"/>
      <c r="H75" s="61"/>
      <c r="I75" s="61"/>
      <c r="J75" s="61"/>
      <c r="K75" s="61"/>
    </row>
    <row r="76" spans="1:11" x14ac:dyDescent="0.35">
      <c r="A76" s="5" t="s">
        <v>222</v>
      </c>
      <c r="B76" s="7" t="s">
        <v>136</v>
      </c>
      <c r="C76" s="64">
        <v>0.95640213521126749</v>
      </c>
      <c r="D76" s="64">
        <v>-2.6714045</v>
      </c>
      <c r="E76" s="64">
        <v>-0.73930050000000003</v>
      </c>
      <c r="F76" s="6" t="s">
        <v>16</v>
      </c>
      <c r="G76" s="61"/>
      <c r="H76" s="61"/>
      <c r="I76" s="61"/>
      <c r="J76" s="61"/>
      <c r="K76" s="61"/>
    </row>
    <row r="77" spans="1:11" x14ac:dyDescent="0.35">
      <c r="A77" s="23" t="s">
        <v>226</v>
      </c>
      <c r="B77" s="24" t="s">
        <v>138</v>
      </c>
      <c r="C77" s="63">
        <v>0.92283997183098587</v>
      </c>
      <c r="D77" s="63">
        <v>-4.6222595000000002</v>
      </c>
      <c r="E77" s="63">
        <v>-0.25614500000000001</v>
      </c>
      <c r="F77" s="8" t="s">
        <v>17</v>
      </c>
      <c r="G77" s="61"/>
      <c r="H77" s="61"/>
      <c r="I77" s="61"/>
      <c r="J77" s="61"/>
      <c r="K77" s="61"/>
    </row>
    <row r="78" spans="1:11" x14ac:dyDescent="0.35">
      <c r="A78" s="5" t="s">
        <v>238</v>
      </c>
      <c r="B78" s="7" t="s">
        <v>88</v>
      </c>
      <c r="C78" s="64">
        <v>0.76954254225352114</v>
      </c>
      <c r="D78" s="64">
        <v>-3.2229934999999998</v>
      </c>
      <c r="E78" s="64">
        <v>-1.0033105</v>
      </c>
      <c r="F78" s="6" t="s">
        <v>11</v>
      </c>
      <c r="G78" s="61"/>
      <c r="H78" s="61"/>
      <c r="I78" s="61"/>
      <c r="J78" s="61"/>
      <c r="K78" s="61"/>
    </row>
    <row r="79" spans="1:11" x14ac:dyDescent="0.35">
      <c r="A79" s="23" t="s">
        <v>245</v>
      </c>
      <c r="B79" s="24" t="s">
        <v>158</v>
      </c>
      <c r="C79" s="63">
        <v>0.74928235915492958</v>
      </c>
      <c r="D79" s="63">
        <v>1.1230481999999999</v>
      </c>
      <c r="E79" s="63">
        <v>4.2718999999999995E-3</v>
      </c>
      <c r="F79" s="8" t="s">
        <v>14</v>
      </c>
      <c r="G79" s="61"/>
      <c r="H79" s="61"/>
      <c r="I79" s="61"/>
      <c r="J79" s="61"/>
      <c r="K79" s="61"/>
    </row>
    <row r="80" spans="1:11" x14ac:dyDescent="0.35">
      <c r="A80" s="5" t="s">
        <v>236</v>
      </c>
      <c r="B80" s="7" t="s">
        <v>139</v>
      </c>
      <c r="C80" s="64">
        <v>0.74382950140845072</v>
      </c>
      <c r="D80" s="64">
        <v>-3.4925790000000001</v>
      </c>
      <c r="E80" s="64">
        <v>0.33819149999999998</v>
      </c>
      <c r="F80" s="6" t="s">
        <v>17</v>
      </c>
      <c r="G80" s="61"/>
      <c r="H80" s="61"/>
      <c r="I80" s="61"/>
      <c r="J80" s="61"/>
      <c r="K80" s="61"/>
    </row>
    <row r="81" spans="1:11" x14ac:dyDescent="0.35">
      <c r="A81" s="23" t="s">
        <v>237</v>
      </c>
      <c r="B81" s="24" t="s">
        <v>129</v>
      </c>
      <c r="C81" s="63">
        <v>0.71052076619718307</v>
      </c>
      <c r="D81" s="63">
        <v>0.56240400000000002</v>
      </c>
      <c r="E81" s="63">
        <v>1.0182929999999999</v>
      </c>
      <c r="F81" s="8" t="s">
        <v>17</v>
      </c>
      <c r="G81" s="61"/>
      <c r="H81" s="61"/>
      <c r="I81" s="61"/>
      <c r="J81" s="61"/>
      <c r="K81" s="61"/>
    </row>
    <row r="82" spans="1:11" x14ac:dyDescent="0.35">
      <c r="A82" s="5" t="s">
        <v>244</v>
      </c>
      <c r="B82" s="7" t="s">
        <v>152</v>
      </c>
      <c r="C82" s="64">
        <v>0.67646852816901415</v>
      </c>
      <c r="D82" s="64">
        <v>-8.1856760000000008</v>
      </c>
      <c r="E82" s="64">
        <v>-0.26223200000000002</v>
      </c>
      <c r="F82" s="6" t="s">
        <v>166</v>
      </c>
      <c r="G82" s="61"/>
      <c r="H82" s="61"/>
      <c r="I82" s="61"/>
      <c r="J82" s="61"/>
      <c r="K82" s="61"/>
    </row>
    <row r="83" spans="1:11" x14ac:dyDescent="0.35">
      <c r="A83" s="23" t="s">
        <v>241</v>
      </c>
      <c r="B83" s="24" t="s">
        <v>125</v>
      </c>
      <c r="C83" s="63">
        <v>0.67506268732394359</v>
      </c>
      <c r="D83" s="63">
        <v>-0.7628471</v>
      </c>
      <c r="E83" s="63">
        <v>0.29863149999999999</v>
      </c>
      <c r="F83" s="8" t="s">
        <v>167</v>
      </c>
      <c r="G83" s="61"/>
      <c r="H83" s="61"/>
      <c r="I83" s="61"/>
      <c r="J83" s="61"/>
      <c r="K83" s="61"/>
    </row>
    <row r="84" spans="1:11" x14ac:dyDescent="0.35">
      <c r="A84" s="5" t="s">
        <v>243</v>
      </c>
      <c r="B84" s="7" t="s">
        <v>163</v>
      </c>
      <c r="C84" s="64">
        <v>0.66971151971830989</v>
      </c>
      <c r="D84" s="64">
        <v>3.5345912000000004</v>
      </c>
      <c r="E84" s="64">
        <v>0.80599540000000003</v>
      </c>
      <c r="F84" s="6" t="s">
        <v>14</v>
      </c>
      <c r="G84" s="61"/>
      <c r="H84" s="61"/>
      <c r="I84" s="61"/>
      <c r="J84" s="61"/>
      <c r="K84" s="61"/>
    </row>
    <row r="85" spans="1:11" x14ac:dyDescent="0.35">
      <c r="A85" s="23" t="s">
        <v>242</v>
      </c>
      <c r="B85" s="24" t="s">
        <v>159</v>
      </c>
      <c r="C85" s="63">
        <v>0.6524306732394366</v>
      </c>
      <c r="D85" s="63">
        <v>-1.213727</v>
      </c>
      <c r="E85" s="63">
        <v>0.27195200000000003</v>
      </c>
      <c r="F85" s="8" t="s">
        <v>14</v>
      </c>
      <c r="G85" s="61"/>
      <c r="H85" s="61"/>
      <c r="I85" s="61"/>
      <c r="J85" s="61"/>
      <c r="K85" s="61"/>
    </row>
    <row r="86" spans="1:11" x14ac:dyDescent="0.35">
      <c r="A86" s="5" t="s">
        <v>251</v>
      </c>
      <c r="B86" s="7" t="s">
        <v>141</v>
      </c>
      <c r="C86" s="64">
        <v>0.63131269154929581</v>
      </c>
      <c r="D86" s="64">
        <v>-3.7144240000000002</v>
      </c>
      <c r="E86" s="64">
        <v>-0.24427550000000001</v>
      </c>
      <c r="F86" s="6" t="s">
        <v>11</v>
      </c>
      <c r="G86" s="61"/>
      <c r="H86" s="61"/>
      <c r="I86" s="61"/>
      <c r="J86" s="61"/>
      <c r="K86" s="61"/>
    </row>
    <row r="87" spans="1:11" x14ac:dyDescent="0.35">
      <c r="A87" s="23" t="s">
        <v>234</v>
      </c>
      <c r="B87" s="24" t="s">
        <v>149</v>
      </c>
      <c r="C87" s="63">
        <v>0.63081319577464789</v>
      </c>
      <c r="D87" s="63">
        <v>-0.98577349999999997</v>
      </c>
      <c r="E87" s="63">
        <v>-0.53950949999999998</v>
      </c>
      <c r="F87" s="8" t="s">
        <v>17</v>
      </c>
      <c r="G87" s="61"/>
      <c r="H87" s="61"/>
      <c r="I87" s="61"/>
      <c r="J87" s="61"/>
      <c r="K87" s="61"/>
    </row>
    <row r="88" spans="1:11" x14ac:dyDescent="0.35">
      <c r="A88" s="5" t="s">
        <v>248</v>
      </c>
      <c r="B88" s="7" t="s">
        <v>161</v>
      </c>
      <c r="C88" s="64">
        <v>0.62580997887323953</v>
      </c>
      <c r="D88" s="64">
        <v>-5.8605619999999998</v>
      </c>
      <c r="E88" s="64">
        <v>0.116586</v>
      </c>
      <c r="F88" s="6" t="s">
        <v>168</v>
      </c>
      <c r="G88" s="61"/>
      <c r="H88" s="61"/>
      <c r="I88" s="61"/>
      <c r="J88" s="61"/>
      <c r="K88" s="61"/>
    </row>
    <row r="89" spans="1:11" x14ac:dyDescent="0.35">
      <c r="A89" s="23" t="s">
        <v>233</v>
      </c>
      <c r="B89" s="24" t="s">
        <v>127</v>
      </c>
      <c r="C89" s="63">
        <v>0.61058489202901423</v>
      </c>
      <c r="D89" s="63">
        <v>0.4814544272100002</v>
      </c>
      <c r="E89" s="63">
        <v>-7.1324839400000034E-3</v>
      </c>
      <c r="F89" s="8" t="s">
        <v>17</v>
      </c>
      <c r="G89" s="61"/>
      <c r="H89" s="61"/>
      <c r="I89" s="61"/>
      <c r="J89" s="61"/>
      <c r="K89" s="61"/>
    </row>
    <row r="90" spans="1:11" x14ac:dyDescent="0.35">
      <c r="A90" s="5" t="s">
        <v>249</v>
      </c>
      <c r="B90" s="7" t="s">
        <v>164</v>
      </c>
      <c r="C90" s="64">
        <v>0.58468340140845065</v>
      </c>
      <c r="D90" s="64">
        <v>-6.1766750000000004</v>
      </c>
      <c r="E90" s="64">
        <v>0.15240899999999999</v>
      </c>
      <c r="F90" s="6" t="s">
        <v>10</v>
      </c>
      <c r="G90" s="61"/>
      <c r="H90" s="61"/>
      <c r="I90" s="61"/>
      <c r="J90" s="61"/>
      <c r="K90" s="61"/>
    </row>
    <row r="91" spans="1:11" x14ac:dyDescent="0.35">
      <c r="A91" s="23" t="s">
        <v>231</v>
      </c>
      <c r="B91" s="24" t="s">
        <v>128</v>
      </c>
      <c r="C91" s="63">
        <v>0.53517986619718316</v>
      </c>
      <c r="D91" s="63">
        <v>0.4219715</v>
      </c>
      <c r="E91" s="63">
        <v>0.27975149999999999</v>
      </c>
      <c r="F91" s="8" t="s">
        <v>168</v>
      </c>
      <c r="G91" s="61"/>
      <c r="H91" s="61"/>
      <c r="I91" s="61"/>
      <c r="J91" s="61"/>
      <c r="K91" s="61"/>
    </row>
    <row r="92" spans="1:11" x14ac:dyDescent="0.35">
      <c r="A92" s="5" t="s">
        <v>258</v>
      </c>
      <c r="B92" s="7" t="s">
        <v>259</v>
      </c>
      <c r="C92" s="64">
        <v>0.48134782492957745</v>
      </c>
      <c r="D92" s="64">
        <v>-9.9200759999999999</v>
      </c>
      <c r="E92" s="64">
        <v>-1.871335</v>
      </c>
      <c r="F92" s="6" t="s">
        <v>15</v>
      </c>
      <c r="G92" s="61"/>
      <c r="H92" s="61"/>
      <c r="I92" s="61"/>
      <c r="J92" s="61"/>
      <c r="K92" s="61"/>
    </row>
    <row r="93" spans="1:11" x14ac:dyDescent="0.35">
      <c r="A93" s="23" t="s">
        <v>256</v>
      </c>
      <c r="B93" s="24" t="s">
        <v>257</v>
      </c>
      <c r="C93" s="63">
        <v>0.43588125352112683</v>
      </c>
      <c r="D93" s="63">
        <v>-0.20461299999999999</v>
      </c>
      <c r="E93" s="63">
        <v>0.174618</v>
      </c>
      <c r="F93" s="8" t="s">
        <v>16</v>
      </c>
      <c r="G93" s="61"/>
      <c r="H93" s="61"/>
      <c r="I93" s="61"/>
      <c r="J93" s="61"/>
      <c r="K93" s="61"/>
    </row>
    <row r="94" spans="1:11" x14ac:dyDescent="0.35">
      <c r="A94" s="5" t="s">
        <v>253</v>
      </c>
      <c r="B94" s="7" t="s">
        <v>162</v>
      </c>
      <c r="C94" s="64">
        <v>0.43183684507042253</v>
      </c>
      <c r="D94" s="64">
        <v>-1.7307490000000001</v>
      </c>
      <c r="E94" s="64">
        <v>0.23816200000000001</v>
      </c>
      <c r="F94" s="6" t="s">
        <v>14</v>
      </c>
      <c r="G94" s="61"/>
      <c r="H94" s="61"/>
      <c r="I94" s="61"/>
      <c r="J94" s="61"/>
      <c r="K94" s="61"/>
    </row>
    <row r="95" spans="1:11" x14ac:dyDescent="0.35">
      <c r="A95" s="23" t="s">
        <v>266</v>
      </c>
      <c r="B95" s="24" t="s">
        <v>267</v>
      </c>
      <c r="C95" s="63">
        <v>0.3994524056338028</v>
      </c>
      <c r="D95" s="63">
        <v>2.3305718999999998</v>
      </c>
      <c r="E95" s="63">
        <v>1.2345980000000001</v>
      </c>
      <c r="F95" s="8" t="s">
        <v>167</v>
      </c>
      <c r="G95" s="61"/>
      <c r="H95" s="61"/>
      <c r="I95" s="61"/>
      <c r="J95" s="61"/>
      <c r="K95" s="61"/>
    </row>
    <row r="96" spans="1:11" x14ac:dyDescent="0.35">
      <c r="A96" s="5" t="s">
        <v>240</v>
      </c>
      <c r="B96" s="7" t="s">
        <v>160</v>
      </c>
      <c r="C96" s="64">
        <v>0.38629676674225361</v>
      </c>
      <c r="D96" s="64">
        <v>4.6597376096000005</v>
      </c>
      <c r="E96" s="64">
        <v>-0.1409632022</v>
      </c>
      <c r="F96" s="6" t="s">
        <v>168</v>
      </c>
      <c r="G96" s="61"/>
      <c r="H96" s="61"/>
      <c r="I96" s="61"/>
      <c r="J96" s="61"/>
      <c r="K96" s="61"/>
    </row>
    <row r="97" spans="1:11" x14ac:dyDescent="0.35">
      <c r="A97" s="23" t="s">
        <v>252</v>
      </c>
      <c r="B97" s="24" t="s">
        <v>156</v>
      </c>
      <c r="C97" s="63">
        <v>0.37742362639436622</v>
      </c>
      <c r="D97" s="63">
        <v>-6.0031597999999997</v>
      </c>
      <c r="E97" s="63">
        <v>-0.30099179999999998</v>
      </c>
      <c r="F97" s="8" t="s">
        <v>16</v>
      </c>
      <c r="G97" s="61"/>
      <c r="H97" s="61"/>
      <c r="I97" s="61"/>
      <c r="J97" s="61"/>
      <c r="K97" s="61"/>
    </row>
    <row r="98" spans="1:11" x14ac:dyDescent="0.35">
      <c r="A98" s="5" t="s">
        <v>250</v>
      </c>
      <c r="B98" s="7" t="s">
        <v>135</v>
      </c>
      <c r="C98" s="64">
        <v>0.36877068309859157</v>
      </c>
      <c r="D98" s="64">
        <v>-1.1716154999999999</v>
      </c>
      <c r="E98" s="64">
        <v>8.0398500000000012E-2</v>
      </c>
      <c r="F98" s="6" t="s">
        <v>17</v>
      </c>
      <c r="G98" s="61"/>
      <c r="H98" s="61"/>
      <c r="I98" s="61"/>
      <c r="J98" s="61"/>
      <c r="K98" s="61"/>
    </row>
    <row r="99" spans="1:11" x14ac:dyDescent="0.35">
      <c r="A99" s="23" t="s">
        <v>260</v>
      </c>
      <c r="B99" s="24" t="s">
        <v>261</v>
      </c>
      <c r="C99" s="63">
        <v>0.3574344366197183</v>
      </c>
      <c r="D99" s="63">
        <v>-1.7825340000000001</v>
      </c>
      <c r="E99" s="63">
        <v>-0.45420549999999998</v>
      </c>
      <c r="F99" s="8" t="s">
        <v>17</v>
      </c>
      <c r="G99" s="61"/>
      <c r="H99" s="61"/>
      <c r="I99" s="61"/>
      <c r="J99" s="61"/>
      <c r="K99" s="61"/>
    </row>
    <row r="100" spans="1:11" x14ac:dyDescent="0.35">
      <c r="A100" s="5" t="s">
        <v>247</v>
      </c>
      <c r="B100" s="7" t="s">
        <v>157</v>
      </c>
      <c r="C100" s="64">
        <v>0.3387745281690141</v>
      </c>
      <c r="D100" s="64">
        <v>0.64490749999999997</v>
      </c>
      <c r="E100" s="64">
        <v>7.9002000000000003E-2</v>
      </c>
      <c r="F100" s="6" t="s">
        <v>166</v>
      </c>
      <c r="G100" s="61"/>
      <c r="H100" s="61"/>
      <c r="I100" s="61"/>
      <c r="J100" s="61"/>
      <c r="K100" s="61"/>
    </row>
    <row r="101" spans="1:11" x14ac:dyDescent="0.35">
      <c r="A101" s="54" t="s">
        <v>268</v>
      </c>
      <c r="B101" s="55" t="s">
        <v>269</v>
      </c>
      <c r="C101" s="65">
        <v>0.33794233802816903</v>
      </c>
      <c r="D101" s="65">
        <v>3.7993385000000002</v>
      </c>
      <c r="E101" s="65">
        <v>1.9632485</v>
      </c>
      <c r="F101" s="9" t="s">
        <v>11</v>
      </c>
      <c r="G101" s="61"/>
      <c r="H101" s="61"/>
      <c r="I101" s="61"/>
      <c r="J101" s="61"/>
      <c r="K101" s="61"/>
    </row>
    <row r="102" spans="1:11" x14ac:dyDescent="0.35">
      <c r="A102" s="51"/>
      <c r="B102" s="10"/>
      <c r="C102" s="10"/>
      <c r="D102" s="10"/>
      <c r="E102" s="10"/>
      <c r="F102" s="52"/>
      <c r="H102" s="44"/>
      <c r="J102" s="45"/>
    </row>
    <row r="104" spans="1:11" x14ac:dyDescent="0.35">
      <c r="A104" s="11" t="s">
        <v>67</v>
      </c>
    </row>
    <row r="105" spans="1:11" x14ac:dyDescent="0.35">
      <c r="A105" s="11" t="s">
        <v>82</v>
      </c>
    </row>
    <row r="106" spans="1:11" x14ac:dyDescent="0.35">
      <c r="A106" s="11" t="s">
        <v>145</v>
      </c>
    </row>
    <row r="107" spans="1:11" x14ac:dyDescent="0.35">
      <c r="A107" s="11" t="s">
        <v>144</v>
      </c>
    </row>
    <row r="108" spans="1:11" x14ac:dyDescent="0.35">
      <c r="A108" s="11" t="s">
        <v>151</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70 B82 B3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2024-04-15T06:39:01Z</dcterms:modified>
</cp:coreProperties>
</file>