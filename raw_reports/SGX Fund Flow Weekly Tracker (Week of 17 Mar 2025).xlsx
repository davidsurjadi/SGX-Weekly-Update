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E89C09E8-57A0-4102-9CE5-CDB728F25B9E}"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<sst xmlns="http://schemas.openxmlformats.org/spreadsheetml/2006/main" count="517" uniqueCount="278">
  <si>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</si>
  <si>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</si>
  <si>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</si>
  <si>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</si>
  <si>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</si>
  <si>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</si>
  <si>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</si>
  <si>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</si>
  <si>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</si>
  <si>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</si>
  <si>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</si>
  <si>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</si>
  <si>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</si>
  <si>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</si>
  <si>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</si>
  <si>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</si>
  <si>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</si>
  <si>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</si>
  <si>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</si>
  <si>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</si>
  <si>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</si>
  <si>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</si>
  <si>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</si>
  <si>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</si>
  <si>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</si>
  <si>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</si>
  <si>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</si>
  <si>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</si>
  <si>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</si>
  <si>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</si>
  <si>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</si>
  <si>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</si>
  <si>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</si>
  <si>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</si>
  <si>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</si>
  <si>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</si>
  <si>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</si>
  <si>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</si>
  <si>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</si>
  <si>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</si>
  <si>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</si>
  <si>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</si>
  <si>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</si>
  <si>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</si>
  <si>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</si>
  <si>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</si>
  <si>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</si>
  <si>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</si>
  <si>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</si>
  <si>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</si>
  <si>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</si>
  <si>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</si>
  <si>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</si>
  <si>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</si>
  <si>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</si>
  <si>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</si>
  <si>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</si>
  <si>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</si>
  <si>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</si>
  <si>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</si>
  <si>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</si>
  <si>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</si>
  <si>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</si>
  <si>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</si>
  <si>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</si>
  <si>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</si>
  <si>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</si>
  <si>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</si>
  <si>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</si>
  <si>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</si>
  <si>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</si>
  <si>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</si>
  <si>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</si>
  <si>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</si>
  <si>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</si>
  <si>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</si>
  <si>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</si>
  <si>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</si>
  <si>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</si>
  <si>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</si>
  <si>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</si>
  <si>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</si>
  <si>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</si>
  <si>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</si>
  <si>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</si>
  <si>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</si>
  <si>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</si>
  <si>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</si>
  <si>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</si>
  <si>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</si>
  <si>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</si>
  <si>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</si>
  <si>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</si>
  <si>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</si>
  <si>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</si>
  <si>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</si>
  <si>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</si>
  <si>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</si>
  <si>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</si>
  <si>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</si>
  <si>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</si>
  <si>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</si>
  <si>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</si>
  <si>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</si>
  <si>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</si>
  <si>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</si>
  <si>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</si>
  <si>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</si>
  <si>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</si>
  <si>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</si>
  <si>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</si>
  <si>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</si>
  <si>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</si>
  <si>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</si>
  <si>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</si>
  <si>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</si>
  <si>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</si>
  <si>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</si>
  <si>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</si>
  <si>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</si>
  <si>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</si>
  <si>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</si>
  <si>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</si>
  <si>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</si>
  <si>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</si>
  <si>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</si>
  <si>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</si>
  <si>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</si>
  <si>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</si>
  <si>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</si>
  <si>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</si>
  <si>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</si>
  <si>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</si>
  <si>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</si>
  <si>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</si>
  <si>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</si>
  <si>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</si>
  <si>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</si>
  <si>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</si>
  <si>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</si>
  <si>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</si>
  <si>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</si>
  <si>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</si>
  <si>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</si>
  <si>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</si>
  <si>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</si>
  <si>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</si>
  <si>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</si>
  <si>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</si>
  <si>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</si>
  <si>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</si>
  <si>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</si>
  <si>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</si>
  <si>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</si>
  <si>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</si>
  <si>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</si>
  <si>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</si>
  <si>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</si>
  <si>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</si>
  <si>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</si>
  <si>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</si>
  <si>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</si>
  <si>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</si>
  <si>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</si>
  <si>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</si>
  <si>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</si>
  <si>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</si>
  <si>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</si>
  <si>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</si>
  <si>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</si>
  <si>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</si>
  <si>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</si>
  <si>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</si>
  <si>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</si>
  <si>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</si>
  <si>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</si>
  <si>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</si>
  <si>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</si>
  <si>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</si>
  <si>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</si>
  <si>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</si>
  <si>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</si>
  <si>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</si>
  <si>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</si>
  <si>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</si>
  <si>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</si>
  <si>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</si>
  <si>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</si>
  <si>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</si>
  <si>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</si>
  <si>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</si>
  <si>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</si>
  <si>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</si>
  <si>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</si>
  <si>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</si>
  <si>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</si>
  <si>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</si>
  <si>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</si>
  <si>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</si>
  <si>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</si>
  <si>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</si>
  <si>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</si>
  <si>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</si>
  <si>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</si>
  <si>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</si>
  <si>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</si>
  <si>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</si>
  <si>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</si>
  <si>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</si>
  <si>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</si>
  <si>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</si>
  <si>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</si>
  <si>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</si>
  <si>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</si>
  <si>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</si>
  <si>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</si>
  <si>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</si>
  <si>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</si>
  <si>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</si>
  <si>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</si>
  <si>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</si>
  <si>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</si>
  <si>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</si>
  <si>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</si>
  <si>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</si>
  <si>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</si>
  <si>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</si>
  <si>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</si>
  <si>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</si>
  <si>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</si>
  <si>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</si>
  <si>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</si>
  <si>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</si>
  <si>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</si>
  <si>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</si>
  <si>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</si>
  <si>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</si>
  <si>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</si>
  <si>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</si>
  <si>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</si>
  <si>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</si>
  <si>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</si>
  <si>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</si>
  <si>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</si>
  <si>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</si>
  <si>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</si>
  <si>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</si>
  <si>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</si>
  <si>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</si>
  <si>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</si>
  <si>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Past 5 Sessions Institution Net Buy (+) / Net Sell (-)(S$M)</t>
  </si>
  <si>
    <t>Yangzijiang Financial</t>
  </si>
  <si>
    <t>ISOTeam</t>
  </si>
  <si>
    <t>5WF</t>
  </si>
  <si>
    <t>CNMC Goldmine</t>
  </si>
  <si>
    <t>5TP</t>
  </si>
  <si>
    <t>COSCO SHP SG</t>
  </si>
  <si>
    <t>F83</t>
  </si>
  <si>
    <t>Aztech Gbl</t>
  </si>
  <si>
    <t>8AZ</t>
  </si>
  <si>
    <t>Food Empire</t>
  </si>
  <si>
    <t>F03</t>
  </si>
  <si>
    <t>Valuetronics</t>
  </si>
  <si>
    <t>BN2</t>
  </si>
  <si>
    <t>Bumitama Agri</t>
  </si>
  <si>
    <t>P8Z</t>
  </si>
  <si>
    <t>Keppel DC REIT</t>
  </si>
  <si>
    <t>iFast Corporation</t>
  </si>
  <si>
    <t>Sasseur Reit</t>
  </si>
  <si>
    <t>CRPU</t>
  </si>
  <si>
    <t>Parkway Life REIT</t>
  </si>
  <si>
    <t>CapitaLand Ascott Trust</t>
  </si>
  <si>
    <t>Rex International</t>
  </si>
  <si>
    <t>OKH Global</t>
  </si>
  <si>
    <t>S3N</t>
  </si>
  <si>
    <t>Week of 17 March 2025</t>
  </si>
  <si>
    <r>
      <t xml:space="preserve">Institutional investors net </t>
    </r>
    <r>
      <rPr>
        <b/>
        <sz val="11"/>
        <rFont val="Arial"/>
        <family val="2"/>
      </rPr>
      <t>buy</t>
    </r>
    <r>
      <rPr>
        <sz val="11"/>
        <rFont val="Arial"/>
        <family val="2"/>
      </rPr>
      <t xml:space="preserve"> (+S$67.2m) vs. (-S$359.8m) a week ago</t>
    </r>
  </si>
  <si>
    <r>
      <t xml:space="preserve">Retail investors net </t>
    </r>
    <r>
      <rPr>
        <b/>
        <sz val="11"/>
        <rFont val="Arial"/>
        <family val="2"/>
      </rPr>
      <t>sell</t>
    </r>
    <r>
      <rPr>
        <sz val="11"/>
        <rFont val="Arial"/>
        <family val="2"/>
      </rPr>
      <t xml:space="preserve"> (-S$233.6m) vs. (+S$513.5m)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</si>
</sst>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275</v>
      </c>
      <c r="C1" s="81"/>
    </row>
    <row r="2" spans="1:13" x14ac:dyDescent="0.3">
      <c r="A2" s="69" t="s">
        <v>276</v>
      </c>
      <c r="I2" s="50"/>
    </row>
    <row r="3" spans="1:13" x14ac:dyDescent="0.3">
      <c r="A3" s="69" t="s">
        <v>277</v>
      </c>
      <c r="I3" s="50"/>
    </row>
    <row r="5" spans="1:13" ht="29.25" customHeight="1" x14ac:dyDescent="0.3">
      <c r="A5" s="3" t="s">
        <v>0</v>
      </c>
      <c r="B5" s="3" t="s">
        <v>1</v>
      </c>
      <c r="C5" s="4" t="s">
        <v>275</v>
      </c>
      <c r="D5" s="60" t="s">
        <v>2</v>
      </c>
      <c r="E5" s="60" t="s">
        <v>1</v>
      </c>
      <c r="F5" s="61" t="str">
        <f>+C5</f>
        <v>Week of 17 March 2025</v>
      </c>
      <c r="I5" s="2"/>
    </row>
    <row r="6" spans="1:13" ht="14.5" x14ac:dyDescent="0.35">
      <c r="A6" s="34" t="s">
        <v>61</v>
      </c>
      <c r="B6" s="63" t="s">
        <v>53</v>
      </c>
      <c r="C6" s="6">
        <v>45.134256000000001</v>
      </c>
      <c r="D6" s="34" t="s">
        <v>26</v>
      </c>
      <c r="E6" s="63" t="s">
        <v>21</v>
      </c>
      <c r="F6" s="6">
        <v>-79.451117999999994</v>
      </c>
      <c r="G6"/>
      <c r="H6"/>
      <c r="I6" s="2"/>
      <c r="M6"/>
    </row>
    <row r="7" spans="1:13" ht="14.5" x14ac:dyDescent="0.35">
      <c r="A7" s="35" t="s">
        <v>86</v>
      </c>
      <c r="B7" s="10" t="s">
        <v>25</v>
      </c>
      <c r="C7" s="8">
        <v>42.71893</v>
      </c>
      <c r="D7" s="35" t="s">
        <v>77</v>
      </c>
      <c r="E7" s="10" t="s">
        <v>56</v>
      </c>
      <c r="F7" s="8">
        <v>-29.295139500000001</v>
      </c>
      <c r="G7"/>
      <c r="H7"/>
      <c r="I7" s="2"/>
      <c r="L7"/>
      <c r="M7"/>
    </row>
    <row r="8" spans="1:13" ht="14.5" x14ac:dyDescent="0.35">
      <c r="A8" s="36" t="s">
        <v>45</v>
      </c>
      <c r="B8" s="63" t="s">
        <v>42</v>
      </c>
      <c r="C8" s="6">
        <v>18.741543</v>
      </c>
      <c r="D8" s="36" t="s">
        <v>49</v>
      </c>
      <c r="E8" s="63" t="s">
        <v>47</v>
      </c>
      <c r="F8" s="6">
        <v>-20.670286999999998</v>
      </c>
      <c r="G8"/>
      <c r="H8"/>
      <c r="I8" s="2"/>
      <c r="L8"/>
      <c r="M8"/>
    </row>
    <row r="9" spans="1:13" ht="14.5" x14ac:dyDescent="0.35">
      <c r="A9" s="35" t="s">
        <v>40</v>
      </c>
      <c r="B9" s="10" t="s">
        <v>38</v>
      </c>
      <c r="C9" s="8">
        <v>17.124110999999999</v>
      </c>
      <c r="D9" s="35" t="s">
        <v>27</v>
      </c>
      <c r="E9" s="10" t="s">
        <v>22</v>
      </c>
      <c r="F9" s="8">
        <v>-20.144116</v>
      </c>
      <c r="G9"/>
      <c r="H9"/>
      <c r="I9" s="2"/>
      <c r="L9"/>
      <c r="M9"/>
    </row>
    <row r="10" spans="1:13" ht="14.5" x14ac:dyDescent="0.35">
      <c r="A10" s="36" t="s">
        <v>33</v>
      </c>
      <c r="B10" s="63" t="s">
        <v>31</v>
      </c>
      <c r="C10" s="6">
        <v>14.694743000000001</v>
      </c>
      <c r="D10" s="36" t="s">
        <v>64</v>
      </c>
      <c r="E10" s="63" t="s">
        <v>55</v>
      </c>
      <c r="F10" s="6">
        <v>-9.5306389511999932</v>
      </c>
      <c r="G10"/>
      <c r="H10"/>
      <c r="I10" s="2"/>
      <c r="L10"/>
      <c r="M10"/>
    </row>
    <row r="11" spans="1:13" ht="14.5" x14ac:dyDescent="0.35">
      <c r="A11" s="35" t="s">
        <v>39</v>
      </c>
      <c r="B11" s="10" t="s">
        <v>37</v>
      </c>
      <c r="C11" s="8">
        <v>14.685306000000001</v>
      </c>
      <c r="D11" s="35" t="s">
        <v>267</v>
      </c>
      <c r="E11" s="10" t="s">
        <v>119</v>
      </c>
      <c r="F11" s="8">
        <v>-6.5911439999999999</v>
      </c>
      <c r="G11"/>
      <c r="H11"/>
      <c r="I11" s="2"/>
      <c r="L11"/>
      <c r="M11"/>
    </row>
    <row r="12" spans="1:13" ht="14.5" x14ac:dyDescent="0.35">
      <c r="A12" s="36" t="s">
        <v>62</v>
      </c>
      <c r="B12" s="63" t="s">
        <v>52</v>
      </c>
      <c r="C12" s="6">
        <v>14.368837052263199</v>
      </c>
      <c r="D12" s="36" t="s">
        <v>34</v>
      </c>
      <c r="E12" s="63" t="s">
        <v>30</v>
      </c>
      <c r="F12" s="6">
        <v>-6.2892669999999997</v>
      </c>
      <c r="G12"/>
      <c r="H12"/>
      <c r="I12" s="2"/>
      <c r="L12"/>
      <c r="M12"/>
    </row>
    <row r="13" spans="1:13" ht="14.5" x14ac:dyDescent="0.35">
      <c r="A13" s="35" t="s">
        <v>251</v>
      </c>
      <c r="B13" s="10" t="s">
        <v>108</v>
      </c>
      <c r="C13" s="8">
        <v>10.0822585</v>
      </c>
      <c r="D13" s="35" t="s">
        <v>271</v>
      </c>
      <c r="E13" s="10" t="s">
        <v>90</v>
      </c>
      <c r="F13" s="8">
        <v>-4.3225484999999999</v>
      </c>
      <c r="G13"/>
      <c r="H13"/>
      <c r="I13" s="2"/>
      <c r="L13"/>
      <c r="M13"/>
    </row>
    <row r="14" spans="1:13" ht="14.5" x14ac:dyDescent="0.35">
      <c r="A14" s="36" t="s">
        <v>137</v>
      </c>
      <c r="B14" s="63" t="s">
        <v>32</v>
      </c>
      <c r="C14" s="6">
        <v>9.3715299999999999</v>
      </c>
      <c r="D14" s="36" t="s">
        <v>266</v>
      </c>
      <c r="E14" s="63" t="s">
        <v>76</v>
      </c>
      <c r="F14" s="6">
        <v>-3.6815570000000002</v>
      </c>
      <c r="G14"/>
      <c r="H14"/>
      <c r="I14" s="2"/>
      <c r="L14"/>
      <c r="M14"/>
    </row>
    <row r="15" spans="1:13" ht="14.5" x14ac:dyDescent="0.35">
      <c r="A15" s="37" t="s">
        <v>270</v>
      </c>
      <c r="B15" s="33" t="s">
        <v>117</v>
      </c>
      <c r="C15" s="9">
        <v>9.3549469999999992</v>
      </c>
      <c r="D15" s="37" t="s">
        <v>272</v>
      </c>
      <c r="E15" s="33" t="s">
        <v>101</v>
      </c>
      <c r="F15" s="9">
        <v>-3.6407660000000011</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17 March 2025</v>
      </c>
      <c r="D18" s="62" t="s">
        <v>4</v>
      </c>
      <c r="E18" s="60" t="s">
        <v>1</v>
      </c>
      <c r="F18" s="61" t="str">
        <f>+C18</f>
        <v>Week of 17 March 2025</v>
      </c>
    </row>
    <row r="19" spans="1:9" ht="14.5" x14ac:dyDescent="0.35">
      <c r="A19" s="36" t="s">
        <v>267</v>
      </c>
      <c r="B19" s="63" t="s">
        <v>119</v>
      </c>
      <c r="C19" s="20">
        <v>15.694595</v>
      </c>
      <c r="D19" s="36" t="s">
        <v>137</v>
      </c>
      <c r="E19" s="19" t="s">
        <v>32</v>
      </c>
      <c r="F19" s="6">
        <v>-36.089207000000002</v>
      </c>
      <c r="G19"/>
      <c r="I19" s="2"/>
    </row>
    <row r="20" spans="1:9" ht="14.5" x14ac:dyDescent="0.35">
      <c r="A20" s="35" t="s">
        <v>27</v>
      </c>
      <c r="B20" s="10" t="s">
        <v>22</v>
      </c>
      <c r="C20" s="8">
        <v>7.8135120000000002</v>
      </c>
      <c r="D20" s="35" t="s">
        <v>49</v>
      </c>
      <c r="E20" s="22" t="s">
        <v>47</v>
      </c>
      <c r="F20" s="8">
        <v>-33.324421999999998</v>
      </c>
      <c r="G20"/>
      <c r="I20" s="2"/>
    </row>
    <row r="21" spans="1:9" ht="14.5" x14ac:dyDescent="0.35">
      <c r="A21" s="36" t="s">
        <v>271</v>
      </c>
      <c r="B21" s="63" t="s">
        <v>90</v>
      </c>
      <c r="C21" s="6">
        <v>6.2741544999999999</v>
      </c>
      <c r="D21" s="36" t="s">
        <v>28</v>
      </c>
      <c r="E21" s="7" t="s">
        <v>23</v>
      </c>
      <c r="F21" s="6">
        <v>-30.965005000000001</v>
      </c>
      <c r="G21"/>
      <c r="I21" s="2"/>
    </row>
    <row r="22" spans="1:9" ht="14.5" x14ac:dyDescent="0.35">
      <c r="A22" s="35" t="s">
        <v>34</v>
      </c>
      <c r="B22" s="10" t="s">
        <v>30</v>
      </c>
      <c r="C22" s="8">
        <v>4.9752640000000001</v>
      </c>
      <c r="D22" s="35" t="s">
        <v>36</v>
      </c>
      <c r="E22" s="22" t="s">
        <v>35</v>
      </c>
      <c r="F22" s="8">
        <v>-22.533714</v>
      </c>
      <c r="G22"/>
      <c r="I22" s="2"/>
    </row>
    <row r="23" spans="1:9" ht="14.5" x14ac:dyDescent="0.35">
      <c r="A23" s="36" t="s">
        <v>272</v>
      </c>
      <c r="B23" s="63" t="s">
        <v>101</v>
      </c>
      <c r="C23" s="6">
        <v>4.6464326000000007</v>
      </c>
      <c r="D23" s="36" t="s">
        <v>26</v>
      </c>
      <c r="E23" s="7" t="s">
        <v>21</v>
      </c>
      <c r="F23" s="6">
        <v>-19.774035999999999</v>
      </c>
      <c r="G23"/>
      <c r="I23" s="2"/>
    </row>
    <row r="24" spans="1:9" ht="14.5" x14ac:dyDescent="0.35">
      <c r="A24" s="35" t="s">
        <v>63</v>
      </c>
      <c r="B24" s="10" t="s">
        <v>54</v>
      </c>
      <c r="C24" s="8">
        <v>3.510319</v>
      </c>
      <c r="D24" s="35" t="s">
        <v>251</v>
      </c>
      <c r="E24" s="22" t="s">
        <v>108</v>
      </c>
      <c r="F24" s="8">
        <v>-18.061211499999999</v>
      </c>
      <c r="G24"/>
      <c r="I24" s="2"/>
    </row>
    <row r="25" spans="1:9" ht="14.5" x14ac:dyDescent="0.35">
      <c r="A25" s="36" t="s">
        <v>199</v>
      </c>
      <c r="B25" s="63" t="s">
        <v>121</v>
      </c>
      <c r="C25" s="6">
        <v>3.4063504999999998</v>
      </c>
      <c r="D25" s="36" t="s">
        <v>33</v>
      </c>
      <c r="E25" s="7" t="s">
        <v>31</v>
      </c>
      <c r="F25" s="6">
        <v>-17.769653999999999</v>
      </c>
      <c r="G25"/>
      <c r="I25" s="2"/>
    </row>
    <row r="26" spans="1:9" ht="14.5" x14ac:dyDescent="0.35">
      <c r="A26" s="35" t="s">
        <v>84</v>
      </c>
      <c r="B26" s="10" t="s">
        <v>83</v>
      </c>
      <c r="C26" s="8">
        <v>3.2247409999999999</v>
      </c>
      <c r="D26" s="35" t="s">
        <v>61</v>
      </c>
      <c r="E26" s="22" t="s">
        <v>53</v>
      </c>
      <c r="F26" s="8">
        <v>-17.596114</v>
      </c>
      <c r="G26"/>
      <c r="I26" s="2"/>
    </row>
    <row r="27" spans="1:9" ht="14.5" x14ac:dyDescent="0.35">
      <c r="A27" s="36" t="s">
        <v>194</v>
      </c>
      <c r="B27" s="63" t="s">
        <v>127</v>
      </c>
      <c r="C27" s="6">
        <v>2.4852370000000001</v>
      </c>
      <c r="D27" s="36" t="s">
        <v>45</v>
      </c>
      <c r="E27" s="7" t="s">
        <v>42</v>
      </c>
      <c r="F27" s="6">
        <v>-12.686577</v>
      </c>
      <c r="G27"/>
      <c r="I27" s="2"/>
    </row>
    <row r="28" spans="1:9" ht="14.5" x14ac:dyDescent="0.35">
      <c r="A28" s="33" t="s">
        <v>77</v>
      </c>
      <c r="B28" s="76" t="s">
        <v>56</v>
      </c>
      <c r="C28" s="9">
        <v>2.0689989999999998</v>
      </c>
      <c r="D28" s="33" t="s">
        <v>39</v>
      </c>
      <c r="E28" s="76" t="s">
        <v>37</v>
      </c>
      <c r="F28" s="9">
        <v>-8.454326</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-291.39501600794011</v>
      </c>
      <c r="B3" s="71">
        <v>45712</v>
      </c>
      <c r="C3" s="15">
        <v>-19.521176917610003</v>
      </c>
      <c r="D3" s="15">
        <v>5.7444235905999976</v>
      </c>
      <c r="E3" s="15">
        <v>9.4652500000000167E-2</v>
      </c>
      <c r="F3" s="15">
        <v>-206.69279030000001</v>
      </c>
      <c r="G3" s="15">
        <v>3.6564158275999987</v>
      </c>
      <c r="H3" s="15">
        <v>-73.883003771989991</v>
      </c>
      <c r="I3" s="15">
        <v>0.48907069999999997</v>
      </c>
      <c r="J3" s="15">
        <v>22.806722956199991</v>
      </c>
      <c r="K3" s="15">
        <v>-72.33652889274002</v>
      </c>
      <c r="L3" s="15">
        <v>13.067213500000003</v>
      </c>
      <c r="M3" s="15">
        <v>8.1798087000000006</v>
      </c>
      <c r="N3" s="15">
        <v>27.000176100000001</v>
      </c>
    </row>
    <row r="4" spans="1:15" x14ac:dyDescent="0.3">
      <c r="A4" s="44">
        <f>SUM(C4:N4)</f>
        <v>38.518481033659974</v>
      </c>
      <c r="B4" s="12">
        <v>45719</v>
      </c>
      <c r="C4" s="70">
        <v>-7.572995317920002</v>
      </c>
      <c r="D4" s="70">
        <v>22.561908999900002</v>
      </c>
      <c r="E4" s="70">
        <v>-3.4967509999999993</v>
      </c>
      <c r="F4" s="70">
        <v>-65.518930499999996</v>
      </c>
      <c r="G4" s="70">
        <v>-0.97759333280000005</v>
      </c>
      <c r="H4" s="70">
        <v>102.12809978473999</v>
      </c>
      <c r="I4" s="70">
        <v>-0.33628960000000002</v>
      </c>
      <c r="J4" s="70">
        <v>-16.65734997900001</v>
      </c>
      <c r="K4" s="70">
        <v>0.23271967873999649</v>
      </c>
      <c r="L4" s="70">
        <v>-8.204228999999998</v>
      </c>
      <c r="M4" s="70">
        <v>4.5863784999999968</v>
      </c>
      <c r="N4" s="70">
        <v>11.773512800000001</v>
      </c>
    </row>
    <row r="5" spans="1:15" x14ac:dyDescent="0.3">
      <c r="A5" s="44">
        <f>SUM(C5:N5)</f>
        <v>-359.82783445566002</v>
      </c>
      <c r="B5" s="71">
        <v>45726</v>
      </c>
      <c r="C5" s="15">
        <v>4.0096776856299989</v>
      </c>
      <c r="D5" s="15">
        <v>8.2856656169000011</v>
      </c>
      <c r="E5" s="15">
        <v>-1.8487193999999998</v>
      </c>
      <c r="F5" s="15">
        <v>-422.51205100000004</v>
      </c>
      <c r="G5" s="15">
        <v>-1.5958755366999999</v>
      </c>
      <c r="H5" s="15">
        <v>19.086894075480011</v>
      </c>
      <c r="I5" s="15">
        <v>-0.18379919999999997</v>
      </c>
      <c r="J5" s="15">
        <v>-16.863955762999996</v>
      </c>
      <c r="K5" s="15">
        <v>36.388802316030002</v>
      </c>
      <c r="L5" s="15">
        <v>-5.6894078500000003</v>
      </c>
      <c r="M5" s="15">
        <v>32.063555199999996</v>
      </c>
      <c r="N5" s="15">
        <v>-10.968620599999999</v>
      </c>
    </row>
    <row r="6" spans="1:15" ht="14.5" x14ac:dyDescent="0.35">
      <c r="A6" s="44">
        <f>SUM(C6:N6)</f>
        <v>67.230630625293216</v>
      </c>
      <c r="B6" s="80">
        <v>45733</v>
      </c>
      <c r="C6" s="70">
        <v>1.6100519327599996</v>
      </c>
      <c r="D6" s="70">
        <v>11.222001695100001</v>
      </c>
      <c r="E6" s="70">
        <v>-3.9072162000000024</v>
      </c>
      <c r="F6" s="70">
        <v>-81.489458499999998</v>
      </c>
      <c r="G6" s="70">
        <v>1.1629053234999995</v>
      </c>
      <c r="H6" s="70">
        <v>110.38956877528321</v>
      </c>
      <c r="I6" s="70">
        <v>-0.39912380000000008</v>
      </c>
      <c r="J6" s="70">
        <v>-6.8251755511999921</v>
      </c>
      <c r="K6" s="70">
        <v>42.534052849849992</v>
      </c>
      <c r="L6" s="70">
        <v>-1.1953090999999998</v>
      </c>
      <c r="M6" s="70">
        <v>-23.571902599999998</v>
      </c>
      <c r="N6" s="70">
        <v>17.700235800000002</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313.15310116000995</v>
      </c>
      <c r="B3" s="64">
        <v>45712</v>
      </c>
      <c r="C3" s="56">
        <v>21.407575041760008</v>
      </c>
      <c r="D3" s="56">
        <v>-0.49867176499999832</v>
      </c>
      <c r="E3" s="56">
        <v>0.36872710000000031</v>
      </c>
      <c r="F3" s="56">
        <v>283.29038750000007</v>
      </c>
      <c r="G3" s="56">
        <v>-3.6273345946999993</v>
      </c>
      <c r="H3" s="56">
        <v>98.316334611859972</v>
      </c>
      <c r="I3" s="56">
        <v>-0.54306149999999997</v>
      </c>
      <c r="J3" s="56">
        <v>-25.364880744799997</v>
      </c>
      <c r="K3" s="56">
        <v>36.409437630490004</v>
      </c>
      <c r="L3" s="56">
        <v>-21.460357719600012</v>
      </c>
      <c r="M3" s="56">
        <v>-29.8640185</v>
      </c>
      <c r="N3" s="56">
        <v>-45.281035899999999</v>
      </c>
      <c r="P3" s="14"/>
    </row>
    <row r="4" spans="1:18" x14ac:dyDescent="0.3">
      <c r="A4" s="65">
        <f>SUM(C4:N4)</f>
        <v>21.544584580020022</v>
      </c>
      <c r="B4" s="12">
        <v>45719</v>
      </c>
      <c r="C4" s="74">
        <v>33.824377894290002</v>
      </c>
      <c r="D4" s="74">
        <v>-26.403448588299995</v>
      </c>
      <c r="E4" s="74">
        <v>4.314694900000001</v>
      </c>
      <c r="F4" s="74">
        <v>93.403851000000017</v>
      </c>
      <c r="G4" s="74">
        <v>0.60903947810000014</v>
      </c>
      <c r="H4" s="74">
        <v>-61.133125077640003</v>
      </c>
      <c r="I4" s="74">
        <v>0.36229760000000005</v>
      </c>
      <c r="J4" s="74">
        <v>4.4706015315999927</v>
      </c>
      <c r="K4" s="74">
        <v>21.367059595270003</v>
      </c>
      <c r="L4" s="74">
        <v>2.3725804467000011</v>
      </c>
      <c r="M4" s="74">
        <v>-30.420252399999995</v>
      </c>
      <c r="N4" s="74">
        <v>-21.223091799999999</v>
      </c>
      <c r="P4" s="14"/>
    </row>
    <row r="5" spans="1:18" x14ac:dyDescent="0.3">
      <c r="A5" s="65">
        <f>SUM(C5:N5)</f>
        <v>513.51363554589022</v>
      </c>
      <c r="B5" s="64">
        <v>45726</v>
      </c>
      <c r="C5" s="56">
        <v>-13.556039627049998</v>
      </c>
      <c r="D5" s="56">
        <v>-8.1806522554000001</v>
      </c>
      <c r="E5" s="56">
        <v>-0.94002579999999958</v>
      </c>
      <c r="F5" s="56">
        <v>605.19781070000022</v>
      </c>
      <c r="G5" s="56">
        <v>3.7355065373000005</v>
      </c>
      <c r="H5" s="56">
        <v>3.2658641020300028</v>
      </c>
      <c r="I5" s="56">
        <v>-8.5040000000000428E-3</v>
      </c>
      <c r="J5" s="56">
        <v>2.2882071134000008</v>
      </c>
      <c r="K5" s="56">
        <v>-94.09375536908999</v>
      </c>
      <c r="L5" s="56">
        <v>9.8171921446999981</v>
      </c>
      <c r="M5" s="56">
        <v>1.7691792000000011</v>
      </c>
      <c r="N5" s="56">
        <v>4.2188528000000005</v>
      </c>
      <c r="P5" s="14"/>
    </row>
    <row r="6" spans="1:18" x14ac:dyDescent="0.3">
      <c r="A6" s="65">
        <f>SUM(C6:N6)</f>
        <v>-233.55635912142321</v>
      </c>
      <c r="B6" s="80">
        <v>45733</v>
      </c>
      <c r="C6" s="74">
        <v>-20.554015133859995</v>
      </c>
      <c r="D6" s="74">
        <v>-11.969596262499998</v>
      </c>
      <c r="E6" s="74">
        <v>4.8797861000000031</v>
      </c>
      <c r="F6" s="74">
        <v>-63.349966000000002</v>
      </c>
      <c r="G6" s="74">
        <v>2.7869559110000002</v>
      </c>
      <c r="H6" s="74">
        <v>-105.92393973508322</v>
      </c>
      <c r="I6" s="74">
        <v>0.23215340000000004</v>
      </c>
      <c r="J6" s="74">
        <v>1.4036573679000006</v>
      </c>
      <c r="K6" s="74">
        <v>-10.170636868880003</v>
      </c>
      <c r="L6" s="74">
        <v>12.287513499999998</v>
      </c>
      <c r="M6" s="74">
        <v>-32.706455399999996</v>
      </c>
      <c r="N6" s="74">
        <v>-10.471816</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17 March 2025</v>
      </c>
      <c r="B1" s="16" t="s">
        <v>1</v>
      </c>
      <c r="C1" s="17" t="s">
        <v>71</v>
      </c>
      <c r="D1" s="17" t="s">
        <v>72</v>
      </c>
    </row>
    <row r="2" spans="1:5" x14ac:dyDescent="0.35">
      <c r="A2" s="18" t="s">
        <v>86</v>
      </c>
      <c r="B2" s="19" t="s">
        <v>25</v>
      </c>
      <c r="C2" s="20">
        <v>42.71893</v>
      </c>
      <c r="D2" s="20">
        <v>-5.8325199999999997</v>
      </c>
      <c r="E2" s="38"/>
    </row>
    <row r="3" spans="1:5" x14ac:dyDescent="0.35">
      <c r="A3" s="21" t="s">
        <v>77</v>
      </c>
      <c r="B3" s="22" t="s">
        <v>56</v>
      </c>
      <c r="C3" s="8">
        <v>-29.295139500000001</v>
      </c>
      <c r="D3" s="8">
        <v>2.0689989999999998</v>
      </c>
      <c r="E3" s="38"/>
    </row>
    <row r="4" spans="1:5" x14ac:dyDescent="0.35">
      <c r="A4" s="5" t="s">
        <v>84</v>
      </c>
      <c r="B4" s="7" t="s">
        <v>83</v>
      </c>
      <c r="C4" s="6">
        <v>5.0354609999999997</v>
      </c>
      <c r="D4" s="6">
        <v>3.2247409999999999</v>
      </c>
      <c r="E4" s="38"/>
    </row>
    <row r="5" spans="1:5" x14ac:dyDescent="0.35">
      <c r="A5" s="21" t="s">
        <v>63</v>
      </c>
      <c r="B5" s="22" t="s">
        <v>54</v>
      </c>
      <c r="C5" s="8">
        <v>-2.16248</v>
      </c>
      <c r="D5" s="8">
        <v>3.510319</v>
      </c>
      <c r="E5" s="38"/>
    </row>
    <row r="6" spans="1:5" x14ac:dyDescent="0.35">
      <c r="A6" s="5" t="s">
        <v>26</v>
      </c>
      <c r="B6" s="7" t="s">
        <v>21</v>
      </c>
      <c r="C6" s="6">
        <v>-79.451117999999994</v>
      </c>
      <c r="D6" s="6">
        <v>-19.774035999999999</v>
      </c>
      <c r="E6" s="38"/>
    </row>
    <row r="7" spans="1:5" x14ac:dyDescent="0.35">
      <c r="A7" s="21" t="s">
        <v>85</v>
      </c>
      <c r="B7" s="22" t="s">
        <v>57</v>
      </c>
      <c r="C7" s="8">
        <v>0.29385669510000012</v>
      </c>
      <c r="D7" s="8">
        <v>-0.30051966249999962</v>
      </c>
      <c r="E7" s="38"/>
    </row>
    <row r="8" spans="1:5" x14ac:dyDescent="0.35">
      <c r="A8" s="5" t="s">
        <v>212</v>
      </c>
      <c r="B8" s="7" t="s">
        <v>105</v>
      </c>
      <c r="C8" s="6">
        <v>-1.7045589999999999</v>
      </c>
      <c r="D8" s="6">
        <v>-1.5194019999999999</v>
      </c>
      <c r="E8" s="38"/>
    </row>
    <row r="9" spans="1:5" x14ac:dyDescent="0.35">
      <c r="A9" s="21" t="s">
        <v>79</v>
      </c>
      <c r="B9" s="22" t="s">
        <v>78</v>
      </c>
      <c r="C9" s="8">
        <v>2.3165244999999999</v>
      </c>
      <c r="D9" s="8">
        <v>-3.578484</v>
      </c>
      <c r="E9" s="38"/>
    </row>
    <row r="10" spans="1:5" x14ac:dyDescent="0.35">
      <c r="A10" s="5" t="s">
        <v>36</v>
      </c>
      <c r="B10" s="7" t="s">
        <v>35</v>
      </c>
      <c r="C10" s="6">
        <v>1.4787235000000001</v>
      </c>
      <c r="D10" s="6">
        <v>-22.533714</v>
      </c>
      <c r="E10" s="38"/>
    </row>
    <row r="11" spans="1:5" x14ac:dyDescent="0.35">
      <c r="A11" s="21" t="s">
        <v>64</v>
      </c>
      <c r="B11" s="22" t="s">
        <v>55</v>
      </c>
      <c r="C11" s="8">
        <v>-9.5306389511999932</v>
      </c>
      <c r="D11" s="8">
        <v>1.3490485678999999</v>
      </c>
      <c r="E11" s="38"/>
    </row>
    <row r="12" spans="1:5" x14ac:dyDescent="0.35">
      <c r="A12" s="5" t="s">
        <v>50</v>
      </c>
      <c r="B12" s="7" t="s">
        <v>48</v>
      </c>
      <c r="C12" s="6">
        <v>-1.585707</v>
      </c>
      <c r="D12" s="6">
        <v>1.0931340000000001</v>
      </c>
      <c r="E12" s="38"/>
    </row>
    <row r="13" spans="1:5" x14ac:dyDescent="0.35">
      <c r="A13" s="21" t="s">
        <v>62</v>
      </c>
      <c r="B13" s="22" t="s">
        <v>52</v>
      </c>
      <c r="C13" s="8">
        <v>14.368837052263199</v>
      </c>
      <c r="D13" s="8">
        <v>-7.4648695809632004</v>
      </c>
      <c r="E13" s="38"/>
    </row>
    <row r="14" spans="1:5" x14ac:dyDescent="0.35">
      <c r="A14" s="5" t="s">
        <v>137</v>
      </c>
      <c r="B14" s="7" t="s">
        <v>32</v>
      </c>
      <c r="C14" s="6">
        <v>9.3715299999999999</v>
      </c>
      <c r="D14" s="6">
        <v>-36.089207000000002</v>
      </c>
      <c r="E14" s="38"/>
    </row>
    <row r="15" spans="1:5" x14ac:dyDescent="0.35">
      <c r="A15" s="21" t="s">
        <v>75</v>
      </c>
      <c r="B15" s="22" t="s">
        <v>74</v>
      </c>
      <c r="C15" s="8">
        <v>1.9742299999999999</v>
      </c>
      <c r="D15" s="8">
        <v>1.16743</v>
      </c>
      <c r="E15" s="38"/>
    </row>
    <row r="16" spans="1:5" x14ac:dyDescent="0.35">
      <c r="A16" s="5" t="s">
        <v>40</v>
      </c>
      <c r="B16" s="7" t="s">
        <v>38</v>
      </c>
      <c r="C16" s="6">
        <v>17.124110999999999</v>
      </c>
      <c r="D16" s="6">
        <v>-4.103027</v>
      </c>
      <c r="E16" s="38"/>
    </row>
    <row r="17" spans="1:5" x14ac:dyDescent="0.35">
      <c r="A17" s="21" t="s">
        <v>217</v>
      </c>
      <c r="B17" s="22" t="s">
        <v>58</v>
      </c>
      <c r="C17" s="8">
        <v>2.4803380000000002</v>
      </c>
      <c r="D17" s="8">
        <v>-1.133955</v>
      </c>
      <c r="E17" s="38"/>
    </row>
    <row r="18" spans="1:5" x14ac:dyDescent="0.35">
      <c r="A18" s="5" t="s">
        <v>27</v>
      </c>
      <c r="B18" s="7" t="s">
        <v>22</v>
      </c>
      <c r="C18" s="6">
        <v>-20.144116</v>
      </c>
      <c r="D18" s="6">
        <v>7.8135120000000002</v>
      </c>
      <c r="E18" s="38"/>
    </row>
    <row r="19" spans="1:5" x14ac:dyDescent="0.35">
      <c r="A19" s="21" t="s">
        <v>34</v>
      </c>
      <c r="B19" s="22" t="s">
        <v>30</v>
      </c>
      <c r="C19" s="8">
        <v>-6.2892669999999997</v>
      </c>
      <c r="D19" s="8">
        <v>4.9752640000000001</v>
      </c>
      <c r="E19" s="38"/>
    </row>
    <row r="20" spans="1:5" x14ac:dyDescent="0.35">
      <c r="A20" s="5" t="s">
        <v>133</v>
      </c>
      <c r="B20" s="7" t="s">
        <v>215</v>
      </c>
      <c r="C20" s="6">
        <v>-5.5100999999999997E-2</v>
      </c>
      <c r="D20" s="6">
        <v>-2.5624039999999999</v>
      </c>
      <c r="E20" s="38"/>
    </row>
    <row r="21" spans="1:5" x14ac:dyDescent="0.35">
      <c r="A21" s="21" t="s">
        <v>45</v>
      </c>
      <c r="B21" s="22" t="s">
        <v>42</v>
      </c>
      <c r="C21" s="8">
        <v>18.741543</v>
      </c>
      <c r="D21" s="8">
        <v>-12.686577</v>
      </c>
      <c r="E21" s="38"/>
    </row>
    <row r="22" spans="1:5" x14ac:dyDescent="0.35">
      <c r="A22" s="5" t="s">
        <v>33</v>
      </c>
      <c r="B22" s="7" t="s">
        <v>31</v>
      </c>
      <c r="C22" s="6">
        <v>14.694743000000001</v>
      </c>
      <c r="D22" s="6">
        <v>-17.769653999999999</v>
      </c>
      <c r="E22" s="38"/>
    </row>
    <row r="23" spans="1:5" x14ac:dyDescent="0.35">
      <c r="A23" s="21" t="s">
        <v>29</v>
      </c>
      <c r="B23" s="22" t="s">
        <v>24</v>
      </c>
      <c r="C23" s="8">
        <v>-2.179535</v>
      </c>
      <c r="D23" s="8">
        <v>-7.4477200000000003</v>
      </c>
      <c r="E23" s="38"/>
    </row>
    <row r="24" spans="1:5" x14ac:dyDescent="0.35">
      <c r="A24" s="5" t="s">
        <v>39</v>
      </c>
      <c r="B24" s="7" t="s">
        <v>37</v>
      </c>
      <c r="C24" s="6">
        <v>14.685306000000001</v>
      </c>
      <c r="D24" s="6">
        <v>-8.454326</v>
      </c>
      <c r="E24" s="38"/>
    </row>
    <row r="25" spans="1:5" x14ac:dyDescent="0.35">
      <c r="A25" s="21" t="s">
        <v>49</v>
      </c>
      <c r="B25" s="22" t="s">
        <v>47</v>
      </c>
      <c r="C25" s="8">
        <v>-20.670286999999998</v>
      </c>
      <c r="D25" s="8">
        <v>-33.324421999999998</v>
      </c>
      <c r="E25" s="38"/>
    </row>
    <row r="26" spans="1:5" x14ac:dyDescent="0.35">
      <c r="A26" s="5" t="s">
        <v>60</v>
      </c>
      <c r="B26" s="7" t="s">
        <v>51</v>
      </c>
      <c r="C26" s="6">
        <v>5.2333854999999998</v>
      </c>
      <c r="D26" s="6">
        <v>-3.0586644999999999</v>
      </c>
      <c r="E26" s="38"/>
    </row>
    <row r="27" spans="1:5" x14ac:dyDescent="0.35">
      <c r="A27" s="21" t="s">
        <v>28</v>
      </c>
      <c r="B27" s="22" t="s">
        <v>23</v>
      </c>
      <c r="C27" s="8">
        <v>7.4521620000000004</v>
      </c>
      <c r="D27" s="8">
        <v>-30.965005000000001</v>
      </c>
      <c r="E27" s="38"/>
    </row>
    <row r="28" spans="1:5" x14ac:dyDescent="0.35">
      <c r="A28" s="5" t="s">
        <v>65</v>
      </c>
      <c r="B28" s="7" t="s">
        <v>59</v>
      </c>
      <c r="C28" s="6">
        <v>4.0288950000000003</v>
      </c>
      <c r="D28" s="6">
        <v>-2.4430689999999999</v>
      </c>
      <c r="E28" s="38"/>
    </row>
    <row r="29" spans="1:5" x14ac:dyDescent="0.35">
      <c r="A29" s="21" t="s">
        <v>46</v>
      </c>
      <c r="B29" s="22" t="s">
        <v>43</v>
      </c>
      <c r="C29" s="8">
        <v>2.7170000000000001</v>
      </c>
      <c r="D29" s="8">
        <v>5.6355000000000002E-2</v>
      </c>
      <c r="E29" s="38"/>
    </row>
    <row r="30" spans="1:5" x14ac:dyDescent="0.35">
      <c r="A30" s="5" t="s">
        <v>44</v>
      </c>
      <c r="B30" s="7" t="s">
        <v>41</v>
      </c>
      <c r="C30" s="6">
        <v>1.009136</v>
      </c>
      <c r="D30" s="6">
        <v>-1.4144190000000001</v>
      </c>
      <c r="E30" s="38"/>
    </row>
    <row r="31" spans="1:5" ht="15" thickBot="1" x14ac:dyDescent="0.4">
      <c r="A31" s="21" t="s">
        <v>61</v>
      </c>
      <c r="B31" s="22" t="s">
        <v>53</v>
      </c>
      <c r="C31" s="8">
        <v>45.134256000000001</v>
      </c>
      <c r="D31" s="8">
        <v>-17.596114</v>
      </c>
      <c r="E31" s="38"/>
    </row>
    <row r="32" spans="1:5" ht="21" customHeight="1" thickBot="1" x14ac:dyDescent="0.4">
      <c r="A32" s="88" t="s">
        <v>66</v>
      </c>
      <c r="B32" s="89"/>
      <c r="C32" s="58">
        <f>SUM(C2:C31)</f>
        <v>37.791019796163226</v>
      </c>
      <c r="D32" s="59">
        <f>SUM(D2:D31)</f>
        <v>-214.79330617556323</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17 March 2025</v>
      </c>
      <c r="B1" s="16" t="s">
        <v>1</v>
      </c>
      <c r="C1" s="47" t="s">
        <v>96</v>
      </c>
      <c r="D1" s="17" t="s">
        <v>95</v>
      </c>
      <c r="E1" s="17" t="s">
        <v>250</v>
      </c>
      <c r="F1" s="17" t="s">
        <v>97</v>
      </c>
      <c r="G1" s="52"/>
      <c r="I1" s="78"/>
      <c r="J1" s="78"/>
      <c r="L1" s="78"/>
      <c r="M1" s="78"/>
      <c r="N1" s="78"/>
    </row>
    <row r="2" spans="1:17" x14ac:dyDescent="0.35">
      <c r="A2" s="18" t="s">
        <v>26</v>
      </c>
      <c r="B2" s="19" t="s">
        <v>21</v>
      </c>
      <c r="C2" s="53">
        <v>209.8817636796</v>
      </c>
      <c r="D2" s="53">
        <v>-675.02361900000005</v>
      </c>
      <c r="E2" s="53">
        <v>-79.451117999999994</v>
      </c>
      <c r="F2" s="20" t="s">
        <v>13</v>
      </c>
      <c r="G2" s="52"/>
      <c r="I2" s="78"/>
      <c r="K2" s="52"/>
      <c r="L2" s="78"/>
      <c r="M2" s="78"/>
      <c r="N2" s="78"/>
      <c r="O2" s="73"/>
      <c r="P2" s="73"/>
      <c r="Q2" s="73"/>
    </row>
    <row r="3" spans="1:17" x14ac:dyDescent="0.35">
      <c r="A3" s="21" t="s">
        <v>146</v>
      </c>
      <c r="B3" s="22" t="s">
        <v>22</v>
      </c>
      <c r="C3" s="54">
        <v>99.654132206563631</v>
      </c>
      <c r="D3" s="54">
        <v>-565.7348336</v>
      </c>
      <c r="E3" s="54">
        <v>-20.144116</v>
      </c>
      <c r="F3" s="8" t="s">
        <v>13</v>
      </c>
      <c r="G3" s="52"/>
      <c r="I3" s="78"/>
      <c r="K3" s="52"/>
      <c r="L3" s="78"/>
      <c r="M3" s="78"/>
      <c r="N3" s="78"/>
      <c r="O3" s="73"/>
      <c r="P3" s="73"/>
      <c r="Q3" s="73"/>
    </row>
    <row r="4" spans="1:17" x14ac:dyDescent="0.35">
      <c r="A4" s="5" t="s">
        <v>28</v>
      </c>
      <c r="B4" s="7" t="s">
        <v>23</v>
      </c>
      <c r="C4" s="55">
        <v>96.819671451600001</v>
      </c>
      <c r="D4" s="55">
        <v>-96.650660999999999</v>
      </c>
      <c r="E4" s="55">
        <v>7.4521620000000004</v>
      </c>
      <c r="F4" s="6" t="s">
        <v>13</v>
      </c>
      <c r="G4" s="52"/>
      <c r="I4" s="78"/>
      <c r="K4" s="52"/>
      <c r="L4" s="78"/>
      <c r="M4" s="78"/>
      <c r="N4" s="78"/>
      <c r="O4" s="73"/>
      <c r="P4" s="73"/>
      <c r="Q4" s="73"/>
    </row>
    <row r="5" spans="1:17" x14ac:dyDescent="0.35">
      <c r="A5" s="21" t="s">
        <v>49</v>
      </c>
      <c r="B5" s="22" t="s">
        <v>47</v>
      </c>
      <c r="C5" s="54">
        <v>78.570052410909099</v>
      </c>
      <c r="D5" s="54">
        <v>195.08677710000001</v>
      </c>
      <c r="E5" s="54">
        <v>-20.670286999999998</v>
      </c>
      <c r="F5" s="8" t="s">
        <v>142</v>
      </c>
      <c r="G5" s="52"/>
      <c r="I5" s="78"/>
      <c r="K5" s="52"/>
      <c r="L5" s="78"/>
      <c r="M5" s="78"/>
      <c r="N5" s="78"/>
      <c r="O5" s="73"/>
      <c r="P5" s="73"/>
      <c r="Q5" s="73"/>
    </row>
    <row r="6" spans="1:17" x14ac:dyDescent="0.35">
      <c r="A6" s="5" t="s">
        <v>149</v>
      </c>
      <c r="B6" s="7" t="s">
        <v>53</v>
      </c>
      <c r="C6" s="55">
        <v>76.06578756336728</v>
      </c>
      <c r="D6" s="55">
        <v>-97.003152</v>
      </c>
      <c r="E6" s="55">
        <v>45.134256000000001</v>
      </c>
      <c r="F6" s="6" t="s">
        <v>14</v>
      </c>
      <c r="G6" s="52"/>
      <c r="I6" s="78"/>
      <c r="K6" s="52"/>
      <c r="L6" s="78"/>
      <c r="M6" s="78"/>
      <c r="N6" s="78"/>
      <c r="O6" s="73"/>
      <c r="P6" s="73"/>
      <c r="Q6" s="73"/>
    </row>
    <row r="7" spans="1:17" x14ac:dyDescent="0.35">
      <c r="A7" s="21" t="s">
        <v>229</v>
      </c>
      <c r="B7" s="22" t="s">
        <v>215</v>
      </c>
      <c r="C7" s="54">
        <v>54.244102309090913</v>
      </c>
      <c r="D7" s="54">
        <v>17.605785000000001</v>
      </c>
      <c r="E7" s="54">
        <v>-5.5100999999999997E-2</v>
      </c>
      <c r="F7" s="8" t="s">
        <v>14</v>
      </c>
      <c r="G7" s="52"/>
      <c r="I7" s="78"/>
      <c r="K7" s="52"/>
      <c r="L7" s="78"/>
      <c r="M7" s="78"/>
      <c r="N7" s="78"/>
      <c r="O7" s="73"/>
      <c r="P7" s="73"/>
      <c r="Q7" s="73"/>
    </row>
    <row r="8" spans="1:17" x14ac:dyDescent="0.35">
      <c r="A8" s="5" t="s">
        <v>147</v>
      </c>
      <c r="B8" s="7" t="s">
        <v>56</v>
      </c>
      <c r="C8" s="55">
        <v>49.17351059721819</v>
      </c>
      <c r="D8" s="55">
        <v>24.438158000000001</v>
      </c>
      <c r="E8" s="55">
        <v>-29.295139500000001</v>
      </c>
      <c r="F8" s="6" t="s">
        <v>17</v>
      </c>
      <c r="G8" s="52"/>
      <c r="I8" s="78"/>
      <c r="K8" s="52"/>
      <c r="L8" s="78"/>
      <c r="M8" s="78"/>
      <c r="N8" s="78"/>
      <c r="O8" s="73"/>
      <c r="P8" s="73"/>
      <c r="Q8" s="73"/>
    </row>
    <row r="9" spans="1:17" x14ac:dyDescent="0.35">
      <c r="A9" s="21" t="s">
        <v>39</v>
      </c>
      <c r="B9" s="22" t="s">
        <v>37</v>
      </c>
      <c r="C9" s="54">
        <v>40.401940753818174</v>
      </c>
      <c r="D9" s="54">
        <v>158.90738899999999</v>
      </c>
      <c r="E9" s="54">
        <v>14.685306000000001</v>
      </c>
      <c r="F9" s="8" t="s">
        <v>14</v>
      </c>
      <c r="G9" s="52"/>
      <c r="I9" s="78"/>
      <c r="K9" s="52"/>
      <c r="L9" s="78"/>
      <c r="M9" s="78"/>
      <c r="N9" s="78"/>
      <c r="O9" s="73"/>
      <c r="P9" s="73"/>
      <c r="Q9" s="73"/>
    </row>
    <row r="10" spans="1:17" x14ac:dyDescent="0.35">
      <c r="A10" s="5" t="s">
        <v>29</v>
      </c>
      <c r="B10" s="7" t="s">
        <v>24</v>
      </c>
      <c r="C10" s="55">
        <v>36.833022277363646</v>
      </c>
      <c r="D10" s="55">
        <v>19.680627999999999</v>
      </c>
      <c r="E10" s="55">
        <v>-2.179535</v>
      </c>
      <c r="F10" s="6" t="s">
        <v>13</v>
      </c>
      <c r="G10" s="52"/>
      <c r="I10" s="78"/>
      <c r="K10" s="52"/>
      <c r="L10" s="78"/>
      <c r="M10" s="78"/>
      <c r="N10" s="78"/>
      <c r="O10" s="73"/>
      <c r="P10" s="73"/>
      <c r="Q10" s="73"/>
    </row>
    <row r="11" spans="1:17" x14ac:dyDescent="0.35">
      <c r="A11" s="21" t="s">
        <v>33</v>
      </c>
      <c r="B11" s="22" t="s">
        <v>31</v>
      </c>
      <c r="C11" s="54">
        <v>33.267990190363641</v>
      </c>
      <c r="D11" s="54">
        <v>212.964517</v>
      </c>
      <c r="E11" s="54">
        <v>14.694743000000001</v>
      </c>
      <c r="F11" s="8" t="s">
        <v>14</v>
      </c>
      <c r="G11" s="52"/>
      <c r="I11" s="78"/>
      <c r="K11" s="52"/>
      <c r="L11" s="78"/>
      <c r="M11" s="78"/>
      <c r="N11" s="78"/>
      <c r="O11" s="73"/>
      <c r="P11" s="73"/>
      <c r="Q11" s="73"/>
    </row>
    <row r="12" spans="1:17" x14ac:dyDescent="0.35">
      <c r="A12" s="5" t="s">
        <v>148</v>
      </c>
      <c r="B12" s="7" t="s">
        <v>25</v>
      </c>
      <c r="C12" s="55">
        <v>32.542518084363643</v>
      </c>
      <c r="D12" s="55">
        <v>-40.450938999999998</v>
      </c>
      <c r="E12" s="55">
        <v>42.71893</v>
      </c>
      <c r="F12" s="6" t="s">
        <v>17</v>
      </c>
      <c r="G12" s="52"/>
      <c r="I12" s="78"/>
      <c r="K12" s="52"/>
      <c r="L12" s="78"/>
      <c r="M12" s="78"/>
      <c r="N12" s="78"/>
      <c r="O12" s="73"/>
      <c r="P12" s="73"/>
      <c r="Q12" s="73"/>
    </row>
    <row r="13" spans="1:17" x14ac:dyDescent="0.35">
      <c r="A13" s="21" t="s">
        <v>150</v>
      </c>
      <c r="B13" s="22" t="s">
        <v>83</v>
      </c>
      <c r="C13" s="54">
        <v>27.84528957927272</v>
      </c>
      <c r="D13" s="54">
        <v>-116.180196</v>
      </c>
      <c r="E13" s="54">
        <v>5.0354609999999997</v>
      </c>
      <c r="F13" s="8" t="s">
        <v>13</v>
      </c>
      <c r="G13" s="52"/>
      <c r="I13" s="78"/>
      <c r="K13" s="52"/>
      <c r="L13" s="78"/>
      <c r="M13" s="78"/>
      <c r="N13" s="78"/>
      <c r="O13" s="73"/>
      <c r="P13" s="73"/>
      <c r="Q13" s="73"/>
    </row>
    <row r="14" spans="1:17" x14ac:dyDescent="0.35">
      <c r="A14" s="5" t="s">
        <v>151</v>
      </c>
      <c r="B14" s="7" t="s">
        <v>38</v>
      </c>
      <c r="C14" s="55">
        <v>24.481066712727269</v>
      </c>
      <c r="D14" s="55">
        <v>10.294456500000001</v>
      </c>
      <c r="E14" s="55">
        <v>17.124110999999999</v>
      </c>
      <c r="F14" s="6" t="s">
        <v>17</v>
      </c>
      <c r="G14" s="52"/>
      <c r="I14" s="78"/>
      <c r="K14" s="52"/>
      <c r="L14" s="78"/>
      <c r="M14" s="78"/>
      <c r="N14" s="78"/>
      <c r="O14" s="73"/>
      <c r="P14" s="73"/>
      <c r="Q14" s="73"/>
    </row>
    <row r="15" spans="1:17" x14ac:dyDescent="0.35">
      <c r="A15" s="21" t="s">
        <v>152</v>
      </c>
      <c r="B15" s="22" t="s">
        <v>35</v>
      </c>
      <c r="C15" s="54">
        <v>22.520516684</v>
      </c>
      <c r="D15" s="54">
        <v>-23.149217</v>
      </c>
      <c r="E15" s="54">
        <v>1.4787235000000001</v>
      </c>
      <c r="F15" s="8" t="s">
        <v>10</v>
      </c>
      <c r="G15" s="52"/>
      <c r="I15" s="78"/>
      <c r="K15" s="52"/>
      <c r="L15" s="78"/>
      <c r="M15" s="78"/>
      <c r="N15" s="78"/>
      <c r="O15" s="73"/>
      <c r="P15" s="73"/>
      <c r="Q15" s="73"/>
    </row>
    <row r="16" spans="1:17" x14ac:dyDescent="0.35">
      <c r="A16" s="5" t="s">
        <v>137</v>
      </c>
      <c r="B16" s="7" t="s">
        <v>32</v>
      </c>
      <c r="C16" s="55">
        <v>22.225303605454549</v>
      </c>
      <c r="D16" s="55">
        <v>-28.626860000000001</v>
      </c>
      <c r="E16" s="55">
        <v>9.3715299999999999</v>
      </c>
      <c r="F16" s="6" t="s">
        <v>14</v>
      </c>
      <c r="G16" s="52"/>
      <c r="I16" s="78"/>
      <c r="K16" s="52"/>
      <c r="L16" s="78"/>
      <c r="M16" s="78"/>
      <c r="N16" s="78"/>
      <c r="O16" s="73"/>
      <c r="P16" s="73"/>
      <c r="Q16" s="73"/>
    </row>
    <row r="17" spans="1:17" x14ac:dyDescent="0.35">
      <c r="A17" s="21" t="s">
        <v>156</v>
      </c>
      <c r="B17" s="22" t="s">
        <v>42</v>
      </c>
      <c r="C17" s="54">
        <v>22.15286061436364</v>
      </c>
      <c r="D17" s="54">
        <v>79.679762999999994</v>
      </c>
      <c r="E17" s="54">
        <v>18.741543</v>
      </c>
      <c r="F17" s="8" t="s">
        <v>19</v>
      </c>
      <c r="G17" s="52"/>
      <c r="I17" s="78"/>
      <c r="K17" s="52"/>
      <c r="L17" s="78"/>
      <c r="M17" s="78"/>
      <c r="N17" s="78"/>
      <c r="O17" s="73"/>
      <c r="P17" s="73"/>
      <c r="Q17" s="73"/>
    </row>
    <row r="18" spans="1:17" x14ac:dyDescent="0.35">
      <c r="A18" s="5" t="s">
        <v>157</v>
      </c>
      <c r="B18" s="7" t="s">
        <v>74</v>
      </c>
      <c r="C18" s="55">
        <v>21.288274512727273</v>
      </c>
      <c r="D18" s="55">
        <v>-155.461714</v>
      </c>
      <c r="E18" s="55">
        <v>1.9742299999999999</v>
      </c>
      <c r="F18" s="6" t="s">
        <v>17</v>
      </c>
      <c r="G18" s="52"/>
      <c r="I18" s="78"/>
      <c r="K18" s="52"/>
      <c r="L18" s="78"/>
      <c r="M18" s="78"/>
      <c r="N18" s="78"/>
      <c r="O18" s="73"/>
      <c r="P18" s="73"/>
      <c r="Q18" s="73"/>
    </row>
    <row r="19" spans="1:17" x14ac:dyDescent="0.35">
      <c r="A19" s="21" t="s">
        <v>153</v>
      </c>
      <c r="B19" s="22" t="s">
        <v>76</v>
      </c>
      <c r="C19" s="54">
        <v>20.044374495454552</v>
      </c>
      <c r="D19" s="54">
        <v>-33.223882000000003</v>
      </c>
      <c r="E19" s="54">
        <v>-3.6815570000000002</v>
      </c>
      <c r="F19" s="8" t="s">
        <v>17</v>
      </c>
      <c r="G19" s="52"/>
      <c r="I19" s="78"/>
      <c r="K19" s="52"/>
      <c r="L19" s="78"/>
      <c r="M19" s="78"/>
      <c r="N19" s="78"/>
      <c r="O19" s="73"/>
      <c r="P19" s="73"/>
      <c r="Q19" s="73"/>
    </row>
    <row r="20" spans="1:17" x14ac:dyDescent="0.35">
      <c r="A20" s="5" t="s">
        <v>34</v>
      </c>
      <c r="B20" s="7" t="s">
        <v>30</v>
      </c>
      <c r="C20" s="55">
        <v>17.172484178181818</v>
      </c>
      <c r="D20" s="55">
        <v>-161.06013899999999</v>
      </c>
      <c r="E20" s="55">
        <v>-6.2892669999999997</v>
      </c>
      <c r="F20" s="6" t="s">
        <v>14</v>
      </c>
      <c r="G20" s="52"/>
      <c r="I20" s="78"/>
      <c r="K20" s="52"/>
      <c r="L20" s="78"/>
      <c r="M20" s="78"/>
      <c r="N20" s="78"/>
      <c r="O20" s="73"/>
      <c r="P20" s="73"/>
      <c r="Q20" s="73"/>
    </row>
    <row r="21" spans="1:17" x14ac:dyDescent="0.35">
      <c r="A21" s="21" t="s">
        <v>155</v>
      </c>
      <c r="B21" s="22" t="s">
        <v>41</v>
      </c>
      <c r="C21" s="54">
        <v>15.914425750909089</v>
      </c>
      <c r="D21" s="54">
        <v>51.567596000000002</v>
      </c>
      <c r="E21" s="54">
        <v>1.009136</v>
      </c>
      <c r="F21" s="8" t="s">
        <v>11</v>
      </c>
      <c r="G21" s="52"/>
      <c r="I21" s="78"/>
      <c r="K21" s="52"/>
      <c r="L21" s="78"/>
      <c r="M21" s="78"/>
      <c r="N21" s="78"/>
      <c r="O21" s="73"/>
      <c r="P21" s="73"/>
      <c r="Q21" s="73"/>
    </row>
    <row r="22" spans="1:17" x14ac:dyDescent="0.35">
      <c r="A22" s="5" t="s">
        <v>190</v>
      </c>
      <c r="B22" s="7" t="s">
        <v>108</v>
      </c>
      <c r="C22" s="55">
        <v>15.36177262727273</v>
      </c>
      <c r="D22" s="55">
        <v>102.185013</v>
      </c>
      <c r="E22" s="55">
        <v>10.0822585</v>
      </c>
      <c r="F22" s="6" t="s">
        <v>13</v>
      </c>
      <c r="G22" s="52"/>
      <c r="I22" s="78"/>
      <c r="K22" s="52"/>
      <c r="L22" s="78"/>
      <c r="M22" s="78"/>
      <c r="N22" s="78"/>
      <c r="O22" s="73"/>
      <c r="P22" s="73"/>
      <c r="Q22" s="73"/>
    </row>
    <row r="23" spans="1:17" x14ac:dyDescent="0.35">
      <c r="A23" s="21" t="s">
        <v>167</v>
      </c>
      <c r="B23" s="22" t="s">
        <v>55</v>
      </c>
      <c r="C23" s="54">
        <v>15.21616746568982</v>
      </c>
      <c r="D23" s="54">
        <v>-11.942587641399999</v>
      </c>
      <c r="E23" s="54">
        <v>-9.5306389512000003</v>
      </c>
      <c r="F23" s="8" t="s">
        <v>16</v>
      </c>
      <c r="G23" s="52"/>
      <c r="I23" s="78"/>
      <c r="K23" s="52"/>
      <c r="L23" s="78"/>
      <c r="M23" s="78"/>
      <c r="N23" s="78"/>
      <c r="O23" s="73"/>
      <c r="P23" s="73"/>
      <c r="Q23" s="73"/>
    </row>
    <row r="24" spans="1:17" x14ac:dyDescent="0.35">
      <c r="A24" s="5" t="s">
        <v>158</v>
      </c>
      <c r="B24" s="7" t="s">
        <v>58</v>
      </c>
      <c r="C24" s="55">
        <v>13.57390790727273</v>
      </c>
      <c r="D24" s="55">
        <v>-14.631188999999999</v>
      </c>
      <c r="E24" s="55">
        <v>2.4803380000000002</v>
      </c>
      <c r="F24" s="6" t="s">
        <v>17</v>
      </c>
      <c r="G24" s="52"/>
      <c r="I24" s="78"/>
      <c r="K24" s="52"/>
      <c r="L24" s="78"/>
      <c r="M24" s="78"/>
      <c r="N24" s="78"/>
      <c r="O24" s="73"/>
      <c r="P24" s="73"/>
      <c r="Q24" s="73"/>
    </row>
    <row r="25" spans="1:17" x14ac:dyDescent="0.35">
      <c r="A25" s="21" t="s">
        <v>166</v>
      </c>
      <c r="B25" s="22" t="s">
        <v>78</v>
      </c>
      <c r="C25" s="54">
        <v>13.132444309090911</v>
      </c>
      <c r="D25" s="54">
        <v>-18.867970499999998</v>
      </c>
      <c r="E25" s="54">
        <v>2.3165244999999999</v>
      </c>
      <c r="F25" s="8" t="s">
        <v>17</v>
      </c>
      <c r="G25" s="52"/>
      <c r="I25" s="78"/>
      <c r="K25" s="52"/>
      <c r="L25" s="78"/>
      <c r="M25" s="78"/>
      <c r="N25" s="78"/>
      <c r="O25" s="73"/>
      <c r="P25" s="73"/>
      <c r="Q25" s="73"/>
    </row>
    <row r="26" spans="1:17" x14ac:dyDescent="0.35">
      <c r="A26" s="5" t="s">
        <v>154</v>
      </c>
      <c r="B26" s="7" t="s">
        <v>52</v>
      </c>
      <c r="C26" s="55">
        <v>11.873931133112102</v>
      </c>
      <c r="D26" s="55">
        <v>23.985683392363203</v>
      </c>
      <c r="E26" s="55">
        <v>14.368837052263201</v>
      </c>
      <c r="F26" s="6" t="s">
        <v>14</v>
      </c>
      <c r="G26" s="52"/>
      <c r="I26" s="78"/>
      <c r="K26" s="52"/>
      <c r="L26" s="78"/>
      <c r="M26" s="78"/>
      <c r="N26" s="78"/>
      <c r="O26" s="73"/>
      <c r="P26" s="73"/>
      <c r="Q26" s="73"/>
    </row>
    <row r="27" spans="1:17" x14ac:dyDescent="0.35">
      <c r="A27" s="21" t="s">
        <v>130</v>
      </c>
      <c r="B27" s="22" t="s">
        <v>102</v>
      </c>
      <c r="C27" s="54">
        <v>10.795602720000002</v>
      </c>
      <c r="D27" s="54">
        <v>-13.661327999999999</v>
      </c>
      <c r="E27" s="54">
        <v>8.0259660000000004</v>
      </c>
      <c r="F27" s="8" t="s">
        <v>14</v>
      </c>
      <c r="G27" s="52"/>
      <c r="I27" s="78"/>
      <c r="K27" s="52"/>
      <c r="L27" s="78"/>
      <c r="M27" s="78"/>
      <c r="N27" s="78"/>
      <c r="O27" s="73"/>
      <c r="P27" s="73"/>
      <c r="Q27" s="73"/>
    </row>
    <row r="28" spans="1:17" x14ac:dyDescent="0.35">
      <c r="A28" s="5" t="s">
        <v>159</v>
      </c>
      <c r="B28" s="7" t="s">
        <v>51</v>
      </c>
      <c r="C28" s="55">
        <v>10.785524584545451</v>
      </c>
      <c r="D28" s="55">
        <v>13.033917650000001</v>
      </c>
      <c r="E28" s="55">
        <v>5.2333854999999998</v>
      </c>
      <c r="F28" s="6" t="s">
        <v>11</v>
      </c>
      <c r="G28" s="52"/>
      <c r="I28" s="78"/>
      <c r="K28" s="52"/>
      <c r="L28" s="78"/>
      <c r="M28" s="78"/>
      <c r="N28" s="78"/>
      <c r="O28" s="73"/>
      <c r="P28" s="73"/>
      <c r="Q28" s="73"/>
    </row>
    <row r="29" spans="1:17" x14ac:dyDescent="0.35">
      <c r="A29" s="21" t="s">
        <v>168</v>
      </c>
      <c r="B29" s="22" t="s">
        <v>87</v>
      </c>
      <c r="C29" s="54">
        <v>9.233455631</v>
      </c>
      <c r="D29" s="54">
        <v>39.290818000000002</v>
      </c>
      <c r="E29" s="54">
        <v>2.7610739999999998</v>
      </c>
      <c r="F29" s="8" t="s">
        <v>17</v>
      </c>
      <c r="G29" s="52"/>
      <c r="I29" s="78"/>
      <c r="K29" s="52"/>
      <c r="L29" s="78"/>
      <c r="M29" s="78"/>
      <c r="N29" s="78"/>
      <c r="O29" s="73"/>
      <c r="P29" s="73"/>
      <c r="Q29" s="73"/>
    </row>
    <row r="30" spans="1:17" x14ac:dyDescent="0.35">
      <c r="A30" s="5" t="s">
        <v>164</v>
      </c>
      <c r="B30" s="7" t="s">
        <v>98</v>
      </c>
      <c r="C30" s="55">
        <v>8.6695565327272739</v>
      </c>
      <c r="D30" s="55">
        <v>-39.969653000000001</v>
      </c>
      <c r="E30" s="55">
        <v>3.0025854999999999</v>
      </c>
      <c r="F30" s="6" t="s">
        <v>17</v>
      </c>
      <c r="G30" s="52"/>
      <c r="I30" s="78"/>
      <c r="K30" s="52"/>
      <c r="L30" s="78"/>
      <c r="M30" s="78"/>
      <c r="N30" s="78"/>
      <c r="O30" s="73"/>
      <c r="P30" s="73"/>
      <c r="Q30" s="73"/>
    </row>
    <row r="31" spans="1:17" x14ac:dyDescent="0.35">
      <c r="A31" s="21" t="s">
        <v>163</v>
      </c>
      <c r="B31" s="22" t="s">
        <v>43</v>
      </c>
      <c r="C31" s="54">
        <v>8.3722306236363639</v>
      </c>
      <c r="D31" s="54">
        <v>-51.238512999999998</v>
      </c>
      <c r="E31" s="54">
        <v>2.7170000000000001</v>
      </c>
      <c r="F31" s="8" t="s">
        <v>143</v>
      </c>
      <c r="G31" s="52"/>
      <c r="I31" s="78"/>
      <c r="K31" s="52"/>
      <c r="L31" s="78"/>
      <c r="M31" s="78"/>
      <c r="N31" s="78"/>
      <c r="O31" s="73"/>
      <c r="P31" s="73"/>
      <c r="Q31" s="73"/>
    </row>
    <row r="32" spans="1:17" x14ac:dyDescent="0.35">
      <c r="A32" s="5" t="s">
        <v>162</v>
      </c>
      <c r="B32" s="7" t="s">
        <v>54</v>
      </c>
      <c r="C32" s="55">
        <v>8.354014739636364</v>
      </c>
      <c r="D32" s="55">
        <v>-37.188347999999998</v>
      </c>
      <c r="E32" s="55">
        <v>-2.16248</v>
      </c>
      <c r="F32" s="6" t="s">
        <v>16</v>
      </c>
      <c r="G32" s="52"/>
      <c r="I32" s="78"/>
      <c r="K32" s="52"/>
      <c r="L32" s="78"/>
      <c r="M32" s="78"/>
      <c r="N32" s="78"/>
      <c r="O32" s="73"/>
      <c r="P32" s="73"/>
      <c r="Q32" s="73"/>
    </row>
    <row r="33" spans="1:17" x14ac:dyDescent="0.35">
      <c r="A33" s="21" t="s">
        <v>165</v>
      </c>
      <c r="B33" s="22" t="s">
        <v>105</v>
      </c>
      <c r="C33" s="54">
        <v>8.2714769818181821</v>
      </c>
      <c r="D33" s="54">
        <v>-38.278619999999997</v>
      </c>
      <c r="E33" s="54">
        <v>-1.7045589999999999</v>
      </c>
      <c r="F33" s="8" t="s">
        <v>17</v>
      </c>
      <c r="G33" s="52"/>
      <c r="I33" s="78"/>
      <c r="K33" s="52"/>
      <c r="L33" s="78"/>
      <c r="M33" s="78"/>
      <c r="N33" s="78"/>
      <c r="O33" s="73"/>
      <c r="P33" s="73"/>
      <c r="Q33" s="73"/>
    </row>
    <row r="34" spans="1:17" x14ac:dyDescent="0.35">
      <c r="A34" s="5" t="s">
        <v>161</v>
      </c>
      <c r="B34" s="7" t="s">
        <v>59</v>
      </c>
      <c r="C34" s="55">
        <v>7.7026419876363628</v>
      </c>
      <c r="D34" s="55">
        <v>2.0269170000000001</v>
      </c>
      <c r="E34" s="55">
        <v>4.0288950000000003</v>
      </c>
      <c r="F34" s="6" t="s">
        <v>16</v>
      </c>
      <c r="G34" s="52"/>
      <c r="I34" s="78"/>
      <c r="K34" s="52"/>
      <c r="L34" s="78"/>
      <c r="M34" s="78"/>
      <c r="N34" s="78"/>
      <c r="O34" s="73"/>
      <c r="P34" s="73"/>
      <c r="Q34" s="73"/>
    </row>
    <row r="35" spans="1:17" x14ac:dyDescent="0.35">
      <c r="A35" s="21" t="s">
        <v>175</v>
      </c>
      <c r="B35" s="22" t="s">
        <v>119</v>
      </c>
      <c r="C35" s="54">
        <v>7.5706924545454539</v>
      </c>
      <c r="D35" s="54">
        <v>28.434522999999999</v>
      </c>
      <c r="E35" s="54">
        <v>-6.5911439999999999</v>
      </c>
      <c r="F35" s="8" t="s">
        <v>143</v>
      </c>
      <c r="G35" s="52"/>
      <c r="I35" s="78"/>
      <c r="K35" s="52"/>
      <c r="L35" s="78"/>
      <c r="M35" s="78"/>
      <c r="N35" s="78"/>
      <c r="O35" s="73"/>
      <c r="P35" s="73"/>
      <c r="Q35" s="73"/>
    </row>
    <row r="36" spans="1:17" x14ac:dyDescent="0.35">
      <c r="A36" s="5" t="s">
        <v>160</v>
      </c>
      <c r="B36" s="7" t="s">
        <v>48</v>
      </c>
      <c r="C36" s="55">
        <v>7.0291976054545442</v>
      </c>
      <c r="D36" s="55">
        <v>-41.380133999999998</v>
      </c>
      <c r="E36" s="55">
        <v>-1.585707</v>
      </c>
      <c r="F36" s="6" t="s">
        <v>10</v>
      </c>
      <c r="G36" s="52"/>
      <c r="I36" s="78"/>
      <c r="K36" s="52"/>
      <c r="L36" s="78"/>
      <c r="M36" s="78"/>
      <c r="N36" s="78"/>
      <c r="O36" s="73"/>
      <c r="P36" s="73"/>
      <c r="Q36" s="73"/>
    </row>
    <row r="37" spans="1:17" x14ac:dyDescent="0.35">
      <c r="A37" s="21" t="s">
        <v>169</v>
      </c>
      <c r="B37" s="22" t="s">
        <v>88</v>
      </c>
      <c r="C37" s="54">
        <v>5.6004133556618179</v>
      </c>
      <c r="D37" s="54">
        <v>-16.568138000000001</v>
      </c>
      <c r="E37" s="54">
        <v>0.172148</v>
      </c>
      <c r="F37" s="8" t="s">
        <v>143</v>
      </c>
      <c r="G37" s="52"/>
      <c r="I37" s="78"/>
      <c r="K37" s="52"/>
      <c r="L37" s="78"/>
      <c r="M37" s="78"/>
      <c r="N37" s="78"/>
      <c r="O37" s="73"/>
      <c r="P37" s="73"/>
      <c r="Q37" s="73"/>
    </row>
    <row r="38" spans="1:17" x14ac:dyDescent="0.35">
      <c r="A38" s="5" t="s">
        <v>170</v>
      </c>
      <c r="B38" s="7" t="s">
        <v>90</v>
      </c>
      <c r="C38" s="55">
        <v>5.1013780763636358</v>
      </c>
      <c r="D38" s="55">
        <v>-27.670463999999999</v>
      </c>
      <c r="E38" s="55">
        <v>-4.3225484999999999</v>
      </c>
      <c r="F38" s="6" t="s">
        <v>17</v>
      </c>
      <c r="G38" s="52"/>
      <c r="I38" s="78"/>
      <c r="K38" s="52"/>
      <c r="L38" s="78"/>
      <c r="M38" s="78"/>
      <c r="N38" s="78"/>
      <c r="O38" s="73"/>
      <c r="P38" s="73"/>
      <c r="Q38" s="73"/>
    </row>
    <row r="39" spans="1:17" x14ac:dyDescent="0.35">
      <c r="A39" s="21" t="s">
        <v>184</v>
      </c>
      <c r="B39" s="22" t="s">
        <v>117</v>
      </c>
      <c r="C39" s="54">
        <v>4.8574252720363642</v>
      </c>
      <c r="D39" s="54">
        <v>19.799583999999999</v>
      </c>
      <c r="E39" s="54">
        <v>9.3549469999999992</v>
      </c>
      <c r="F39" s="8" t="s">
        <v>17</v>
      </c>
      <c r="G39" s="52"/>
      <c r="I39" s="78"/>
      <c r="K39" s="52"/>
      <c r="L39" s="78"/>
      <c r="M39" s="78"/>
      <c r="N39" s="78"/>
      <c r="O39" s="73"/>
      <c r="P39" s="73"/>
      <c r="Q39" s="73"/>
    </row>
    <row r="40" spans="1:17" x14ac:dyDescent="0.35">
      <c r="A40" s="5" t="s">
        <v>179</v>
      </c>
      <c r="B40" s="7" t="s">
        <v>101</v>
      </c>
      <c r="C40" s="55">
        <v>4.4049564654545454</v>
      </c>
      <c r="D40" s="55">
        <v>11.954639800000001</v>
      </c>
      <c r="E40" s="55">
        <v>-3.6407660000000002</v>
      </c>
      <c r="F40" s="6" t="s">
        <v>144</v>
      </c>
      <c r="G40" s="52"/>
      <c r="I40" s="78"/>
      <c r="K40" s="52"/>
      <c r="L40" s="78"/>
      <c r="M40" s="78"/>
      <c r="N40" s="78"/>
      <c r="O40" s="73"/>
      <c r="P40" s="73"/>
      <c r="Q40" s="73"/>
    </row>
    <row r="41" spans="1:17" x14ac:dyDescent="0.35">
      <c r="A41" s="21" t="s">
        <v>177</v>
      </c>
      <c r="B41" s="22" t="s">
        <v>111</v>
      </c>
      <c r="C41" s="54">
        <v>3.4359558781818178</v>
      </c>
      <c r="D41" s="54">
        <v>-6.7180489999999997</v>
      </c>
      <c r="E41" s="54">
        <v>-2.0838994999999998</v>
      </c>
      <c r="F41" s="8" t="s">
        <v>142</v>
      </c>
      <c r="G41" s="52"/>
      <c r="I41" s="78"/>
      <c r="K41" s="52"/>
      <c r="L41" s="78"/>
      <c r="M41" s="78"/>
      <c r="N41" s="78"/>
      <c r="O41" s="73"/>
      <c r="P41" s="73"/>
      <c r="Q41" s="73"/>
    </row>
    <row r="42" spans="1:17" x14ac:dyDescent="0.35">
      <c r="A42" s="5" t="s">
        <v>225</v>
      </c>
      <c r="B42" s="7" t="s">
        <v>224</v>
      </c>
      <c r="C42" s="55">
        <v>3.385181885454545</v>
      </c>
      <c r="D42" s="55">
        <v>7.1543939999999999</v>
      </c>
      <c r="E42" s="55">
        <v>1.8980935000000001</v>
      </c>
      <c r="F42" s="6" t="s">
        <v>14</v>
      </c>
      <c r="G42" s="52"/>
      <c r="I42" s="78"/>
      <c r="K42" s="52"/>
      <c r="L42" s="78"/>
      <c r="M42" s="78"/>
      <c r="N42" s="78"/>
      <c r="O42" s="73"/>
      <c r="P42" s="73"/>
      <c r="Q42" s="73"/>
    </row>
    <row r="43" spans="1:17" x14ac:dyDescent="0.35">
      <c r="A43" s="21" t="s">
        <v>180</v>
      </c>
      <c r="B43" s="22" t="s">
        <v>113</v>
      </c>
      <c r="C43" s="54">
        <v>3.3305094290909092</v>
      </c>
      <c r="D43" s="54">
        <v>-29.991532500000002</v>
      </c>
      <c r="E43" s="54">
        <v>-2.8826999999999998E-2</v>
      </c>
      <c r="F43" s="8" t="s">
        <v>17</v>
      </c>
      <c r="G43" s="52"/>
      <c r="I43" s="78"/>
      <c r="K43" s="52"/>
      <c r="L43" s="78"/>
      <c r="M43" s="78"/>
      <c r="N43" s="78"/>
      <c r="O43" s="73"/>
      <c r="P43" s="73"/>
      <c r="Q43" s="73"/>
    </row>
    <row r="44" spans="1:17" x14ac:dyDescent="0.35">
      <c r="A44" s="5" t="s">
        <v>200</v>
      </c>
      <c r="B44" s="7" t="s">
        <v>128</v>
      </c>
      <c r="C44" s="55">
        <v>3.2700632690909099</v>
      </c>
      <c r="D44" s="55">
        <v>4.7672084999999997</v>
      </c>
      <c r="E44" s="55">
        <v>2.5235704999999999</v>
      </c>
      <c r="F44" s="6" t="s">
        <v>14</v>
      </c>
      <c r="G44" s="52"/>
      <c r="I44" s="78"/>
      <c r="K44" s="52"/>
      <c r="L44" s="78"/>
      <c r="M44" s="78"/>
      <c r="N44" s="78"/>
      <c r="O44" s="73"/>
      <c r="P44" s="73"/>
      <c r="Q44" s="73"/>
    </row>
    <row r="45" spans="1:17" x14ac:dyDescent="0.35">
      <c r="A45" s="21" t="s">
        <v>191</v>
      </c>
      <c r="B45" s="22" t="s">
        <v>109</v>
      </c>
      <c r="C45" s="54">
        <v>2.8478201290909091</v>
      </c>
      <c r="D45" s="54">
        <v>-4.9561960000000003</v>
      </c>
      <c r="E45" s="54">
        <v>-2.9462839999999999</v>
      </c>
      <c r="F45" s="8" t="s">
        <v>11</v>
      </c>
      <c r="G45" s="52"/>
      <c r="I45" s="78"/>
      <c r="K45" s="52"/>
      <c r="L45" s="78"/>
      <c r="M45" s="78"/>
      <c r="N45" s="78"/>
      <c r="O45" s="73"/>
      <c r="P45" s="73"/>
      <c r="Q45" s="73"/>
    </row>
    <row r="46" spans="1:17" x14ac:dyDescent="0.35">
      <c r="A46" s="5" t="s">
        <v>186</v>
      </c>
      <c r="B46" s="7" t="s">
        <v>100</v>
      </c>
      <c r="C46" s="55">
        <v>2.694236022727273</v>
      </c>
      <c r="D46" s="55">
        <v>-12.7098005</v>
      </c>
      <c r="E46" s="55">
        <v>-0.78954749999999996</v>
      </c>
      <c r="F46" s="6" t="s">
        <v>19</v>
      </c>
      <c r="G46" s="52"/>
      <c r="I46" s="78"/>
      <c r="K46" s="52"/>
      <c r="L46" s="78"/>
      <c r="M46" s="78"/>
      <c r="N46" s="78"/>
      <c r="O46" s="73"/>
      <c r="P46" s="73"/>
      <c r="Q46" s="73"/>
    </row>
    <row r="47" spans="1:17" x14ac:dyDescent="0.35">
      <c r="A47" s="21" t="s">
        <v>194</v>
      </c>
      <c r="B47" s="22" t="s">
        <v>127</v>
      </c>
      <c r="C47" s="54">
        <v>2.5907305363636359</v>
      </c>
      <c r="D47" s="54">
        <v>-10.3182445</v>
      </c>
      <c r="E47" s="54">
        <v>-2.1127625000000001</v>
      </c>
      <c r="F47" s="8" t="s">
        <v>16</v>
      </c>
      <c r="G47" s="52"/>
      <c r="I47" s="78"/>
      <c r="K47" s="52"/>
      <c r="L47" s="78"/>
      <c r="M47" s="78"/>
      <c r="N47" s="78"/>
      <c r="O47" s="73"/>
      <c r="P47" s="73"/>
      <c r="Q47" s="73"/>
    </row>
    <row r="48" spans="1:17" x14ac:dyDescent="0.35">
      <c r="A48" s="5" t="s">
        <v>188</v>
      </c>
      <c r="B48" s="7" t="s">
        <v>114</v>
      </c>
      <c r="C48" s="55">
        <v>2.5774359367371193</v>
      </c>
      <c r="D48" s="55">
        <v>-2.5015457938999992</v>
      </c>
      <c r="E48" s="55">
        <v>-0.29716915074999978</v>
      </c>
      <c r="F48" s="6" t="s">
        <v>17</v>
      </c>
      <c r="G48" s="52"/>
      <c r="I48" s="78"/>
      <c r="K48" s="52"/>
      <c r="L48" s="78"/>
      <c r="M48" s="78"/>
      <c r="N48" s="78"/>
      <c r="O48" s="73"/>
      <c r="P48" s="73"/>
      <c r="Q48" s="73"/>
    </row>
    <row r="49" spans="1:17" x14ac:dyDescent="0.35">
      <c r="A49" s="21" t="s">
        <v>171</v>
      </c>
      <c r="B49" s="22" t="s">
        <v>106</v>
      </c>
      <c r="C49" s="54">
        <v>2.4816135454545449</v>
      </c>
      <c r="D49" s="54">
        <v>-9.622109</v>
      </c>
      <c r="E49" s="54">
        <v>1.9608110000000001</v>
      </c>
      <c r="F49" s="8" t="s">
        <v>143</v>
      </c>
      <c r="G49" s="52"/>
      <c r="I49" s="78"/>
      <c r="K49" s="52"/>
      <c r="L49" s="78"/>
      <c r="M49" s="78"/>
      <c r="N49" s="78"/>
      <c r="O49" s="73"/>
      <c r="P49" s="73"/>
      <c r="Q49" s="73"/>
    </row>
    <row r="50" spans="1:17" x14ac:dyDescent="0.35">
      <c r="A50" s="5" t="s">
        <v>198</v>
      </c>
      <c r="B50" s="7" t="s">
        <v>94</v>
      </c>
      <c r="C50" s="55">
        <v>2.479450881818182</v>
      </c>
      <c r="D50" s="55">
        <v>-15.8848895</v>
      </c>
      <c r="E50" s="55">
        <v>1.0028030000000001</v>
      </c>
      <c r="F50" s="6" t="s">
        <v>11</v>
      </c>
      <c r="G50" s="52"/>
      <c r="I50" s="78"/>
      <c r="K50" s="52"/>
      <c r="L50" s="78"/>
      <c r="M50" s="78"/>
      <c r="N50" s="78"/>
      <c r="O50" s="73"/>
      <c r="P50" s="73"/>
      <c r="Q50" s="73"/>
    </row>
    <row r="51" spans="1:17" x14ac:dyDescent="0.35">
      <c r="A51" s="21" t="s">
        <v>181</v>
      </c>
      <c r="B51" s="22" t="s">
        <v>103</v>
      </c>
      <c r="C51" s="54">
        <v>2.4365746355090909</v>
      </c>
      <c r="D51" s="54">
        <v>-14.600296500000001</v>
      </c>
      <c r="E51" s="54">
        <v>-1.9275549999999999</v>
      </c>
      <c r="F51" s="8" t="s">
        <v>17</v>
      </c>
      <c r="G51" s="52"/>
      <c r="I51" s="78"/>
      <c r="K51" s="52"/>
      <c r="L51" s="78"/>
      <c r="M51" s="78"/>
      <c r="N51" s="78"/>
      <c r="O51" s="73"/>
      <c r="P51" s="73"/>
      <c r="Q51" s="73"/>
    </row>
    <row r="52" spans="1:17" x14ac:dyDescent="0.35">
      <c r="A52" s="5" t="s">
        <v>227</v>
      </c>
      <c r="B52" s="7" t="s">
        <v>99</v>
      </c>
      <c r="C52" s="55">
        <v>2.3484711961818179</v>
      </c>
      <c r="D52" s="55">
        <v>4.2939499999999999E-2</v>
      </c>
      <c r="E52" s="55">
        <v>3.12568</v>
      </c>
      <c r="F52" s="6" t="s">
        <v>17</v>
      </c>
      <c r="G52" s="52"/>
      <c r="I52" s="78"/>
      <c r="K52" s="52"/>
      <c r="L52" s="78"/>
      <c r="M52" s="78"/>
      <c r="N52" s="78"/>
      <c r="O52" s="73"/>
      <c r="P52" s="73"/>
      <c r="Q52" s="73"/>
    </row>
    <row r="53" spans="1:17" x14ac:dyDescent="0.35">
      <c r="A53" s="21" t="s">
        <v>172</v>
      </c>
      <c r="B53" s="22" t="s">
        <v>216</v>
      </c>
      <c r="C53" s="54">
        <v>2.3446937999999999</v>
      </c>
      <c r="D53" s="54">
        <v>17.268606999999999</v>
      </c>
      <c r="E53" s="54">
        <v>2.0813090000000001</v>
      </c>
      <c r="F53" s="8" t="s">
        <v>143</v>
      </c>
      <c r="G53" s="52"/>
      <c r="I53" s="78"/>
      <c r="K53" s="52"/>
      <c r="L53" s="78"/>
      <c r="M53" s="78"/>
      <c r="N53" s="78"/>
      <c r="O53" s="73"/>
      <c r="P53" s="73"/>
      <c r="Q53" s="73"/>
    </row>
    <row r="54" spans="1:17" x14ac:dyDescent="0.35">
      <c r="A54" s="5" t="s">
        <v>189</v>
      </c>
      <c r="B54" s="7" t="s">
        <v>89</v>
      </c>
      <c r="C54" s="55">
        <v>2.2419398181818178</v>
      </c>
      <c r="D54" s="55">
        <v>-12.426444</v>
      </c>
      <c r="E54" s="55">
        <v>-0.56703800000000004</v>
      </c>
      <c r="F54" s="6" t="s">
        <v>11</v>
      </c>
      <c r="G54" s="52"/>
      <c r="I54" s="78"/>
      <c r="K54" s="52"/>
      <c r="L54" s="78"/>
      <c r="M54" s="78"/>
      <c r="N54" s="78"/>
      <c r="O54" s="73"/>
      <c r="P54" s="73"/>
      <c r="Q54" s="73"/>
    </row>
    <row r="55" spans="1:17" x14ac:dyDescent="0.35">
      <c r="A55" s="21" t="s">
        <v>193</v>
      </c>
      <c r="B55" s="22" t="s">
        <v>125</v>
      </c>
      <c r="C55" s="54">
        <v>2.2364687863636363</v>
      </c>
      <c r="D55" s="54">
        <v>-4.0022095000000002</v>
      </c>
      <c r="E55" s="54">
        <v>-0.76081299999999996</v>
      </c>
      <c r="F55" s="8" t="s">
        <v>145</v>
      </c>
      <c r="G55" s="52"/>
      <c r="I55" s="78"/>
      <c r="K55" s="52"/>
      <c r="L55" s="78"/>
      <c r="M55" s="78"/>
      <c r="N55" s="78"/>
      <c r="O55" s="73"/>
      <c r="P55" s="73"/>
      <c r="Q55" s="73"/>
    </row>
    <row r="56" spans="1:17" x14ac:dyDescent="0.35">
      <c r="A56" s="5" t="s">
        <v>197</v>
      </c>
      <c r="B56" s="7" t="s">
        <v>110</v>
      </c>
      <c r="C56" s="55">
        <v>2.0619400545454538</v>
      </c>
      <c r="D56" s="55">
        <v>7.2092144999999999</v>
      </c>
      <c r="E56" s="55">
        <v>3.9425585000000001</v>
      </c>
      <c r="F56" s="6" t="s">
        <v>145</v>
      </c>
      <c r="G56" s="52"/>
      <c r="I56" s="78"/>
      <c r="K56" s="52"/>
      <c r="L56" s="78"/>
      <c r="M56" s="78"/>
      <c r="N56" s="78"/>
      <c r="O56" s="73"/>
      <c r="P56" s="73"/>
      <c r="Q56" s="73"/>
    </row>
    <row r="57" spans="1:17" x14ac:dyDescent="0.35">
      <c r="A57" s="21" t="s">
        <v>187</v>
      </c>
      <c r="B57" s="22" t="s">
        <v>104</v>
      </c>
      <c r="C57" s="54">
        <v>1.8984341640000002</v>
      </c>
      <c r="D57" s="54">
        <v>2.0284779999999998</v>
      </c>
      <c r="E57" s="54">
        <v>3.2788390000000001</v>
      </c>
      <c r="F57" s="8" t="s">
        <v>11</v>
      </c>
      <c r="G57" s="52"/>
      <c r="I57" s="78"/>
      <c r="K57" s="52"/>
      <c r="L57" s="78"/>
      <c r="M57" s="78"/>
      <c r="N57" s="78"/>
      <c r="O57" s="73"/>
      <c r="P57" s="73"/>
      <c r="Q57" s="73"/>
    </row>
    <row r="58" spans="1:17" x14ac:dyDescent="0.35">
      <c r="A58" s="5" t="s">
        <v>185</v>
      </c>
      <c r="B58" s="7" t="s">
        <v>57</v>
      </c>
      <c r="C58" s="55">
        <v>1.7819126812927268</v>
      </c>
      <c r="D58" s="55">
        <v>-7.7609945186999996</v>
      </c>
      <c r="E58" s="55">
        <v>0.29385669510000012</v>
      </c>
      <c r="F58" s="6" t="s">
        <v>11</v>
      </c>
      <c r="G58" s="52"/>
      <c r="I58" s="78"/>
      <c r="K58" s="52"/>
      <c r="L58" s="78"/>
      <c r="M58" s="78"/>
      <c r="N58" s="78"/>
      <c r="O58" s="73"/>
      <c r="P58" s="73"/>
      <c r="Q58" s="73"/>
    </row>
    <row r="59" spans="1:17" x14ac:dyDescent="0.35">
      <c r="A59" s="21" t="s">
        <v>204</v>
      </c>
      <c r="B59" s="22" t="s">
        <v>122</v>
      </c>
      <c r="C59" s="54">
        <v>1.7522296636363641</v>
      </c>
      <c r="D59" s="54">
        <v>8.8936089999999997</v>
      </c>
      <c r="E59" s="54">
        <v>-0.78688550000000002</v>
      </c>
      <c r="F59" s="8" t="s">
        <v>17</v>
      </c>
      <c r="G59" s="52"/>
      <c r="I59" s="78"/>
      <c r="K59" s="52"/>
      <c r="L59" s="78"/>
      <c r="M59" s="78"/>
      <c r="N59" s="78"/>
      <c r="O59" s="73"/>
      <c r="P59" s="73"/>
      <c r="Q59" s="73"/>
    </row>
    <row r="60" spans="1:17" x14ac:dyDescent="0.35">
      <c r="A60" s="5" t="s">
        <v>222</v>
      </c>
      <c r="B60" s="7" t="s">
        <v>223</v>
      </c>
      <c r="C60" s="55">
        <v>1.717757290909091</v>
      </c>
      <c r="D60" s="55">
        <v>-4.5608754999999999</v>
      </c>
      <c r="E60" s="55">
        <v>3.6696529999999998</v>
      </c>
      <c r="F60" s="6" t="s">
        <v>16</v>
      </c>
      <c r="G60" s="52"/>
      <c r="I60" s="78"/>
      <c r="K60" s="52"/>
      <c r="L60" s="78"/>
      <c r="M60" s="78"/>
      <c r="N60" s="78"/>
      <c r="O60" s="73"/>
      <c r="P60" s="73"/>
      <c r="Q60" s="73"/>
    </row>
    <row r="61" spans="1:17" x14ac:dyDescent="0.35">
      <c r="A61" s="21" t="s">
        <v>183</v>
      </c>
      <c r="B61" s="22" t="s">
        <v>112</v>
      </c>
      <c r="C61" s="54">
        <v>1.662074441695236</v>
      </c>
      <c r="D61" s="54">
        <v>0.61847503473999998</v>
      </c>
      <c r="E61" s="54">
        <v>0.74097302656000019</v>
      </c>
      <c r="F61" s="8" t="s">
        <v>10</v>
      </c>
      <c r="G61" s="52"/>
      <c r="I61" s="78"/>
      <c r="K61" s="52"/>
      <c r="L61" s="78"/>
      <c r="M61" s="78"/>
      <c r="N61" s="78"/>
      <c r="O61" s="73"/>
      <c r="P61" s="73"/>
      <c r="Q61" s="73"/>
    </row>
    <row r="62" spans="1:17" x14ac:dyDescent="0.35">
      <c r="A62" s="5" t="s">
        <v>205</v>
      </c>
      <c r="B62" s="7" t="s">
        <v>118</v>
      </c>
      <c r="C62" s="55">
        <v>1.647580092727273</v>
      </c>
      <c r="D62" s="55">
        <v>-0.91276749999999973</v>
      </c>
      <c r="E62" s="55">
        <v>-0.10994910000000001</v>
      </c>
      <c r="F62" s="6" t="s">
        <v>144</v>
      </c>
      <c r="G62" s="52"/>
      <c r="I62" s="78"/>
      <c r="K62" s="52"/>
      <c r="L62" s="78"/>
      <c r="M62" s="78"/>
      <c r="N62" s="78"/>
      <c r="O62" s="73"/>
      <c r="P62" s="73"/>
      <c r="Q62" s="73"/>
    </row>
    <row r="63" spans="1:17" x14ac:dyDescent="0.35">
      <c r="A63" s="21" t="s">
        <v>178</v>
      </c>
      <c r="B63" s="22" t="s">
        <v>93</v>
      </c>
      <c r="C63" s="54">
        <v>1.500709472727273</v>
      </c>
      <c r="D63" s="54">
        <v>-8.9256205000000008</v>
      </c>
      <c r="E63" s="54">
        <v>-1.4563695000000001</v>
      </c>
      <c r="F63" s="8" t="s">
        <v>17</v>
      </c>
      <c r="G63" s="52"/>
      <c r="I63" s="78"/>
      <c r="K63" s="52"/>
      <c r="L63" s="78"/>
      <c r="M63" s="78"/>
      <c r="N63" s="78"/>
      <c r="O63" s="73"/>
      <c r="P63" s="73"/>
      <c r="Q63" s="73"/>
    </row>
    <row r="64" spans="1:17" x14ac:dyDescent="0.35">
      <c r="A64" s="5" t="s">
        <v>195</v>
      </c>
      <c r="B64" s="7" t="s">
        <v>91</v>
      </c>
      <c r="C64" s="55">
        <v>1.456610425231091</v>
      </c>
      <c r="D64" s="55">
        <v>6.7388355796500008</v>
      </c>
      <c r="E64" s="55">
        <v>1.48277372302</v>
      </c>
      <c r="F64" s="6" t="s">
        <v>14</v>
      </c>
      <c r="G64" s="52"/>
      <c r="I64" s="78"/>
      <c r="K64" s="52"/>
      <c r="L64" s="78"/>
      <c r="M64" s="78"/>
      <c r="N64" s="78"/>
      <c r="O64" s="73"/>
      <c r="P64" s="73"/>
      <c r="Q64" s="73"/>
    </row>
    <row r="65" spans="1:17" x14ac:dyDescent="0.35">
      <c r="A65" s="21" t="s">
        <v>199</v>
      </c>
      <c r="B65" s="22" t="s">
        <v>121</v>
      </c>
      <c r="C65" s="54">
        <v>1.4557485454545449</v>
      </c>
      <c r="D65" s="54">
        <v>10.1079265</v>
      </c>
      <c r="E65" s="54">
        <v>-4.867599999999999E-2</v>
      </c>
      <c r="F65" s="8" t="s">
        <v>145</v>
      </c>
      <c r="G65" s="52"/>
      <c r="I65" s="78"/>
      <c r="K65" s="52"/>
      <c r="L65" s="78"/>
      <c r="M65" s="78"/>
      <c r="N65" s="78"/>
      <c r="O65" s="73"/>
      <c r="P65" s="73"/>
      <c r="Q65" s="73"/>
    </row>
    <row r="66" spans="1:17" x14ac:dyDescent="0.35">
      <c r="A66" s="5" t="s">
        <v>182</v>
      </c>
      <c r="B66" s="7" t="s">
        <v>115</v>
      </c>
      <c r="C66" s="55">
        <v>1.4048424272727271</v>
      </c>
      <c r="D66" s="55">
        <v>-4.6281825000000003</v>
      </c>
      <c r="E66" s="55">
        <v>1.451111</v>
      </c>
      <c r="F66" s="6" t="s">
        <v>17</v>
      </c>
      <c r="G66" s="52"/>
      <c r="I66" s="78"/>
      <c r="K66" s="52"/>
      <c r="L66" s="78"/>
      <c r="M66" s="78"/>
      <c r="N66" s="78"/>
      <c r="O66" s="73"/>
      <c r="P66" s="73"/>
      <c r="Q66" s="73"/>
    </row>
    <row r="67" spans="1:17" x14ac:dyDescent="0.35">
      <c r="A67" s="21" t="s">
        <v>209</v>
      </c>
      <c r="B67" s="22" t="s">
        <v>138</v>
      </c>
      <c r="C67" s="54">
        <v>1.372248087272727</v>
      </c>
      <c r="D67" s="54">
        <v>0.55611980000000005</v>
      </c>
      <c r="E67" s="54">
        <v>-1.7980800000000022E-2</v>
      </c>
      <c r="F67" s="8" t="s">
        <v>16</v>
      </c>
      <c r="G67" s="52"/>
      <c r="I67" s="78"/>
      <c r="K67" s="52"/>
      <c r="L67" s="78"/>
      <c r="M67" s="78"/>
      <c r="N67" s="78"/>
      <c r="O67" s="73"/>
      <c r="P67" s="73"/>
      <c r="Q67" s="73"/>
    </row>
    <row r="68" spans="1:17" x14ac:dyDescent="0.35">
      <c r="A68" s="5" t="s">
        <v>230</v>
      </c>
      <c r="B68" s="7" t="s">
        <v>228</v>
      </c>
      <c r="C68" s="55">
        <v>1.3674993272727269</v>
      </c>
      <c r="D68" s="55">
        <v>-5.9892804999999987</v>
      </c>
      <c r="E68" s="55">
        <v>-0.2097975</v>
      </c>
      <c r="F68" s="6" t="s">
        <v>17</v>
      </c>
      <c r="G68" s="52"/>
      <c r="I68" s="78"/>
      <c r="K68" s="52"/>
      <c r="L68" s="78"/>
      <c r="M68" s="78"/>
      <c r="N68" s="78"/>
      <c r="O68" s="73"/>
      <c r="P68" s="73"/>
      <c r="Q68" s="73"/>
    </row>
    <row r="69" spans="1:17" x14ac:dyDescent="0.35">
      <c r="A69" s="21" t="s">
        <v>219</v>
      </c>
      <c r="B69" s="22" t="s">
        <v>218</v>
      </c>
      <c r="C69" s="54">
        <v>1.3555786685454549</v>
      </c>
      <c r="D69" s="54">
        <v>1.8297505000000001</v>
      </c>
      <c r="E69" s="54">
        <v>2.804316</v>
      </c>
      <c r="F69" s="8" t="s">
        <v>14</v>
      </c>
      <c r="G69" s="52"/>
      <c r="I69" s="78"/>
      <c r="K69" s="52"/>
      <c r="L69" s="78"/>
      <c r="M69" s="78"/>
      <c r="N69" s="78"/>
      <c r="O69" s="73"/>
      <c r="P69" s="73"/>
      <c r="Q69" s="73"/>
    </row>
    <row r="70" spans="1:17" x14ac:dyDescent="0.35">
      <c r="A70" s="5" t="s">
        <v>242</v>
      </c>
      <c r="B70" s="7" t="s">
        <v>243</v>
      </c>
      <c r="C70" s="55">
        <v>1.270313827272727</v>
      </c>
      <c r="D70" s="55">
        <v>32.152411499999999</v>
      </c>
      <c r="E70" s="55">
        <v>2.9266904999999999</v>
      </c>
      <c r="F70" s="6" t="s">
        <v>11</v>
      </c>
      <c r="G70" s="52"/>
      <c r="I70" s="78"/>
      <c r="K70" s="52"/>
      <c r="L70" s="78"/>
      <c r="M70" s="78"/>
      <c r="N70" s="78"/>
      <c r="O70" s="73"/>
      <c r="P70" s="73"/>
      <c r="Q70" s="73"/>
    </row>
    <row r="71" spans="1:17" x14ac:dyDescent="0.35">
      <c r="A71" s="21" t="s">
        <v>208</v>
      </c>
      <c r="B71" s="22" t="s">
        <v>136</v>
      </c>
      <c r="C71" s="54">
        <v>1.2054148181818178</v>
      </c>
      <c r="D71" s="54">
        <v>12.821888</v>
      </c>
      <c r="E71" s="54">
        <v>0.2496525</v>
      </c>
      <c r="F71" s="8" t="s">
        <v>143</v>
      </c>
      <c r="G71" s="52"/>
      <c r="I71" s="78"/>
      <c r="K71" s="52"/>
      <c r="L71" s="78"/>
      <c r="M71" s="78"/>
      <c r="N71" s="78"/>
      <c r="O71" s="73"/>
      <c r="P71" s="73"/>
      <c r="Q71" s="73"/>
    </row>
    <row r="72" spans="1:17" x14ac:dyDescent="0.35">
      <c r="A72" s="5" t="s">
        <v>260</v>
      </c>
      <c r="B72" s="7" t="s">
        <v>261</v>
      </c>
      <c r="C72" s="55">
        <v>1.1298781</v>
      </c>
      <c r="D72" s="55">
        <v>-16.989000999999998</v>
      </c>
      <c r="E72" s="55">
        <v>1.102338</v>
      </c>
      <c r="F72" s="6" t="s">
        <v>11</v>
      </c>
      <c r="G72" s="52"/>
      <c r="I72" s="78"/>
      <c r="K72" s="52"/>
      <c r="L72" s="78"/>
      <c r="M72" s="78"/>
      <c r="N72" s="78"/>
      <c r="O72" s="73"/>
      <c r="P72" s="73"/>
      <c r="Q72" s="73"/>
    </row>
    <row r="73" spans="1:17" x14ac:dyDescent="0.35">
      <c r="A73" s="21" t="s">
        <v>240</v>
      </c>
      <c r="B73" s="22" t="s">
        <v>241</v>
      </c>
      <c r="C73" s="54">
        <v>1.0992539672727271</v>
      </c>
      <c r="D73" s="54">
        <v>-8.0517210000000006</v>
      </c>
      <c r="E73" s="54">
        <v>-0.754884</v>
      </c>
      <c r="F73" s="8" t="s">
        <v>145</v>
      </c>
      <c r="G73" s="52"/>
      <c r="I73" s="78"/>
      <c r="K73" s="52"/>
      <c r="L73" s="78"/>
      <c r="M73" s="78"/>
      <c r="N73" s="78"/>
      <c r="O73" s="73"/>
      <c r="P73" s="73"/>
      <c r="Q73" s="73"/>
    </row>
    <row r="74" spans="1:17" x14ac:dyDescent="0.35">
      <c r="A74" s="5" t="s">
        <v>192</v>
      </c>
      <c r="B74" s="7" t="s">
        <v>124</v>
      </c>
      <c r="C74" s="55">
        <v>1.0298124654545451</v>
      </c>
      <c r="D74" s="55">
        <v>-7.5631000000000004</v>
      </c>
      <c r="E74" s="55">
        <v>-0.76910999999999996</v>
      </c>
      <c r="F74" s="6" t="s">
        <v>142</v>
      </c>
      <c r="G74" s="52"/>
      <c r="I74" s="78"/>
      <c r="K74" s="52"/>
      <c r="L74" s="78"/>
      <c r="M74" s="78"/>
      <c r="N74" s="78"/>
      <c r="O74" s="73"/>
      <c r="P74" s="73"/>
      <c r="Q74" s="73"/>
    </row>
    <row r="75" spans="1:17" x14ac:dyDescent="0.35">
      <c r="A75" s="21" t="s">
        <v>173</v>
      </c>
      <c r="B75" s="22" t="s">
        <v>116</v>
      </c>
      <c r="C75" s="54">
        <v>1.003803881818182</v>
      </c>
      <c r="D75" s="54">
        <v>-1.5026925</v>
      </c>
      <c r="E75" s="54">
        <v>6.8939E-2</v>
      </c>
      <c r="F75" s="8" t="s">
        <v>144</v>
      </c>
      <c r="G75" s="52"/>
      <c r="I75" s="78"/>
      <c r="K75" s="52"/>
      <c r="L75" s="78"/>
      <c r="M75" s="78"/>
      <c r="N75" s="78"/>
      <c r="O75" s="73"/>
      <c r="P75" s="73"/>
      <c r="Q75" s="73"/>
    </row>
    <row r="76" spans="1:17" x14ac:dyDescent="0.35">
      <c r="A76" s="5" t="s">
        <v>244</v>
      </c>
      <c r="B76" s="7" t="s">
        <v>245</v>
      </c>
      <c r="C76" s="55">
        <v>0.98922892727272727</v>
      </c>
      <c r="D76" s="55">
        <v>-14.9405115</v>
      </c>
      <c r="E76" s="55">
        <v>-0.13010150000000001</v>
      </c>
      <c r="F76" s="6" t="s">
        <v>17</v>
      </c>
      <c r="G76" s="52"/>
      <c r="I76" s="78"/>
      <c r="K76" s="52"/>
      <c r="L76" s="78"/>
      <c r="M76" s="78"/>
      <c r="N76" s="78"/>
      <c r="O76" s="73"/>
      <c r="P76" s="73"/>
      <c r="Q76" s="73"/>
    </row>
    <row r="77" spans="1:17" x14ac:dyDescent="0.35">
      <c r="A77" s="21" t="s">
        <v>203</v>
      </c>
      <c r="B77" s="22" t="s">
        <v>126</v>
      </c>
      <c r="C77" s="54">
        <v>0.95886471514763649</v>
      </c>
      <c r="D77" s="54">
        <v>-3.6124546397099997</v>
      </c>
      <c r="E77" s="54">
        <v>0.59675053852000004</v>
      </c>
      <c r="F77" s="8" t="s">
        <v>17</v>
      </c>
      <c r="G77" s="52"/>
      <c r="I77" s="78"/>
      <c r="K77" s="52"/>
      <c r="L77" s="78"/>
      <c r="M77" s="78"/>
      <c r="N77" s="78"/>
      <c r="O77" s="73"/>
      <c r="P77" s="73"/>
      <c r="Q77" s="73"/>
    </row>
    <row r="78" spans="1:17" x14ac:dyDescent="0.35">
      <c r="A78" s="5" t="s">
        <v>174</v>
      </c>
      <c r="B78" s="7" t="s">
        <v>92</v>
      </c>
      <c r="C78" s="55">
        <v>0.95792320909090911</v>
      </c>
      <c r="D78" s="55">
        <v>4.6010000000000001E-3</v>
      </c>
      <c r="E78" s="55">
        <v>0.25553500000000001</v>
      </c>
      <c r="F78" s="6" t="s">
        <v>14</v>
      </c>
      <c r="G78" s="52"/>
      <c r="I78" s="78"/>
      <c r="K78" s="52"/>
      <c r="L78" s="78"/>
      <c r="M78" s="78"/>
      <c r="N78" s="78"/>
      <c r="O78" s="73"/>
      <c r="P78" s="73"/>
      <c r="Q78" s="73"/>
    </row>
    <row r="79" spans="1:17" x14ac:dyDescent="0.35">
      <c r="A79" s="21" t="s">
        <v>176</v>
      </c>
      <c r="B79" s="22" t="s">
        <v>107</v>
      </c>
      <c r="C79" s="54">
        <v>0.91578409999999999</v>
      </c>
      <c r="D79" s="54">
        <v>-3.6389475</v>
      </c>
      <c r="E79" s="54">
        <v>0.1144265</v>
      </c>
      <c r="F79" s="8" t="s">
        <v>143</v>
      </c>
      <c r="G79" s="52"/>
      <c r="I79" s="78"/>
      <c r="K79" s="52"/>
      <c r="L79" s="78"/>
      <c r="M79" s="78"/>
      <c r="N79" s="78"/>
      <c r="O79" s="73"/>
      <c r="P79" s="73"/>
      <c r="Q79" s="73"/>
    </row>
    <row r="80" spans="1:17" x14ac:dyDescent="0.35">
      <c r="A80" s="5" t="s">
        <v>237</v>
      </c>
      <c r="B80" s="7" t="s">
        <v>129</v>
      </c>
      <c r="C80" s="55">
        <v>0.90737298470534544</v>
      </c>
      <c r="D80" s="55">
        <v>-0.52024069029999975</v>
      </c>
      <c r="E80" s="55">
        <v>0.45820950970000002</v>
      </c>
      <c r="F80" s="6" t="s">
        <v>17</v>
      </c>
      <c r="G80" s="52"/>
      <c r="I80" s="78"/>
      <c r="K80" s="52"/>
      <c r="L80" s="78"/>
      <c r="M80" s="78"/>
      <c r="N80" s="78"/>
      <c r="O80" s="73"/>
      <c r="P80" s="73"/>
      <c r="Q80" s="73"/>
    </row>
    <row r="81" spans="1:17" x14ac:dyDescent="0.35">
      <c r="A81" s="21" t="s">
        <v>235</v>
      </c>
      <c r="B81" s="22" t="s">
        <v>236</v>
      </c>
      <c r="C81" s="54">
        <v>0.86076614545454555</v>
      </c>
      <c r="D81" s="54">
        <v>1.1179840000000001</v>
      </c>
      <c r="E81" s="54">
        <v>-6.1593999999999927E-2</v>
      </c>
      <c r="F81" s="8" t="s">
        <v>16</v>
      </c>
      <c r="G81" s="52"/>
      <c r="I81" s="78"/>
      <c r="K81" s="52"/>
      <c r="L81" s="78"/>
      <c r="M81" s="78"/>
      <c r="N81" s="78"/>
      <c r="O81" s="73"/>
      <c r="P81" s="73"/>
      <c r="Q81" s="73"/>
    </row>
    <row r="82" spans="1:17" x14ac:dyDescent="0.35">
      <c r="A82" s="5" t="s">
        <v>258</v>
      </c>
      <c r="B82" s="7" t="s">
        <v>259</v>
      </c>
      <c r="C82" s="55">
        <v>0.83944394545454548</v>
      </c>
      <c r="D82" s="55">
        <v>-8.9685220000000001</v>
      </c>
      <c r="E82" s="55">
        <v>-1.8456030000000001</v>
      </c>
      <c r="F82" s="6" t="s">
        <v>143</v>
      </c>
      <c r="G82" s="52"/>
      <c r="I82" s="78"/>
      <c r="K82" s="52"/>
      <c r="L82" s="78"/>
      <c r="M82" s="78"/>
      <c r="N82" s="78"/>
      <c r="O82" s="73"/>
      <c r="P82" s="73"/>
      <c r="Q82" s="73"/>
    </row>
    <row r="83" spans="1:17" x14ac:dyDescent="0.35">
      <c r="A83" s="21" t="s">
        <v>196</v>
      </c>
      <c r="B83" s="22" t="s">
        <v>123</v>
      </c>
      <c r="C83" s="54">
        <v>0.83529616363636372</v>
      </c>
      <c r="D83" s="54">
        <v>-5.9104260000000002</v>
      </c>
      <c r="E83" s="54">
        <v>0.54580899999999999</v>
      </c>
      <c r="F83" s="8" t="s">
        <v>17</v>
      </c>
      <c r="G83" s="52"/>
      <c r="I83" s="78"/>
      <c r="K83" s="52"/>
      <c r="L83" s="78"/>
      <c r="M83" s="78"/>
      <c r="N83" s="78"/>
      <c r="O83" s="73"/>
      <c r="P83" s="73"/>
      <c r="Q83" s="73"/>
    </row>
    <row r="84" spans="1:17" x14ac:dyDescent="0.35">
      <c r="A84" s="5" t="s">
        <v>231</v>
      </c>
      <c r="B84" s="7" t="s">
        <v>232</v>
      </c>
      <c r="C84" s="55">
        <v>0.74726171818181819</v>
      </c>
      <c r="D84" s="55">
        <v>12.614343</v>
      </c>
      <c r="E84" s="55">
        <v>0.34267300000000001</v>
      </c>
      <c r="F84" s="6" t="s">
        <v>10</v>
      </c>
      <c r="G84" s="52"/>
      <c r="I84" s="78"/>
      <c r="K84" s="52"/>
      <c r="L84" s="78"/>
      <c r="M84" s="78"/>
      <c r="N84" s="78"/>
      <c r="O84" s="73"/>
      <c r="P84" s="73"/>
      <c r="Q84" s="73"/>
    </row>
    <row r="85" spans="1:17" x14ac:dyDescent="0.35">
      <c r="A85" s="21" t="s">
        <v>213</v>
      </c>
      <c r="B85" s="22" t="s">
        <v>214</v>
      </c>
      <c r="C85" s="54">
        <v>0.73419441454545442</v>
      </c>
      <c r="D85" s="54">
        <v>-6.0655000000000439E-3</v>
      </c>
      <c r="E85" s="54">
        <v>4.8394699999999999E-2</v>
      </c>
      <c r="F85" s="8" t="s">
        <v>144</v>
      </c>
      <c r="G85" s="52"/>
      <c r="I85" s="78"/>
      <c r="K85" s="52"/>
      <c r="L85" s="78"/>
      <c r="M85" s="78"/>
      <c r="N85" s="78"/>
      <c r="O85" s="73"/>
      <c r="P85" s="73"/>
      <c r="Q85" s="73"/>
    </row>
    <row r="86" spans="1:17" x14ac:dyDescent="0.35">
      <c r="A86" s="5" t="s">
        <v>248</v>
      </c>
      <c r="B86" s="7" t="s">
        <v>249</v>
      </c>
      <c r="C86" s="55">
        <v>0.72403061818181813</v>
      </c>
      <c r="D86" s="55">
        <v>-5.4987269999999997</v>
      </c>
      <c r="E86" s="55">
        <v>-1.9314519999999999</v>
      </c>
      <c r="F86" s="6" t="s">
        <v>13</v>
      </c>
      <c r="G86" s="52"/>
      <c r="I86" s="78"/>
      <c r="K86" s="52"/>
      <c r="L86" s="78"/>
      <c r="M86" s="78"/>
      <c r="N86" s="78"/>
      <c r="O86" s="73"/>
      <c r="P86" s="73"/>
      <c r="Q86" s="73"/>
    </row>
    <row r="87" spans="1:17" x14ac:dyDescent="0.35">
      <c r="A87" s="21" t="s">
        <v>238</v>
      </c>
      <c r="B87" s="22" t="s">
        <v>239</v>
      </c>
      <c r="C87" s="54">
        <v>0.70946423636363631</v>
      </c>
      <c r="D87" s="54">
        <v>2.2427839999999999</v>
      </c>
      <c r="E87" s="54">
        <v>-0.44192799999999999</v>
      </c>
      <c r="F87" s="8" t="s">
        <v>16</v>
      </c>
      <c r="G87" s="52"/>
      <c r="I87" s="78"/>
      <c r="K87" s="52"/>
      <c r="L87" s="78"/>
      <c r="M87" s="78"/>
      <c r="N87" s="78"/>
      <c r="O87" s="73"/>
      <c r="P87" s="73"/>
      <c r="Q87" s="73"/>
    </row>
    <row r="88" spans="1:17" x14ac:dyDescent="0.35">
      <c r="A88" s="5" t="s">
        <v>207</v>
      </c>
      <c r="B88" s="7" t="s">
        <v>141</v>
      </c>
      <c r="C88" s="55">
        <v>0.65754824327272732</v>
      </c>
      <c r="D88" s="55">
        <v>-5.8364395</v>
      </c>
      <c r="E88" s="55">
        <v>-4.5760800000000004E-2</v>
      </c>
      <c r="F88" s="6" t="s">
        <v>14</v>
      </c>
      <c r="G88" s="52"/>
      <c r="I88" s="78"/>
      <c r="K88" s="52"/>
      <c r="L88" s="78"/>
      <c r="M88" s="78"/>
      <c r="N88" s="78"/>
      <c r="O88" s="73"/>
      <c r="P88" s="73"/>
      <c r="Q88" s="73"/>
    </row>
    <row r="89" spans="1:17" x14ac:dyDescent="0.35">
      <c r="A89" s="21" t="s">
        <v>202</v>
      </c>
      <c r="B89" s="22" t="s">
        <v>134</v>
      </c>
      <c r="C89" s="54">
        <v>0.63096245454545463</v>
      </c>
      <c r="D89" s="54">
        <v>-3.1599184999999999</v>
      </c>
      <c r="E89" s="54">
        <v>-0.1847385</v>
      </c>
      <c r="F89" s="8" t="s">
        <v>17</v>
      </c>
      <c r="G89" s="52"/>
      <c r="I89" s="78"/>
      <c r="K89" s="52"/>
      <c r="L89" s="78"/>
      <c r="M89" s="78"/>
      <c r="N89" s="78"/>
      <c r="O89" s="73"/>
      <c r="P89" s="73"/>
      <c r="Q89" s="73"/>
    </row>
    <row r="90" spans="1:17" x14ac:dyDescent="0.35">
      <c r="A90" s="5" t="s">
        <v>246</v>
      </c>
      <c r="B90" s="7" t="s">
        <v>247</v>
      </c>
      <c r="C90" s="55">
        <v>0.60712598181818178</v>
      </c>
      <c r="D90" s="55">
        <v>-3.2917865000000002</v>
      </c>
      <c r="E90" s="55">
        <v>0.26997949999999998</v>
      </c>
      <c r="F90" s="6" t="s">
        <v>17</v>
      </c>
      <c r="G90" s="52"/>
      <c r="I90" s="78"/>
      <c r="K90" s="52"/>
      <c r="L90" s="78"/>
      <c r="M90" s="78"/>
      <c r="N90" s="78"/>
      <c r="O90" s="73"/>
      <c r="P90" s="73"/>
      <c r="Q90" s="73"/>
    </row>
    <row r="91" spans="1:17" x14ac:dyDescent="0.35">
      <c r="A91" s="21" t="s">
        <v>206</v>
      </c>
      <c r="B91" s="22" t="s">
        <v>139</v>
      </c>
      <c r="C91" s="54">
        <v>0.5937341454545455</v>
      </c>
      <c r="D91" s="54">
        <v>-2.1024129999999999</v>
      </c>
      <c r="E91" s="54">
        <v>-4.8874500000000001E-2</v>
      </c>
      <c r="F91" s="8" t="s">
        <v>14</v>
      </c>
      <c r="G91" s="52"/>
      <c r="I91" s="78"/>
      <c r="K91" s="52"/>
      <c r="L91" s="78"/>
      <c r="M91" s="78"/>
      <c r="N91" s="78"/>
      <c r="O91" s="73"/>
      <c r="P91" s="73"/>
      <c r="Q91" s="73"/>
    </row>
    <row r="92" spans="1:17" x14ac:dyDescent="0.35">
      <c r="A92" s="5" t="s">
        <v>201</v>
      </c>
      <c r="B92" s="7" t="s">
        <v>120</v>
      </c>
      <c r="C92" s="55">
        <v>0.51704098678581822</v>
      </c>
      <c r="D92" s="55">
        <v>-2.29802937449</v>
      </c>
      <c r="E92" s="55">
        <v>-0.53223232827000011</v>
      </c>
      <c r="F92" s="6" t="s">
        <v>17</v>
      </c>
      <c r="G92" s="52"/>
      <c r="I92" s="78"/>
      <c r="K92" s="52"/>
      <c r="L92" s="78"/>
      <c r="M92" s="78"/>
      <c r="N92" s="78"/>
      <c r="O92" s="73"/>
      <c r="P92" s="73"/>
      <c r="Q92" s="73"/>
    </row>
    <row r="93" spans="1:17" x14ac:dyDescent="0.35">
      <c r="A93" s="21" t="s">
        <v>252</v>
      </c>
      <c r="B93" s="22" t="s">
        <v>253</v>
      </c>
      <c r="C93" s="54">
        <v>0.49059768545454541</v>
      </c>
      <c r="D93" s="54">
        <v>3.2458157000000001</v>
      </c>
      <c r="E93" s="54">
        <v>1.18599E-2</v>
      </c>
      <c r="F93" s="8" t="s">
        <v>14</v>
      </c>
      <c r="G93" s="52"/>
      <c r="I93" s="78"/>
      <c r="K93" s="52"/>
      <c r="L93" s="78"/>
      <c r="M93" s="78"/>
      <c r="N93" s="78"/>
      <c r="O93" s="73"/>
      <c r="P93" s="73"/>
      <c r="Q93" s="73"/>
    </row>
    <row r="94" spans="1:17" x14ac:dyDescent="0.35">
      <c r="A94" s="5" t="s">
        <v>210</v>
      </c>
      <c r="B94" s="7" t="s">
        <v>140</v>
      </c>
      <c r="C94" s="55">
        <v>0.48258532727272735</v>
      </c>
      <c r="D94" s="55">
        <v>3.9584169999999999</v>
      </c>
      <c r="E94" s="55">
        <v>0.21599499999999999</v>
      </c>
      <c r="F94" s="6" t="s">
        <v>14</v>
      </c>
      <c r="G94" s="52"/>
      <c r="I94" s="78"/>
      <c r="K94" s="52"/>
      <c r="L94" s="78"/>
      <c r="M94" s="78"/>
      <c r="N94" s="78"/>
      <c r="O94" s="73"/>
      <c r="P94" s="73"/>
      <c r="Q94" s="73"/>
    </row>
    <row r="95" spans="1:17" x14ac:dyDescent="0.35">
      <c r="A95" s="21" t="s">
        <v>233</v>
      </c>
      <c r="B95" s="22" t="s">
        <v>234</v>
      </c>
      <c r="C95" s="54">
        <v>0.44864155454545462</v>
      </c>
      <c r="D95" s="54">
        <v>-2.3107924999999998</v>
      </c>
      <c r="E95" s="54">
        <v>-0.21958449999999999</v>
      </c>
      <c r="F95" s="8" t="s">
        <v>14</v>
      </c>
      <c r="G95" s="52"/>
      <c r="I95" s="78"/>
      <c r="K95" s="52"/>
      <c r="L95" s="78"/>
      <c r="M95" s="78"/>
      <c r="N95" s="78"/>
      <c r="O95" s="73"/>
      <c r="P95" s="73"/>
      <c r="Q95" s="73"/>
    </row>
    <row r="96" spans="1:17" x14ac:dyDescent="0.35">
      <c r="A96" s="5" t="s">
        <v>262</v>
      </c>
      <c r="B96" s="7" t="s">
        <v>263</v>
      </c>
      <c r="C96" s="55">
        <v>0.4271247363636364</v>
      </c>
      <c r="D96" s="55">
        <v>4.3535349999999999</v>
      </c>
      <c r="E96" s="55">
        <v>2.2009999999999998E-2</v>
      </c>
      <c r="F96" s="6" t="s">
        <v>143</v>
      </c>
      <c r="G96" s="52"/>
      <c r="I96" s="78"/>
      <c r="K96" s="52"/>
      <c r="L96" s="78"/>
      <c r="M96" s="78"/>
      <c r="N96" s="78"/>
      <c r="O96" s="73"/>
      <c r="P96" s="73"/>
      <c r="Q96" s="73"/>
    </row>
    <row r="97" spans="1:17" x14ac:dyDescent="0.35">
      <c r="A97" s="21" t="s">
        <v>264</v>
      </c>
      <c r="B97" s="22" t="s">
        <v>265</v>
      </c>
      <c r="C97" s="54">
        <v>0.42204125454545449</v>
      </c>
      <c r="D97" s="54">
        <v>-1.8882589999999999</v>
      </c>
      <c r="E97" s="54">
        <v>-0.2378025</v>
      </c>
      <c r="F97" s="8" t="s">
        <v>11</v>
      </c>
      <c r="G97" s="52"/>
      <c r="I97" s="78"/>
      <c r="K97" s="52"/>
      <c r="L97" s="78"/>
      <c r="M97" s="78"/>
      <c r="N97" s="78"/>
      <c r="O97" s="73"/>
      <c r="P97" s="73"/>
      <c r="Q97" s="73"/>
    </row>
    <row r="98" spans="1:17" x14ac:dyDescent="0.35">
      <c r="A98" s="5" t="s">
        <v>256</v>
      </c>
      <c r="B98" s="7" t="s">
        <v>257</v>
      </c>
      <c r="C98" s="55">
        <v>0.41965910727272732</v>
      </c>
      <c r="D98" s="55">
        <v>-0.22611239999999999</v>
      </c>
      <c r="E98" s="55">
        <v>0.2261446</v>
      </c>
      <c r="F98" s="6" t="s">
        <v>14</v>
      </c>
      <c r="G98" s="52"/>
      <c r="I98" s="78"/>
      <c r="K98" s="52"/>
      <c r="L98" s="78"/>
      <c r="M98" s="78"/>
      <c r="N98" s="78"/>
      <c r="O98" s="73"/>
      <c r="P98" s="73"/>
      <c r="Q98" s="73"/>
    </row>
    <row r="99" spans="1:17" x14ac:dyDescent="0.35">
      <c r="A99" s="21" t="s">
        <v>273</v>
      </c>
      <c r="B99" s="22" t="s">
        <v>274</v>
      </c>
      <c r="C99" s="54">
        <v>0.41584251272727268</v>
      </c>
      <c r="D99" s="54">
        <v>0.93131580000000003</v>
      </c>
      <c r="E99" s="54">
        <v>0.14620649999999999</v>
      </c>
      <c r="F99" s="8" t="s">
        <v>14</v>
      </c>
      <c r="G99" s="52"/>
      <c r="I99" s="78"/>
      <c r="K99" s="52"/>
      <c r="L99" s="78"/>
      <c r="M99" s="78"/>
      <c r="N99" s="78"/>
      <c r="O99" s="73"/>
      <c r="P99" s="73"/>
      <c r="Q99" s="73"/>
    </row>
    <row r="100" spans="1:17" x14ac:dyDescent="0.35">
      <c r="A100" s="5" t="s">
        <v>268</v>
      </c>
      <c r="B100" s="7" t="s">
        <v>269</v>
      </c>
      <c r="C100" s="55">
        <v>0.4127062090909091</v>
      </c>
      <c r="D100" s="55">
        <v>-4.6015455000000003</v>
      </c>
      <c r="E100" s="55">
        <v>-0.43744</v>
      </c>
      <c r="F100" s="6" t="s">
        <v>17</v>
      </c>
      <c r="G100" s="52"/>
      <c r="I100" s="78"/>
      <c r="K100" s="52"/>
      <c r="L100" s="78"/>
      <c r="M100" s="78"/>
      <c r="N100" s="78"/>
      <c r="O100" s="73"/>
      <c r="P100" s="73"/>
      <c r="Q100" s="73"/>
    </row>
    <row r="101" spans="1:17" x14ac:dyDescent="0.35">
      <c r="A101" s="75" t="s">
        <v>254</v>
      </c>
      <c r="B101" s="76" t="s">
        <v>255</v>
      </c>
      <c r="C101" s="77">
        <v>0.4064495363636364</v>
      </c>
      <c r="D101" s="77">
        <v>-0.92603550000000001</v>
      </c>
      <c r="E101" s="77">
        <v>-0.29709049999999998</v>
      </c>
      <c r="F101" s="9" t="s">
        <v>15</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2025-03-24T02:03:27Z</dcterms:modified>
</cp:coreProperties>
</file>