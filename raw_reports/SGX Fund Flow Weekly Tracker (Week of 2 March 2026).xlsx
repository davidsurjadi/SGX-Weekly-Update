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7B97A223-B6EC-40CF-8955-97AB0D40B8A0}" xr6:coauthVersionLast="47" xr6:coauthVersionMax="47" xr10:uidLastSave="{00000000-0000-0000-0000-000000000000}"/>
  <bookViews>
    <workbookView xWindow="538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<sst xmlns="http://schemas.openxmlformats.org/spreadsheetml/2006/main" count="139" uniqueCount="89">
  <si>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</si>
  <si>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</si>
  <si>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</si>
  <si>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</si>
  <si>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</si>
  <si>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</si>
  <si>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</si>
  <si>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</si>
  <si>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</si>
  <si>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</si>
  <si>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</si>
  <si>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</si>
  <si>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</si>
  <si>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</si>
  <si>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</si>
  <si>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</si>
  <si>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</si>
  <si>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</si>
  <si>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</si>
  <si>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</si>
  <si>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</si>
  <si>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</si>
  <si>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</si>
  <si>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</si>
  <si>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</si>
  <si>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</si>
  <si>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</si>
  <si>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</si>
  <si>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</si>
  <si>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</si>
  <si>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</si>
  <si>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</si>
  <si>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</si>
  <si>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</si>
  <si>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</si>
  <si>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</si>
  <si>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</si>
  <si>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</si>
  <si>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</si>
  <si>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</si>
  <si>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Singtel</t>
  </si>
  <si>
    <t>Z74</t>
  </si>
  <si>
    <t>SIA</t>
  </si>
  <si>
    <t>C6L</t>
  </si>
  <si>
    <t>CapitaLand Ascendas REIT</t>
  </si>
  <si>
    <t>A17U</t>
  </si>
  <si>
    <t>Keppel</t>
  </si>
  <si>
    <t>BN4</t>
  </si>
  <si>
    <t>Genting Singapore</t>
  </si>
  <si>
    <t>G13</t>
  </si>
  <si>
    <t>Sheng Siong</t>
  </si>
  <si>
    <t>OV8</t>
  </si>
  <si>
    <t>Seatrium</t>
  </si>
  <si>
    <t>5E2</t>
  </si>
  <si>
    <t xml:space="preserve">AEM </t>
  </si>
  <si>
    <t>AWX</t>
  </si>
  <si>
    <t>Jardine Matheson</t>
  </si>
  <si>
    <t>J36</t>
  </si>
  <si>
    <t>CNMC Goldmine</t>
  </si>
  <si>
    <t>5TP</t>
  </si>
  <si>
    <t>Sembcorp Industries</t>
  </si>
  <si>
    <t>U96</t>
  </si>
  <si>
    <t>SGX</t>
  </si>
  <si>
    <t>S68</t>
  </si>
  <si>
    <t>Keppel DC REIT</t>
  </si>
  <si>
    <t>AJBU</t>
  </si>
  <si>
    <t>UMS</t>
  </si>
  <si>
    <t>558</t>
  </si>
  <si>
    <t>SATS</t>
  </si>
  <si>
    <t>S58</t>
  </si>
  <si>
    <t>Haw Par</t>
  </si>
  <si>
    <t>H02</t>
  </si>
  <si>
    <t>Suntec REIT</t>
  </si>
  <si>
    <t>T82U</t>
  </si>
  <si>
    <t>CapitaLand India Trust</t>
  </si>
  <si>
    <t>CY6U</t>
  </si>
  <si>
    <t>Olam Group</t>
  </si>
  <si>
    <t>VC2</t>
  </si>
  <si>
    <t>iFast Corporation</t>
  </si>
  <si>
    <t>AIY</t>
  </si>
  <si>
    <t>PropNex</t>
  </si>
  <si>
    <t>OYY</t>
  </si>
  <si>
    <t>Atlantic Nav</t>
  </si>
  <si>
    <t>5UL</t>
  </si>
  <si>
    <t>UOL</t>
  </si>
  <si>
    <t>U14</t>
  </si>
  <si>
    <t>Week of 2 March 2026</t>
  </si>
  <si>
    <r>
      <t xml:space="preserve">Institutional investors net </t>
    </r>
    <r>
      <rPr>
        <b/>
        <sz val="11"/>
        <rFont val="Arial"/>
        <family val="2"/>
      </rPr>
      <t>sell</t>
    </r>
    <r>
      <rPr>
        <sz val="11"/>
        <rFont val="Arial"/>
        <family val="2"/>
      </rPr>
      <t xml:space="preserve"> (-S$144.9m) vs. (-S$64.0m) a week ago</t>
    </r>
  </si>
  <si>
    <r>
      <t xml:space="preserve">Retail investors net </t>
    </r>
    <r>
      <rPr>
        <b/>
        <sz val="11"/>
        <rFont val="Arial"/>
        <family val="2"/>
      </rPr>
      <t>buy</t>
    </r>
    <r>
      <rPr>
        <sz val="11"/>
        <rFont val="Arial"/>
        <family val="2"/>
      </rPr>
      <t xml:space="preserve"> (+S$384.1m) vs. (-S$42.3m)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</si>
</sst>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86</v>
      </c>
      <c r="C1" s="59"/>
    </row>
    <row r="2" spans="1:13" ht="15" x14ac:dyDescent="0.25">
      <c r="A2" s="52" t="s">
        <v>87</v>
      </c>
      <c r="I2" s="40"/>
    </row>
    <row r="3" spans="1:13" ht="15" x14ac:dyDescent="0.25">
      <c r="A3" s="52" t="s">
        <v>88</v>
      </c>
      <c r="I3" s="40"/>
    </row>
    <row r="5" spans="1:13" ht="29.25" customHeight="1" x14ac:dyDescent="0.2">
      <c r="A5" s="3" t="s">
        <v>0</v>
      </c>
      <c r="B5" s="3" t="s">
        <v>1</v>
      </c>
      <c r="C5" s="4" t="s">
        <v>86</v>
      </c>
      <c r="D5" s="43" t="s">
        <v>2</v>
      </c>
      <c r="E5" s="43" t="s">
        <v>1</v>
      </c>
      <c r="F5" s="44" t="str">
        <f>+C5</f>
        <v>Week of 2 March 2026</v>
      </c>
      <c r="I5" s="2"/>
    </row>
    <row r="6" spans="1:13" ht="15" x14ac:dyDescent="0.25">
      <c r="A6" s="28" t="s">
        <v>38</v>
      </c>
      <c r="B6" s="46" t="s">
        <v>39</v>
      </c>
      <c r="C6" s="5">
        <v>83.427985000000007</v>
      </c>
      <c r="D6" s="28" t="s">
        <v>23</v>
      </c>
      <c r="E6" s="46" t="s">
        <v>21</v>
      </c>
      <c r="F6" s="5">
        <v>-418.091589</v>
      </c>
      <c r="G6" s="61"/>
      <c r="H6"/>
      <c r="I6" s="2"/>
      <c r="M6"/>
    </row>
    <row r="7" spans="1:13" ht="15" x14ac:dyDescent="0.25">
      <c r="A7" s="29" t="s">
        <v>40</v>
      </c>
      <c r="B7" s="9" t="s">
        <v>41</v>
      </c>
      <c r="C7" s="7">
        <v>54.978679999999997</v>
      </c>
      <c r="D7" s="29" t="s">
        <v>60</v>
      </c>
      <c r="E7" s="9" t="s">
        <v>61</v>
      </c>
      <c r="F7" s="7">
        <v>-53.917059999999999</v>
      </c>
      <c r="G7" s="61"/>
      <c r="H7"/>
      <c r="I7" s="2"/>
      <c r="L7"/>
      <c r="M7"/>
    </row>
    <row r="8" spans="1:13" ht="15" x14ac:dyDescent="0.25">
      <c r="A8" s="30" t="s">
        <v>52</v>
      </c>
      <c r="B8" s="46" t="s">
        <v>53</v>
      </c>
      <c r="C8" s="5">
        <v>45.556938000000002</v>
      </c>
      <c r="D8" s="30" t="s">
        <v>48</v>
      </c>
      <c r="E8" s="46" t="s">
        <v>49</v>
      </c>
      <c r="F8" s="5">
        <v>-43.269575000000003</v>
      </c>
      <c r="G8" s="61"/>
      <c r="H8"/>
      <c r="I8" s="2"/>
      <c r="L8"/>
      <c r="M8"/>
    </row>
    <row r="9" spans="1:13" ht="15" x14ac:dyDescent="0.25">
      <c r="A9" s="29" t="s">
        <v>42</v>
      </c>
      <c r="B9" s="9" t="s">
        <v>43</v>
      </c>
      <c r="C9" s="7">
        <v>42.824716000000002</v>
      </c>
      <c r="D9" s="29" t="s">
        <v>68</v>
      </c>
      <c r="E9" s="9" t="s">
        <v>69</v>
      </c>
      <c r="F9" s="7">
        <v>-14.348402</v>
      </c>
      <c r="G9" s="61"/>
      <c r="H9"/>
      <c r="I9" s="2"/>
      <c r="L9"/>
      <c r="M9"/>
    </row>
    <row r="10" spans="1:13" ht="15" x14ac:dyDescent="0.25">
      <c r="A10" s="30" t="s">
        <v>54</v>
      </c>
      <c r="B10" s="46" t="s">
        <v>55</v>
      </c>
      <c r="C10" s="5">
        <v>35.398001999999998</v>
      </c>
      <c r="D10" s="30" t="s">
        <v>44</v>
      </c>
      <c r="E10" s="46" t="s">
        <v>45</v>
      </c>
      <c r="F10" s="5">
        <v>-12.605078000000001</v>
      </c>
      <c r="G10" s="61"/>
      <c r="H10"/>
      <c r="I10" s="2"/>
      <c r="L10"/>
      <c r="M10"/>
    </row>
    <row r="11" spans="1:13" ht="15" x14ac:dyDescent="0.25">
      <c r="A11" s="29" t="s">
        <v>46</v>
      </c>
      <c r="B11" s="9" t="s">
        <v>47</v>
      </c>
      <c r="C11" s="7">
        <v>28.814038</v>
      </c>
      <c r="D11" s="29" t="s">
        <v>70</v>
      </c>
      <c r="E11" s="9" t="s">
        <v>71</v>
      </c>
      <c r="F11" s="7">
        <v>-12.078441</v>
      </c>
      <c r="G11" s="61"/>
      <c r="H11"/>
      <c r="I11" s="2"/>
      <c r="L11"/>
      <c r="M11"/>
    </row>
    <row r="12" spans="1:13" ht="15" x14ac:dyDescent="0.25">
      <c r="A12" s="30" t="s">
        <v>24</v>
      </c>
      <c r="B12" s="46" t="s">
        <v>22</v>
      </c>
      <c r="C12" s="5">
        <v>28.062446999999999</v>
      </c>
      <c r="D12" s="30" t="s">
        <v>56</v>
      </c>
      <c r="E12" s="46" t="s">
        <v>57</v>
      </c>
      <c r="F12" s="5">
        <v>-11.928560513100001</v>
      </c>
      <c r="G12" s="61"/>
      <c r="H12"/>
      <c r="I12" s="2"/>
      <c r="L12"/>
      <c r="M12"/>
    </row>
    <row r="13" spans="1:13" ht="15" x14ac:dyDescent="0.25">
      <c r="A13" s="29" t="s">
        <v>62</v>
      </c>
      <c r="B13" s="9" t="s">
        <v>63</v>
      </c>
      <c r="C13" s="7">
        <v>19.959589999999999</v>
      </c>
      <c r="D13" s="29" t="s">
        <v>72</v>
      </c>
      <c r="E13" s="9" t="s">
        <v>73</v>
      </c>
      <c r="F13" s="7">
        <v>-11.2486975</v>
      </c>
      <c r="G13" s="61"/>
      <c r="H13"/>
      <c r="I13" s="2"/>
      <c r="L13"/>
      <c r="M13"/>
    </row>
    <row r="14" spans="1:13" ht="15" x14ac:dyDescent="0.25">
      <c r="A14" s="30" t="s">
        <v>64</v>
      </c>
      <c r="B14" s="46" t="s">
        <v>65</v>
      </c>
      <c r="C14" s="5">
        <v>19.83831</v>
      </c>
      <c r="D14" s="30" t="s">
        <v>74</v>
      </c>
      <c r="E14" s="46" t="s">
        <v>75</v>
      </c>
      <c r="F14" s="5">
        <v>-10.362722</v>
      </c>
      <c r="G14" s="61"/>
      <c r="H14"/>
      <c r="I14" s="2"/>
      <c r="L14"/>
      <c r="M14"/>
    </row>
    <row r="15" spans="1:13" ht="15" x14ac:dyDescent="0.25">
      <c r="A15" s="31" t="s">
        <v>66</v>
      </c>
      <c r="B15" s="27" t="s">
        <v>67</v>
      </c>
      <c r="C15" s="8">
        <v>17.870125000000002</v>
      </c>
      <c r="D15" s="31" t="s">
        <v>76</v>
      </c>
      <c r="E15" s="27" t="s">
        <v>77</v>
      </c>
      <c r="F15" s="8">
        <v>-10.327704000000001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 March 2026</v>
      </c>
      <c r="D18" s="45" t="s">
        <v>4</v>
      </c>
      <c r="E18" s="43" t="s">
        <v>1</v>
      </c>
      <c r="F18" s="44" t="str">
        <f>+C18</f>
        <v>Week of 2 March 2026</v>
      </c>
    </row>
    <row r="19" spans="1:9" x14ac:dyDescent="0.2">
      <c r="A19" s="30" t="s">
        <v>23</v>
      </c>
      <c r="B19" s="46" t="s">
        <v>21</v>
      </c>
      <c r="C19" s="16">
        <v>416.71645799999999</v>
      </c>
      <c r="D19" s="30" t="s">
        <v>42</v>
      </c>
      <c r="E19" s="15" t="s">
        <v>43</v>
      </c>
      <c r="F19" s="5">
        <v>-63.527444000000003</v>
      </c>
      <c r="I19" s="2"/>
    </row>
    <row r="20" spans="1:9" ht="15" x14ac:dyDescent="0.25">
      <c r="A20" s="29" t="s">
        <v>60</v>
      </c>
      <c r="B20" s="9" t="s">
        <v>61</v>
      </c>
      <c r="C20" s="7">
        <v>63.546416999999998</v>
      </c>
      <c r="D20" s="29" t="s">
        <v>38</v>
      </c>
      <c r="E20" s="17" t="s">
        <v>39</v>
      </c>
      <c r="F20" s="7">
        <v>-53.747166</v>
      </c>
      <c r="G20" s="61"/>
      <c r="I20" s="2"/>
    </row>
    <row r="21" spans="1:9" ht="15" x14ac:dyDescent="0.25">
      <c r="A21" s="30" t="s">
        <v>48</v>
      </c>
      <c r="B21" s="46" t="s">
        <v>49</v>
      </c>
      <c r="C21" s="5">
        <v>45.882217500000003</v>
      </c>
      <c r="D21" s="30" t="s">
        <v>52</v>
      </c>
      <c r="E21" s="6" t="s">
        <v>53</v>
      </c>
      <c r="F21" s="5">
        <v>-47.893973000000003</v>
      </c>
      <c r="G21" s="61"/>
      <c r="I21" s="2"/>
    </row>
    <row r="22" spans="1:9" ht="15" x14ac:dyDescent="0.25">
      <c r="A22" s="29" t="s">
        <v>36</v>
      </c>
      <c r="B22" s="9" t="s">
        <v>37</v>
      </c>
      <c r="C22" s="7">
        <v>43.405445</v>
      </c>
      <c r="D22" s="29" t="s">
        <v>54</v>
      </c>
      <c r="E22" s="17" t="s">
        <v>55</v>
      </c>
      <c r="F22" s="7">
        <v>-37.335872999999999</v>
      </c>
      <c r="G22" s="61"/>
      <c r="I22" s="2"/>
    </row>
    <row r="23" spans="1:9" ht="15" x14ac:dyDescent="0.25">
      <c r="A23" s="30" t="s">
        <v>44</v>
      </c>
      <c r="B23" s="46" t="s">
        <v>45</v>
      </c>
      <c r="C23" s="5">
        <v>24.688369000000002</v>
      </c>
      <c r="D23" s="30" t="s">
        <v>66</v>
      </c>
      <c r="E23" s="6" t="s">
        <v>67</v>
      </c>
      <c r="F23" s="5">
        <v>-23.852336000000001</v>
      </c>
      <c r="G23" s="61"/>
      <c r="I23" s="2"/>
    </row>
    <row r="24" spans="1:9" ht="15" x14ac:dyDescent="0.25">
      <c r="A24" s="29" t="s">
        <v>24</v>
      </c>
      <c r="B24" s="9" t="s">
        <v>22</v>
      </c>
      <c r="C24" s="7">
        <v>18.441230000000001</v>
      </c>
      <c r="D24" s="29" t="s">
        <v>40</v>
      </c>
      <c r="E24" s="17" t="s">
        <v>41</v>
      </c>
      <c r="F24" s="7">
        <v>-22.923655</v>
      </c>
      <c r="G24" s="61"/>
      <c r="I24" s="2"/>
    </row>
    <row r="25" spans="1:9" ht="15" x14ac:dyDescent="0.25">
      <c r="A25" s="30" t="s">
        <v>78</v>
      </c>
      <c r="B25" s="46" t="s">
        <v>79</v>
      </c>
      <c r="C25" s="5">
        <v>15.949630000000001</v>
      </c>
      <c r="D25" s="30" t="s">
        <v>82</v>
      </c>
      <c r="E25" s="6" t="s">
        <v>83</v>
      </c>
      <c r="F25" s="5">
        <v>-13.0059252</v>
      </c>
      <c r="G25" s="61"/>
      <c r="I25" s="2"/>
    </row>
    <row r="26" spans="1:9" ht="15" x14ac:dyDescent="0.25">
      <c r="A26" s="29" t="s">
        <v>80</v>
      </c>
      <c r="B26" s="9" t="s">
        <v>81</v>
      </c>
      <c r="C26" s="7">
        <v>15.603859999999999</v>
      </c>
      <c r="D26" s="29" t="s">
        <v>64</v>
      </c>
      <c r="E26" s="17" t="s">
        <v>65</v>
      </c>
      <c r="F26" s="7">
        <v>-12.316566999999999</v>
      </c>
      <c r="G26" s="61"/>
      <c r="I26" s="2"/>
    </row>
    <row r="27" spans="1:9" ht="15" x14ac:dyDescent="0.25">
      <c r="A27" s="30" t="s">
        <v>50</v>
      </c>
      <c r="B27" s="46" t="s">
        <v>51</v>
      </c>
      <c r="C27" s="5">
        <v>12.814101000000001</v>
      </c>
      <c r="D27" s="30" t="s">
        <v>84</v>
      </c>
      <c r="E27" s="6" t="s">
        <v>85</v>
      </c>
      <c r="F27" s="5">
        <v>-10.712794000000001</v>
      </c>
      <c r="G27" s="61"/>
      <c r="I27" s="2"/>
    </row>
    <row r="28" spans="1:9" ht="15" x14ac:dyDescent="0.25">
      <c r="A28" s="27" t="s">
        <v>76</v>
      </c>
      <c r="B28" s="56" t="s">
        <v>77</v>
      </c>
      <c r="C28" s="8">
        <v>10.9616825</v>
      </c>
      <c r="D28" s="27" t="s">
        <v>58</v>
      </c>
      <c r="E28" s="56" t="s">
        <v>59</v>
      </c>
      <c r="F28" s="8">
        <v>-9.7719950000000004</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5 B8 E21 E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-155.99243927416012</v>
      </c>
      <c r="B3" s="54">
        <v>46062</v>
      </c>
      <c r="C3" s="14">
        <v>27.021643146900001</v>
      </c>
      <c r="D3" s="14">
        <v>9.3171853748000011</v>
      </c>
      <c r="E3" s="14">
        <v>-0.8662601000000002</v>
      </c>
      <c r="F3" s="14">
        <v>-307.49651730000005</v>
      </c>
      <c r="G3" s="14">
        <v>-4.2939881611000015</v>
      </c>
      <c r="H3" s="14">
        <v>153.06972211564999</v>
      </c>
      <c r="I3" s="14">
        <v>3.3525673</v>
      </c>
      <c r="J3" s="14">
        <v>4.9379623184999994</v>
      </c>
      <c r="K3" s="14">
        <v>-110.27163231891001</v>
      </c>
      <c r="L3" s="14">
        <v>-11.459010550000002</v>
      </c>
      <c r="M3" s="14">
        <v>72.486333500000001</v>
      </c>
      <c r="N3" s="14">
        <v>8.2095553999999993</v>
      </c>
    </row>
    <row r="4" spans="1:15" ht="15" x14ac:dyDescent="0.25">
      <c r="A4" s="38">
        <f>SUM(C4:N4)</f>
        <v>204.65983347664005</v>
      </c>
      <c r="B4" s="42">
        <v>46069</v>
      </c>
      <c r="C4" s="53">
        <v>22.697704989830005</v>
      </c>
      <c r="D4" s="53">
        <v>3.3556465133000009</v>
      </c>
      <c r="E4" s="53">
        <v>-0.33970680000000003</v>
      </c>
      <c r="F4" s="53">
        <v>-0.78023360000000141</v>
      </c>
      <c r="G4" s="53">
        <v>-5.4906756799999998</v>
      </c>
      <c r="H4" s="53">
        <v>130.12171892865001</v>
      </c>
      <c r="I4" s="53">
        <v>3.0045366999999996</v>
      </c>
      <c r="J4" s="53">
        <v>4.682061746799997</v>
      </c>
      <c r="K4" s="53">
        <v>-0.68515152193999973</v>
      </c>
      <c r="L4" s="53">
        <v>-33.503875399999998</v>
      </c>
      <c r="M4" s="53">
        <v>65.416232499999992</v>
      </c>
      <c r="N4" s="53">
        <v>16.181575100000003</v>
      </c>
    </row>
    <row r="5" spans="1:15" ht="15" x14ac:dyDescent="0.25">
      <c r="A5" s="38">
        <f>SUM(C5:N5)</f>
        <v>-63.978751780539916</v>
      </c>
      <c r="B5" s="66">
        <v>46076</v>
      </c>
      <c r="C5" s="14">
        <v>-9.8796270143200164</v>
      </c>
      <c r="D5" s="14">
        <v>-30.070878235200002</v>
      </c>
      <c r="E5" s="14">
        <v>2.4102308000000003</v>
      </c>
      <c r="F5" s="14">
        <v>-271.23915879999998</v>
      </c>
      <c r="G5" s="14">
        <v>-2.668324549899999</v>
      </c>
      <c r="H5" s="14">
        <v>239.80989853600011</v>
      </c>
      <c r="I5" s="14">
        <v>16.746611199999997</v>
      </c>
      <c r="J5" s="14">
        <v>-6.6567229130000003</v>
      </c>
      <c r="K5" s="14">
        <v>-19.085504854119996</v>
      </c>
      <c r="L5" s="14">
        <v>42.277192449999994</v>
      </c>
      <c r="M5" s="14">
        <v>3.2672892000000004</v>
      </c>
      <c r="N5" s="14">
        <v>-28.889757600000003</v>
      </c>
    </row>
    <row r="6" spans="1:15" ht="15" x14ac:dyDescent="0.25">
      <c r="A6" s="38">
        <f>SUM(C6:N6)</f>
        <v>-144.85964187524002</v>
      </c>
      <c r="B6" s="58">
        <v>46083</v>
      </c>
      <c r="C6" s="53">
        <v>-40.929817684190006</v>
      </c>
      <c r="D6" s="53">
        <v>13.517821766600004</v>
      </c>
      <c r="E6" s="53">
        <v>15.700681299999989</v>
      </c>
      <c r="F6" s="53">
        <v>-384.9606541</v>
      </c>
      <c r="G6" s="53">
        <v>-14.3344224762</v>
      </c>
      <c r="H6" s="53">
        <v>179.73818985298001</v>
      </c>
      <c r="I6" s="53">
        <v>17.399046500000001</v>
      </c>
      <c r="J6" s="53">
        <v>28.9759203419</v>
      </c>
      <c r="K6" s="53">
        <v>-7.7325999763300111</v>
      </c>
      <c r="L6" s="53">
        <v>41.709805099999976</v>
      </c>
      <c r="M6" s="53">
        <v>55.998845600000003</v>
      </c>
      <c r="N6" s="53">
        <v>-49.942458099999996</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315.9599121665903</v>
      </c>
      <c r="B3" s="47">
        <v>46062</v>
      </c>
      <c r="C3" s="60">
        <v>-24.355300072869998</v>
      </c>
      <c r="D3" s="60">
        <v>13.458001332700002</v>
      </c>
      <c r="E3" s="60">
        <v>0.1158702000000002</v>
      </c>
      <c r="F3" s="60">
        <v>613.58877800000016</v>
      </c>
      <c r="G3" s="60">
        <v>-0.45948178290000019</v>
      </c>
      <c r="H3" s="60">
        <v>-248.90370392554999</v>
      </c>
      <c r="I3" s="60">
        <v>-4.1890207999999989</v>
      </c>
      <c r="J3" s="60">
        <v>-21.679238804000004</v>
      </c>
      <c r="K3" s="60">
        <v>119.61175206921001</v>
      </c>
      <c r="L3" s="60">
        <v>-39.39712505</v>
      </c>
      <c r="M3" s="60">
        <v>-60.012134799999998</v>
      </c>
      <c r="N3" s="60">
        <v>-31.818484199999997</v>
      </c>
      <c r="P3" s="13"/>
    </row>
    <row r="4" spans="1:20" ht="15" x14ac:dyDescent="0.25">
      <c r="A4" s="48">
        <f>SUM(C4:N4)</f>
        <v>-180.03792476071999</v>
      </c>
      <c r="B4" s="58">
        <v>46069</v>
      </c>
      <c r="C4" s="55">
        <v>-37.387602451859998</v>
      </c>
      <c r="D4" s="55">
        <v>0.23299137380000134</v>
      </c>
      <c r="E4" s="55">
        <v>-0.51864089999999996</v>
      </c>
      <c r="F4" s="55">
        <v>9.6754304000000015</v>
      </c>
      <c r="G4" s="55">
        <v>-1.3947103986000002</v>
      </c>
      <c r="H4" s="55">
        <v>-160.02519906029997</v>
      </c>
      <c r="I4" s="55">
        <v>-6.3537693000000006</v>
      </c>
      <c r="J4" s="55">
        <v>-7.6328597293000016</v>
      </c>
      <c r="K4" s="55">
        <v>21.48557660554</v>
      </c>
      <c r="L4" s="55">
        <v>28.6547114</v>
      </c>
      <c r="M4" s="55">
        <v>-20.4618982</v>
      </c>
      <c r="N4" s="55">
        <v>-6.3119544999999988</v>
      </c>
      <c r="P4" s="13"/>
    </row>
    <row r="5" spans="1:20" ht="15" x14ac:dyDescent="0.25">
      <c r="A5" s="48">
        <f>SUM(C5:N5)</f>
        <v>-42.310156678619784</v>
      </c>
      <c r="B5" s="66">
        <v>46076</v>
      </c>
      <c r="C5" s="60">
        <v>26.909250293219994</v>
      </c>
      <c r="D5" s="60">
        <v>32.430654305000004</v>
      </c>
      <c r="E5" s="60">
        <v>0.4606308999999999</v>
      </c>
      <c r="F5" s="60">
        <v>398.56544440000005</v>
      </c>
      <c r="G5" s="60">
        <v>-0.84527653060000063</v>
      </c>
      <c r="H5" s="60">
        <v>-479.03084942774984</v>
      </c>
      <c r="I5" s="60">
        <v>-27.352940200000003</v>
      </c>
      <c r="J5" s="60">
        <v>-16.592382758100005</v>
      </c>
      <c r="K5" s="60">
        <v>32.287605189609991</v>
      </c>
      <c r="L5" s="60">
        <v>-46.569562049999981</v>
      </c>
      <c r="M5" s="60">
        <v>1.9997901000000002</v>
      </c>
      <c r="N5" s="60">
        <v>35.427479099999992</v>
      </c>
      <c r="P5" s="13"/>
    </row>
    <row r="6" spans="1:20" ht="15" x14ac:dyDescent="0.25">
      <c r="A6" s="48">
        <f>SUM(C6:N6)</f>
        <v>384.08618639539992</v>
      </c>
      <c r="B6" s="58">
        <v>46083</v>
      </c>
      <c r="C6" s="55">
        <v>44.401154866209971</v>
      </c>
      <c r="D6" s="55">
        <v>2.2375350081000036</v>
      </c>
      <c r="E6" s="55">
        <v>-20.886459600000002</v>
      </c>
      <c r="F6" s="55">
        <v>467.9252957999999</v>
      </c>
      <c r="G6" s="55">
        <v>10.7078771119</v>
      </c>
      <c r="H6" s="55">
        <v>-137.23389783770003</v>
      </c>
      <c r="I6" s="55">
        <v>-13.016877600000001</v>
      </c>
      <c r="J6" s="55">
        <v>-3.8858537399987014E-2</v>
      </c>
      <c r="K6" s="55">
        <v>46.350249684290006</v>
      </c>
      <c r="L6" s="55">
        <v>-51.258691400000004</v>
      </c>
      <c r="M6" s="55">
        <v>-23.340427699999999</v>
      </c>
      <c r="N6" s="55">
        <v>58.239286600000007</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2026-03-09T02:05:58Z</dcterms:modified>
</cp:coreProperties>
</file>