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827"/>
  <workbookPr codeName="ThisWorkbook"/>
  <mc:AlternateContent xmlns:mc="http://schemas.openxmlformats.org/markup-compatibility/2006">
    <mc:Choice Requires="x15">
      <x15ac:absPath xmlns:x15ac="http://schemas.microsoft.com/office/spreadsheetml/2010/11/ac" url="Z:\Research\Production\Insti fund flow tracker files\Draft reports\Final reports\Weekly excel files\"/>
    </mc:Choice>
  </mc:AlternateContent>
  <xr:revisionPtr revIDLastSave="0" documentId="13_ncr:1_{C3F2A135-0B11-4E7D-8DF8-E1BFDF7F9697}" xr6:coauthVersionLast="47" xr6:coauthVersionMax="47" xr10:uidLastSave="{00000000-0000-0000-0000-000000000000}"/>
  <bookViews>
    <workbookView xWindow="-108" yWindow="312" windowWidth="23256" windowHeight="12156"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2" l="1"/>
  <c r="A5" i="3"/>
  <c r="A4" i="3"/>
  <c r="A3" i="3"/>
  <c r="A5" i="2"/>
  <c r="A4" i="2"/>
  <c r="A3" i="2"/>
  <c r="A6" i="3" l="1"/>
  <c r="A1" i="5" l="1"/>
  <c r="C32" i="4" l="1"/>
  <c r="D32" i="4"/>
  <c r="A1" i="4" l="1"/>
  <c r="C18" i="1" l="1"/>
  <c r="F18" i="1" s="1"/>
  <c r="F5" i="1"/>
</calcChain>
</file>

<file path=xl/sharedStrings.xml><?xml version="1.0" encoding="utf-8"?>
<sst xmlns="http://schemas.openxmlformats.org/spreadsheetml/2006/main" count="520" uniqueCount="278">
  <si>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</si>
  <si>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</si>
  <si>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</si>
  <si>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</si>
  <si>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</si>
  <si>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</si>
  <si>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</si>
  <si>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</si>
  <si>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Week of</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</si>
  <si>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</si>
  <si>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</si>
  <si>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</si>
  <si>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</si>
  <si>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</si>
  <si>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</si>
  <si>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</si>
  <si>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</si>
  <si>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</si>
  <si>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</si>
  <si>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</si>
  <si>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</si>
  <si>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</si>
  <si>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</si>
  <si>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</si>
  <si>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</si>
  <si>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</si>
  <si>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</si>
  <si>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</si>
  <si>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</si>
  <si>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</si>
  <si>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</si>
  <si>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</si>
  <si>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</si>
  <si>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</si>
  <si>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</si>
  <si>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Keppel Corporation</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</si>
  <si>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</si>
  <si>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</si>
  <si>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</si>
  <si>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</si>
  <si>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</si>
  <si>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</si>
  <si>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</si>
  <si>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</si>
  <si>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</si>
  <si>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</si>
  <si>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</si>
  <si>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</si>
  <si>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</si>
  <si>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</si>
  <si>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</si>
  <si>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</si>
  <si>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</si>
  <si>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</si>
  <si>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</si>
  <si>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</si>
  <si>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</si>
  <si>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</si>
  <si>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</si>
  <si>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</si>
  <si>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</si>
  <si>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</si>
  <si>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</si>
  <si>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</si>
  <si>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</si>
  <si>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</si>
  <si>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</si>
  <si>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</si>
  <si>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</si>
  <si>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</si>
  <si>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</si>
  <si>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To sign up for daily market updates or for more information, please contact research@sgx.com.</t>
  </si>
  <si>
    <t>sgx.com/research</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</si>
  <si>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</si>
  <si>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</si>
  <si>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</si>
  <si>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</si>
  <si>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</si>
  <si>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</si>
  <si>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</si>
  <si>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</si>
  <si>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</si>
  <si>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</si>
  <si>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</si>
  <si>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</si>
  <si>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</si>
  <si>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</si>
  <si>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</si>
  <si>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</si>
  <si>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</si>
  <si>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Emperador Inc</t>
  </si>
  <si>
    <t>EMI</t>
  </si>
  <si>
    <t>CapitaLand Ascendas REIT</t>
  </si>
  <si>
    <t>S51</t>
  </si>
  <si>
    <t>T82U</t>
  </si>
  <si>
    <t>AWX</t>
  </si>
  <si>
    <t>OV8</t>
  </si>
  <si>
    <t>HMN</t>
  </si>
  <si>
    <t>NS8U</t>
  </si>
  <si>
    <t>CMOU</t>
  </si>
  <si>
    <t>S56</t>
  </si>
  <si>
    <t>AU8U</t>
  </si>
  <si>
    <t>VC2</t>
  </si>
  <si>
    <t>Olam Group</t>
  </si>
  <si>
    <t>YTD Institution
Net Buy (+) / Net Sell (-) (S$M)</t>
  </si>
  <si>
    <t>YTD Avg Daily Turnover (S$M)</t>
  </si>
  <si>
    <t>Past 5 Sessions Institution Net Buy (+) / Net Sell (-) (S$M)</t>
  </si>
  <si>
    <t>Sector</t>
  </si>
  <si>
    <t>T14</t>
  </si>
  <si>
    <t>K71U</t>
  </si>
  <si>
    <t>ESR-LOGOS REIT</t>
  </si>
  <si>
    <t>J91U</t>
  </si>
  <si>
    <t>A7RU</t>
  </si>
  <si>
    <t>5WH</t>
  </si>
  <si>
    <t>Keppel Reit</t>
  </si>
  <si>
    <t>C52</t>
  </si>
  <si>
    <t>JYEU</t>
  </si>
  <si>
    <t>E5H</t>
  </si>
  <si>
    <t>J69U</t>
  </si>
  <si>
    <t>E28</t>
  </si>
  <si>
    <t>MZH</t>
  </si>
  <si>
    <t>YF8</t>
  </si>
  <si>
    <t>EB5</t>
  </si>
  <si>
    <t>H02</t>
  </si>
  <si>
    <t>BSL</t>
  </si>
  <si>
    <t>CGN</t>
  </si>
  <si>
    <t>CJLU</t>
  </si>
  <si>
    <t>NIO</t>
  </si>
  <si>
    <t>CY6U</t>
  </si>
  <si>
    <t>DCRU</t>
  </si>
  <si>
    <t>J85</t>
  </si>
  <si>
    <t>RE4</t>
  </si>
  <si>
    <t>C2PU</t>
  </si>
  <si>
    <t>T13</t>
  </si>
  <si>
    <t>AIY</t>
  </si>
  <si>
    <t>BTOU</t>
  </si>
  <si>
    <t>BVA</t>
  </si>
  <si>
    <t>I07</t>
  </si>
  <si>
    <t>SK6U</t>
  </si>
  <si>
    <t>O5RU</t>
  </si>
  <si>
    <t>NO4</t>
  </si>
  <si>
    <t>CC3</t>
  </si>
  <si>
    <t>AP4</t>
  </si>
  <si>
    <t>OXMU</t>
  </si>
  <si>
    <t>CRPU</t>
  </si>
  <si>
    <t>Z25</t>
  </si>
  <si>
    <t>A50</t>
  </si>
  <si>
    <t>S08</t>
  </si>
  <si>
    <t>G92</t>
  </si>
  <si>
    <t>O9E</t>
  </si>
  <si>
    <t>H30</t>
  </si>
  <si>
    <t>S59</t>
  </si>
  <si>
    <t>Q5T</t>
  </si>
  <si>
    <t>P40U</t>
  </si>
  <si>
    <t>M1GU</t>
  </si>
  <si>
    <t>F03</t>
  </si>
  <si>
    <t>P34</t>
  </si>
  <si>
    <t>CWBU</t>
  </si>
  <si>
    <t>5LY</t>
  </si>
  <si>
    <t>C8R</t>
  </si>
  <si>
    <t>CapLand IntCom T</t>
  </si>
  <si>
    <t>YZJ Shipbldg SGD</t>
  </si>
  <si>
    <t>Genting Sing</t>
  </si>
  <si>
    <t>CapLand Ascendas REIT</t>
  </si>
  <si>
    <t>Keppel Corp</t>
  </si>
  <si>
    <t>Mapletree Log Tr</t>
  </si>
  <si>
    <t>Wilmar Intl</t>
  </si>
  <si>
    <t>CapitaLandInvest</t>
  </si>
  <si>
    <t>Mapletree PanAsia Com Tr</t>
  </si>
  <si>
    <t>JMH USD</t>
  </si>
  <si>
    <t>ThaiBev</t>
  </si>
  <si>
    <t>Sembcorp Ind</t>
  </si>
  <si>
    <t>Jardine C&amp;C</t>
  </si>
  <si>
    <t>CityDev</t>
  </si>
  <si>
    <t>Frasers L&amp;C Tr</t>
  </si>
  <si>
    <t>Venture</t>
  </si>
  <si>
    <t>Suntec Reit</t>
  </si>
  <si>
    <t>Keppel DC Reit</t>
  </si>
  <si>
    <t>Mapletree Ind Tr</t>
  </si>
  <si>
    <t>HongkongLand USD</t>
  </si>
  <si>
    <t>ComfortDelGro</t>
  </si>
  <si>
    <t>UMS</t>
  </si>
  <si>
    <t>UOL</t>
  </si>
  <si>
    <t>CapLand Ascott T</t>
  </si>
  <si>
    <t>Lendlease Reit</t>
  </si>
  <si>
    <t>Golden Agri-Res</t>
  </si>
  <si>
    <t>AEM SGD</t>
  </si>
  <si>
    <t>SamuderaShipping</t>
  </si>
  <si>
    <t>Frasers Cpt Tr</t>
  </si>
  <si>
    <t>Frencken</t>
  </si>
  <si>
    <t>Nanofilm</t>
  </si>
  <si>
    <t>YZJ Fin Hldg</t>
  </si>
  <si>
    <t>CapLand China T</t>
  </si>
  <si>
    <t>First Resources</t>
  </si>
  <si>
    <t>Sheng Siong</t>
  </si>
  <si>
    <t>Haw Par</t>
  </si>
  <si>
    <t>Raffles Medical</t>
  </si>
  <si>
    <t>Best World</t>
  </si>
  <si>
    <t>NetLink NBN Tr</t>
  </si>
  <si>
    <t>NIO Inc. USD OV</t>
  </si>
  <si>
    <t>Kep Infra Tr</t>
  </si>
  <si>
    <t>DFIRG USD</t>
  </si>
  <si>
    <t>CapLand India T</t>
  </si>
  <si>
    <t>DigiCore Reit USD</t>
  </si>
  <si>
    <t>Rex Intl</t>
  </si>
  <si>
    <t>CDL HTrust</t>
  </si>
  <si>
    <t>Geo Energy Res</t>
  </si>
  <si>
    <t>ParkwayLife Reit</t>
  </si>
  <si>
    <t>HPH Trust USD</t>
  </si>
  <si>
    <t>RH PetroGas</t>
  </si>
  <si>
    <t>IFAST</t>
  </si>
  <si>
    <t>ManulifeReit USD</t>
  </si>
  <si>
    <t>Top Glove</t>
  </si>
  <si>
    <t>ISDN</t>
  </si>
  <si>
    <t>PARAGONREIT</t>
  </si>
  <si>
    <t>AIMS APAC Reit</t>
  </si>
  <si>
    <t>Dyna-Mac</t>
  </si>
  <si>
    <t>StarHub</t>
  </si>
  <si>
    <t>TJ DaRenTang USD</t>
  </si>
  <si>
    <t>Riverstone</t>
  </si>
  <si>
    <t>Prime US ReitUSD</t>
  </si>
  <si>
    <t>Sasseur Reit</t>
  </si>
  <si>
    <t>Yanlord Land</t>
  </si>
  <si>
    <t>Thomson Medical</t>
  </si>
  <si>
    <t>SingPost</t>
  </si>
  <si>
    <t>China Aviation</t>
  </si>
  <si>
    <t>Parkson Retail^</t>
  </si>
  <si>
    <t>Hong Fok</t>
  </si>
  <si>
    <t>SIA Engineering</t>
  </si>
  <si>
    <t>Far East HTrust</t>
  </si>
  <si>
    <t>Emperador Inc.</t>
  </si>
  <si>
    <t>StarhillGbl Reit</t>
  </si>
  <si>
    <t>Sabana Reit</t>
  </si>
  <si>
    <t>Medtecs Intl</t>
  </si>
  <si>
    <t>Food Empire</t>
  </si>
  <si>
    <t>Delfi</t>
  </si>
  <si>
    <t>KepPacOakReitUSD</t>
  </si>
  <si>
    <t>Cromwell Reit EUR</t>
  </si>
  <si>
    <t>MarcoPolo Marine</t>
  </si>
  <si>
    <t>Jiutian Chemical</t>
  </si>
  <si>
    <t>Telecommunications</t>
  </si>
  <si>
    <t>Technology (Hardware/ Software)</t>
  </si>
  <si>
    <t>Healthcare</t>
  </si>
  <si>
    <t>Energy/ Oil &amp; Gas</t>
  </si>
  <si>
    <t>This document/material is not intended for distribution to, or for use by or to be acted on by any person or entity located in    any jurisdiction where such distribution, use or action would be contrary to applicable laws or regulations or would subject SGX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and Singapore Exchange Bond Trading Pte.  .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</si>
  <si>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Note ^ on SGX Watchlist</t>
  </si>
  <si>
    <t>All stocks tabled above consolidates counters relevant to the stock (e.g. fund flow for Singtel includes counters Z74 and Z77)</t>
  </si>
  <si>
    <t>OCBC Bank</t>
  </si>
  <si>
    <t>PropNex</t>
  </si>
  <si>
    <t>OYY</t>
  </si>
  <si>
    <t>Seatrium</t>
  </si>
  <si>
    <t>558</t>
  </si>
  <si>
    <t>546</t>
  </si>
  <si>
    <t>G07</t>
  </si>
  <si>
    <t>Great Eastern</t>
  </si>
  <si>
    <t>Mapletree Commercial Trust</t>
  </si>
  <si>
    <t>OUE Com Reit</t>
  </si>
  <si>
    <t>TS0U</t>
  </si>
  <si>
    <t>Aztech Gbl</t>
  </si>
  <si>
    <t>8AZ</t>
  </si>
  <si>
    <t xml:space="preserve">Note that the above list of 100 most traded stocks is on a year-to-date basis and may include stocks that are currently suspended for trading. </t>
  </si>
  <si>
    <t>CSE Global</t>
  </si>
  <si>
    <t>544</t>
  </si>
  <si>
    <t>Bumitama Agri</t>
  </si>
  <si>
    <t>P8Z</t>
  </si>
  <si>
    <t>ACV</t>
  </si>
  <si>
    <t>Frasers HTrust</t>
  </si>
  <si>
    <t>iFast Corporation</t>
  </si>
  <si>
    <t>Japfa</t>
  </si>
  <si>
    <t>UD2</t>
  </si>
  <si>
    <t>Week of 13 November 2023</t>
  </si>
  <si>
    <t>A34</t>
  </si>
  <si>
    <r>
      <t>Institutional investors net</t>
    </r>
    <r>
      <rPr>
        <b/>
        <sz val="11"/>
        <rFont val="Arial"/>
        <family val="2"/>
      </rPr>
      <t xml:space="preserve"> sell</t>
    </r>
    <r>
      <rPr>
        <sz val="11"/>
        <rFont val="Arial"/>
        <family val="2"/>
      </rPr>
      <t xml:space="preserve"> (-S$111.5m) vs. (-S$348.8m) a week ago</t>
    </r>
  </si>
  <si>
    <r>
      <t>Retail investors net</t>
    </r>
    <r>
      <rPr>
        <b/>
        <sz val="11"/>
        <rFont val="Arial"/>
        <family val="2"/>
      </rPr>
      <t xml:space="preserve"> sell</t>
    </r>
    <r>
      <rPr>
        <sz val="11"/>
        <rFont val="Arial"/>
        <family val="2"/>
      </rPr>
      <t xml:space="preserve"> (-S$7.1m) vs. (+S$211.8m) a week ago</t>
    </r>
  </si>
  <si>
    <t>Keppel DC REIT</t>
  </si>
  <si>
    <t>Amara Holdings</t>
  </si>
  <si>
    <t>AEM Holdings</t>
  </si>
  <si>
    <t>Keppel REIT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</si>
</sst>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0_);[Red]\(0.00\)"/>
  </numFmts>
  <fonts count="18"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
      <b/>
      <sz val="11"/>
      <name val="Calibri"/>
      <family val="2"/>
      <scheme val="minor"/>
    </font>
  </fonts>
  <fills count="7">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s>
  <borders count="17">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medium">
        <color rgb="FF002060"/>
      </left>
      <right style="medium">
        <color rgb="FF002060"/>
      </right>
      <top style="medium">
        <color rgb="FF002060"/>
      </top>
      <bottom style="medium">
        <color rgb="FF002060"/>
      </bottom>
      <diagonal/>
    </border>
    <border>
      <left style="medium">
        <color rgb="FF002060"/>
      </left>
      <right/>
      <top style="medium">
        <color rgb="FF002060"/>
      </top>
      <bottom style="medium">
        <color rgb="FF002060"/>
      </bottom>
      <diagonal/>
    </border>
    <border>
      <left/>
      <right style="medium">
        <color rgb="FF002060"/>
      </right>
      <top style="medium">
        <color rgb="FF002060"/>
      </top>
      <bottom style="medium">
        <color rgb="FF002060"/>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75">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49" fontId="5" fillId="3" borderId="3" xfId="0" applyNumberFormat="1" applyFont="1" applyFill="1" applyBorder="1" applyAlignment="1">
      <alignment vertical="center" wrapText="1"/>
    </xf>
    <xf numFmtId="164" fontId="3" fillId="4" borderId="4" xfId="0" applyNumberFormat="1" applyFont="1" applyFill="1" applyBorder="1" applyAlignment="1">
      <alignment horizontal="left"/>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5"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7" fontId="3" fillId="0" borderId="0" xfId="1" applyNumberFormat="1" applyFont="1" applyFill="1" applyAlignment="1">
      <alignment horizontal="center" vertical="center"/>
    </xf>
    <xf numFmtId="167" fontId="3" fillId="0" borderId="0" xfId="0" applyNumberFormat="1" applyFont="1"/>
    <xf numFmtId="165" fontId="3" fillId="4" borderId="0" xfId="0" applyNumberFormat="1" applyFont="1" applyFill="1" applyAlignment="1">
      <alignment horizontal="left"/>
    </xf>
    <xf numFmtId="167" fontId="3" fillId="4" borderId="0" xfId="1" applyNumberFormat="1" applyFont="1" applyFill="1" applyAlignment="1">
      <alignment horizontal="center" vertical="center"/>
    </xf>
    <xf numFmtId="167" fontId="3" fillId="0" borderId="0" xfId="1" applyNumberFormat="1" applyFont="1" applyFill="1" applyBorder="1"/>
    <xf numFmtId="167" fontId="3" fillId="0" borderId="0" xfId="1" applyNumberFormat="1" applyFont="1" applyFill="1"/>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4" fontId="3" fillId="4" borderId="9" xfId="0" applyNumberFormat="1" applyFont="1" applyFill="1" applyBorder="1" applyAlignment="1">
      <alignment horizontal="left"/>
    </xf>
    <xf numFmtId="0" fontId="3" fillId="4" borderId="9" xfId="0" applyFont="1" applyFill="1" applyBorder="1" applyAlignment="1">
      <alignment horizontal="left"/>
    </xf>
    <xf numFmtId="164" fontId="3" fillId="4" borderId="9" xfId="0" applyNumberFormat="1" applyFont="1" applyFill="1" applyBorder="1" applyAlignment="1">
      <alignment horizontal="right"/>
    </xf>
    <xf numFmtId="164" fontId="3" fillId="0" borderId="4" xfId="0" applyNumberFormat="1" applyFont="1" applyBorder="1" applyAlignment="1">
      <alignment horizontal="left"/>
    </xf>
    <xf numFmtId="0" fontId="3" fillId="0" borderId="4" xfId="0" applyFont="1" applyBorder="1" applyAlignment="1">
      <alignment horizontal="left"/>
    </xf>
    <xf numFmtId="164" fontId="4" fillId="0" borderId="10" xfId="0" applyNumberFormat="1" applyFont="1" applyBorder="1" applyAlignment="1">
      <alignment horizontal="right" vertical="center" wrapText="1"/>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4" borderId="0" xfId="0" applyFont="1" applyFill="1" applyAlignment="1">
      <alignment horizontal="left"/>
    </xf>
    <xf numFmtId="0" fontId="3" fillId="0" borderId="15"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49" fontId="5" fillId="3" borderId="3" xfId="0" applyNumberFormat="1" applyFont="1" applyFill="1" applyBorder="1" applyAlignment="1">
      <alignment horizontal="left" vertical="center" wrapText="1"/>
    </xf>
    <xf numFmtId="168" fontId="0" fillId="0" borderId="0" xfId="1" applyNumberFormat="1" applyFont="1"/>
    <xf numFmtId="49" fontId="7"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4" fontId="0" fillId="0" borderId="0" xfId="0" applyNumberFormat="1"/>
    <xf numFmtId="167" fontId="0" fillId="0" borderId="0" xfId="0" applyNumberFormat="1"/>
    <xf numFmtId="169" fontId="3" fillId="0" borderId="0" xfId="0" applyNumberFormat="1" applyFont="1"/>
    <xf numFmtId="170" fontId="3" fillId="4" borderId="4" xfId="0" applyNumberFormat="1" applyFont="1" applyFill="1" applyBorder="1" applyAlignment="1">
      <alignment horizontal="right"/>
    </xf>
    <xf numFmtId="166" fontId="7" fillId="6" borderId="14" xfId="0" applyNumberFormat="1" applyFont="1" applyFill="1" applyBorder="1" applyAlignment="1">
      <alignment horizontal="center"/>
    </xf>
    <xf numFmtId="0" fontId="15" fillId="0" borderId="0" xfId="0" applyFont="1"/>
    <xf numFmtId="49" fontId="5" fillId="3" borderId="16" xfId="0" applyNumberFormat="1" applyFont="1" applyFill="1" applyBorder="1" applyAlignment="1">
      <alignment horizontal="right" vertical="center" wrapText="1"/>
    </xf>
    <xf numFmtId="0" fontId="14" fillId="0" borderId="0" xfId="0" applyFont="1" applyAlignment="1">
      <alignment vertical="center"/>
    </xf>
    <xf numFmtId="164" fontId="3" fillId="0" borderId="0" xfId="0" applyNumberFormat="1" applyFont="1" applyAlignment="1">
      <alignment horizontal="left"/>
    </xf>
    <xf numFmtId="164"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164" fontId="3" fillId="0" borderId="5" xfId="0" applyNumberFormat="1" applyFont="1" applyBorder="1" applyAlignment="1">
      <alignment horizontal="left"/>
    </xf>
    <xf numFmtId="0" fontId="3" fillId="0" borderId="5" xfId="0" applyFont="1" applyBorder="1" applyAlignment="1">
      <alignment horizontal="left"/>
    </xf>
    <xf numFmtId="0" fontId="17" fillId="0" borderId="0" xfId="0" applyFont="1"/>
    <xf numFmtId="0" fontId="14" fillId="5" borderId="5" xfId="0" applyFont="1" applyFill="1" applyBorder="1" applyAlignment="1">
      <alignment vertical="center"/>
    </xf>
    <xf numFmtId="168" fontId="0" fillId="0" borderId="0" xfId="0" applyNumberFormat="1"/>
    <xf numFmtId="0" fontId="13" fillId="0" borderId="0" xfId="0" applyFont="1" applyAlignment="1">
      <alignment horizontal="left" wrapText="1"/>
    </xf>
    <xf numFmtId="49" fontId="5" fillId="2" borderId="13" xfId="0" applyNumberFormat="1" applyFont="1" applyFill="1" applyBorder="1" applyAlignment="1">
      <alignment horizontal="center" vertical="center" wrapText="1"/>
    </xf>
    <xf numFmtId="49" fontId="5" fillId="2" borderId="14"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1" xfId="0" applyNumberFormat="1" applyFont="1" applyBorder="1" applyAlignment="1">
      <alignment horizontal="left" vertical="center" wrapText="1"/>
    </xf>
    <xf numFmtId="49" fontId="8" fillId="0" borderId="12" xfId="0" applyNumberFormat="1" applyFont="1" applyBorder="1" applyAlignment="1">
      <alignment horizontal="left"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4140625" defaultRowHeight="13.8" x14ac:dyDescent="0.25"/>
  <cols>
    <col min="1" max="1" width="43.44140625" style="2" customWidth="1"/>
    <col min="2" max="2" width="7" style="2" customWidth="1"/>
    <col min="3" max="3" width="17.44140625" style="2" customWidth="1"/>
    <col min="4" max="4" width="41.5546875" style="2" customWidth="1"/>
    <col min="5" max="5" width="7" style="2" customWidth="1"/>
    <col min="6" max="6" width="17.44140625" style="2" customWidth="1"/>
    <col min="7" max="7" width="26.44140625" style="2" customWidth="1"/>
    <col min="8" max="8" width="9.44140625" style="2"/>
    <col min="9" max="9" width="17" style="48" bestFit="1" customWidth="1"/>
    <col min="10" max="10" width="10.44140625" style="2" bestFit="1" customWidth="1"/>
    <col min="11" max="11" width="9.44140625" style="2"/>
    <col min="12" max="12" width="10.5546875" style="2" bestFit="1" customWidth="1"/>
    <col min="13" max="16384" width="9.44140625" style="2"/>
  </cols>
  <sheetData>
    <row r="1" spans="1:13" x14ac:dyDescent="0.25">
      <c r="A1" s="1" t="s">
        <v>270</v>
      </c>
    </row>
    <row r="2" spans="1:13" x14ac:dyDescent="0.25">
      <c r="A2" s="56" t="s">
        <v>272</v>
      </c>
    </row>
    <row r="3" spans="1:13" x14ac:dyDescent="0.25">
      <c r="A3" s="56" t="s">
        <v>273</v>
      </c>
    </row>
    <row r="5" spans="1:13" ht="29.25" customHeight="1" x14ac:dyDescent="0.25">
      <c r="A5" s="3" t="s">
        <v>0</v>
      </c>
      <c r="B5" s="3" t="s">
        <v>1</v>
      </c>
      <c r="C5" s="4" t="s">
        <v>270</v>
      </c>
      <c r="D5" s="45" t="s">
        <v>2</v>
      </c>
      <c r="E5" s="45" t="s">
        <v>1</v>
      </c>
      <c r="F5" s="57" t="str">
        <f>+C5</f>
        <v>Week of 13 November 2023</v>
      </c>
    </row>
    <row r="6" spans="1:13" ht="14.4" x14ac:dyDescent="0.3">
      <c r="A6" s="41" t="s">
        <v>38</v>
      </c>
      <c r="B6" s="39" t="s">
        <v>37</v>
      </c>
      <c r="C6" s="7">
        <v>23.587226999999999</v>
      </c>
      <c r="D6" s="41" t="s">
        <v>27</v>
      </c>
      <c r="E6" s="39" t="s">
        <v>22</v>
      </c>
      <c r="F6" s="7">
        <v>-82.894463000000002</v>
      </c>
      <c r="K6" s="53"/>
      <c r="L6"/>
      <c r="M6"/>
    </row>
    <row r="7" spans="1:13" ht="14.4" x14ac:dyDescent="0.3">
      <c r="A7" s="42" t="s">
        <v>36</v>
      </c>
      <c r="B7" s="11" t="s">
        <v>31</v>
      </c>
      <c r="C7" s="9">
        <v>22.197866000000001</v>
      </c>
      <c r="D7" s="42" t="s">
        <v>29</v>
      </c>
      <c r="E7" s="11" t="s">
        <v>24</v>
      </c>
      <c r="F7" s="9">
        <v>-35.096133999999999</v>
      </c>
      <c r="K7" s="53"/>
      <c r="L7"/>
      <c r="M7"/>
    </row>
    <row r="8" spans="1:13" ht="14.4" x14ac:dyDescent="0.3">
      <c r="A8" s="43" t="s">
        <v>88</v>
      </c>
      <c r="B8" s="39" t="s">
        <v>87</v>
      </c>
      <c r="C8" s="7">
        <v>12.387174999999999</v>
      </c>
      <c r="D8" s="43" t="s">
        <v>250</v>
      </c>
      <c r="E8" s="39" t="s">
        <v>93</v>
      </c>
      <c r="F8" s="7">
        <v>-12.405989999999999</v>
      </c>
      <c r="K8" s="53"/>
      <c r="L8"/>
      <c r="M8"/>
    </row>
    <row r="9" spans="1:13" ht="14.4" x14ac:dyDescent="0.3">
      <c r="A9" s="42" t="s">
        <v>81</v>
      </c>
      <c r="B9" s="11" t="s">
        <v>58</v>
      </c>
      <c r="C9" s="9">
        <v>8.7665109999999995</v>
      </c>
      <c r="D9" s="42" t="s">
        <v>65</v>
      </c>
      <c r="E9" s="11" t="s">
        <v>56</v>
      </c>
      <c r="F9" s="9">
        <v>-11.991543999999999</v>
      </c>
      <c r="K9" s="53"/>
      <c r="L9"/>
      <c r="M9"/>
    </row>
    <row r="10" spans="1:13" ht="14.4" x14ac:dyDescent="0.3">
      <c r="A10" s="43" t="s">
        <v>48</v>
      </c>
      <c r="B10" s="39" t="s">
        <v>45</v>
      </c>
      <c r="C10" s="7">
        <v>7.6540619999999997</v>
      </c>
      <c r="D10" s="43" t="s">
        <v>28</v>
      </c>
      <c r="E10" s="39" t="s">
        <v>23</v>
      </c>
      <c r="F10" s="7">
        <v>-11.235590999999999</v>
      </c>
      <c r="K10" s="53"/>
      <c r="L10"/>
      <c r="M10"/>
    </row>
    <row r="11" spans="1:13" ht="14.4" x14ac:dyDescent="0.3">
      <c r="A11" s="42" t="s">
        <v>274</v>
      </c>
      <c r="B11" s="11" t="s">
        <v>80</v>
      </c>
      <c r="C11" s="9">
        <v>7.3025650000000004</v>
      </c>
      <c r="D11" s="42" t="s">
        <v>30</v>
      </c>
      <c r="E11" s="11" t="s">
        <v>25</v>
      </c>
      <c r="F11" s="9">
        <v>-9.9092889999999993</v>
      </c>
      <c r="K11" s="53"/>
      <c r="L11"/>
      <c r="M11"/>
    </row>
    <row r="12" spans="1:13" ht="14.4" x14ac:dyDescent="0.3">
      <c r="A12" s="43" t="s">
        <v>267</v>
      </c>
      <c r="B12" s="39" t="s">
        <v>134</v>
      </c>
      <c r="C12" s="7">
        <v>4.9264229999999998</v>
      </c>
      <c r="D12" s="43" t="s">
        <v>34</v>
      </c>
      <c r="E12" s="39" t="s">
        <v>32</v>
      </c>
      <c r="F12" s="7">
        <v>-9.5417240000000003</v>
      </c>
      <c r="K12" s="53"/>
      <c r="L12"/>
      <c r="M12"/>
    </row>
    <row r="13" spans="1:13" ht="14.4" x14ac:dyDescent="0.3">
      <c r="A13" s="42" t="s">
        <v>79</v>
      </c>
      <c r="B13" s="11" t="s">
        <v>78</v>
      </c>
      <c r="C13" s="9">
        <v>4.8259740000000004</v>
      </c>
      <c r="D13" s="42" t="s">
        <v>51</v>
      </c>
      <c r="E13" s="11" t="s">
        <v>49</v>
      </c>
      <c r="F13" s="9">
        <v>-9.4943583999999976</v>
      </c>
      <c r="K13" s="53"/>
      <c r="L13"/>
      <c r="M13"/>
    </row>
    <row r="14" spans="1:13" ht="14.4" x14ac:dyDescent="0.3">
      <c r="A14" s="43" t="s">
        <v>275</v>
      </c>
      <c r="B14" s="39" t="s">
        <v>271</v>
      </c>
      <c r="C14" s="7">
        <v>4.4714584999999998</v>
      </c>
      <c r="D14" s="43" t="s">
        <v>64</v>
      </c>
      <c r="E14" s="39" t="s">
        <v>54</v>
      </c>
      <c r="F14" s="7">
        <v>-9.4437682829000025</v>
      </c>
      <c r="K14" s="53"/>
      <c r="L14"/>
      <c r="M14"/>
    </row>
    <row r="15" spans="1:13" ht="14.4" x14ac:dyDescent="0.3">
      <c r="A15" s="44" t="s">
        <v>35</v>
      </c>
      <c r="B15" s="40" t="s">
        <v>33</v>
      </c>
      <c r="C15" s="10">
        <v>3.2370719999999999</v>
      </c>
      <c r="D15" s="44" t="s">
        <v>42</v>
      </c>
      <c r="E15" s="40" t="s">
        <v>40</v>
      </c>
      <c r="F15" s="10">
        <v>-9.0373420000000007</v>
      </c>
      <c r="K15" s="53"/>
      <c r="L15"/>
      <c r="M15"/>
    </row>
    <row r="16" spans="1:13" ht="15" x14ac:dyDescent="0.25">
      <c r="A16" s="11"/>
      <c r="B16" s="11"/>
      <c r="C16" s="11"/>
      <c r="D16" s="37"/>
      <c r="E16" s="11"/>
      <c r="F16" s="11"/>
    </row>
    <row r="17" spans="1:13" x14ac:dyDescent="0.25">
      <c r="A17" s="11"/>
      <c r="B17" s="11"/>
      <c r="C17" s="11"/>
      <c r="D17" s="11"/>
      <c r="E17" s="11"/>
      <c r="F17" s="11"/>
    </row>
    <row r="18" spans="1:13" ht="28.5" customHeight="1" x14ac:dyDescent="0.25">
      <c r="A18" s="47" t="s">
        <v>3</v>
      </c>
      <c r="B18" s="3" t="s">
        <v>1</v>
      </c>
      <c r="C18" s="4" t="str">
        <f>C5</f>
        <v>Week of 13 November 2023</v>
      </c>
      <c r="D18" s="5" t="s">
        <v>4</v>
      </c>
      <c r="E18" s="45" t="s">
        <v>1</v>
      </c>
      <c r="F18" s="57" t="str">
        <f>+C18</f>
        <v>Week of 13 November 2023</v>
      </c>
    </row>
    <row r="19" spans="1:13" ht="14.4" x14ac:dyDescent="0.3">
      <c r="A19" s="41" t="s">
        <v>27</v>
      </c>
      <c r="B19" s="39" t="s">
        <v>22</v>
      </c>
      <c r="C19" s="7">
        <v>65.144847999999996</v>
      </c>
      <c r="D19" s="41" t="s">
        <v>38</v>
      </c>
      <c r="E19" s="39" t="s">
        <v>37</v>
      </c>
      <c r="F19" s="7">
        <v>-37.190257000000003</v>
      </c>
      <c r="H19"/>
      <c r="I19" s="46"/>
      <c r="K19" s="53"/>
      <c r="L19"/>
      <c r="M19"/>
    </row>
    <row r="20" spans="1:13" ht="14.4" x14ac:dyDescent="0.3">
      <c r="A20" s="42" t="s">
        <v>29</v>
      </c>
      <c r="B20" s="11" t="s">
        <v>24</v>
      </c>
      <c r="C20" s="9">
        <v>21.244980000000002</v>
      </c>
      <c r="D20" s="42" t="s">
        <v>36</v>
      </c>
      <c r="E20" s="11" t="s">
        <v>31</v>
      </c>
      <c r="F20" s="9">
        <v>-26.568277999999999</v>
      </c>
      <c r="H20"/>
      <c r="I20" s="46"/>
      <c r="K20" s="53"/>
      <c r="L20"/>
      <c r="M20"/>
    </row>
    <row r="21" spans="1:13" ht="14.4" x14ac:dyDescent="0.3">
      <c r="A21" s="43" t="s">
        <v>51</v>
      </c>
      <c r="B21" s="39" t="s">
        <v>49</v>
      </c>
      <c r="C21" s="7">
        <v>17.707012800000001</v>
      </c>
      <c r="D21" s="43" t="s">
        <v>88</v>
      </c>
      <c r="E21" s="39" t="s">
        <v>87</v>
      </c>
      <c r="F21" s="7">
        <v>-12.559309000000001</v>
      </c>
      <c r="H21"/>
      <c r="I21" s="46"/>
      <c r="K21" s="53"/>
      <c r="L21"/>
      <c r="M21"/>
    </row>
    <row r="22" spans="1:13" ht="14.4" x14ac:dyDescent="0.3">
      <c r="A22" s="42" t="s">
        <v>28</v>
      </c>
      <c r="B22" s="11" t="s">
        <v>23</v>
      </c>
      <c r="C22" s="9">
        <v>9.75793</v>
      </c>
      <c r="D22" s="42" t="s">
        <v>92</v>
      </c>
      <c r="E22" s="11" t="s">
        <v>26</v>
      </c>
      <c r="F22" s="9">
        <v>-9.2223310000000005</v>
      </c>
      <c r="H22"/>
      <c r="I22" s="46"/>
      <c r="K22" s="53"/>
      <c r="L22"/>
      <c r="M22"/>
    </row>
    <row r="23" spans="1:13" ht="14.4" x14ac:dyDescent="0.3">
      <c r="A23" s="43" t="s">
        <v>63</v>
      </c>
      <c r="B23" s="39" t="s">
        <v>55</v>
      </c>
      <c r="C23" s="7">
        <v>5.7086129999999997</v>
      </c>
      <c r="D23" s="43" t="s">
        <v>35</v>
      </c>
      <c r="E23" s="39" t="s">
        <v>33</v>
      </c>
      <c r="F23" s="7">
        <v>-8.0302530000000001</v>
      </c>
      <c r="H23"/>
      <c r="I23" s="58"/>
      <c r="K23" s="53"/>
      <c r="L23"/>
      <c r="M23"/>
    </row>
    <row r="24" spans="1:13" ht="14.4" x14ac:dyDescent="0.3">
      <c r="A24" s="42" t="s">
        <v>250</v>
      </c>
      <c r="B24" s="11" t="s">
        <v>93</v>
      </c>
      <c r="C24" s="9">
        <v>5.1587144</v>
      </c>
      <c r="D24" s="42" t="s">
        <v>267</v>
      </c>
      <c r="E24" s="11" t="s">
        <v>134</v>
      </c>
      <c r="F24" s="9">
        <v>-6.8880600000000003</v>
      </c>
      <c r="H24"/>
      <c r="I24" s="46"/>
      <c r="K24" s="53"/>
      <c r="L24"/>
      <c r="M24"/>
    </row>
    <row r="25" spans="1:13" ht="14.4" x14ac:dyDescent="0.3">
      <c r="A25" s="43" t="s">
        <v>30</v>
      </c>
      <c r="B25" s="39" t="s">
        <v>25</v>
      </c>
      <c r="C25" s="7">
        <v>4.8580259999999997</v>
      </c>
      <c r="D25" s="43" t="s">
        <v>81</v>
      </c>
      <c r="E25" s="39" t="s">
        <v>58</v>
      </c>
      <c r="F25" s="7">
        <v>-6.6317250000000003</v>
      </c>
      <c r="H25"/>
      <c r="I25" s="46"/>
      <c r="K25" s="53"/>
      <c r="L25"/>
      <c r="M25"/>
    </row>
    <row r="26" spans="1:13" ht="14.4" x14ac:dyDescent="0.3">
      <c r="A26" s="42" t="s">
        <v>276</v>
      </c>
      <c r="B26" s="11" t="s">
        <v>95</v>
      </c>
      <c r="C26" s="9">
        <v>4.6565190000000003</v>
      </c>
      <c r="D26" s="42" t="s">
        <v>67</v>
      </c>
      <c r="E26" s="11" t="s">
        <v>61</v>
      </c>
      <c r="F26" s="9">
        <v>-4.9687130000000002</v>
      </c>
      <c r="H26"/>
      <c r="I26" s="46"/>
      <c r="K26" s="53"/>
      <c r="L26"/>
      <c r="M26"/>
    </row>
    <row r="27" spans="1:13" ht="14.4" x14ac:dyDescent="0.3">
      <c r="A27" s="43" t="s">
        <v>62</v>
      </c>
      <c r="B27" s="39" t="s">
        <v>53</v>
      </c>
      <c r="C27" s="7">
        <v>4.4830965000000003</v>
      </c>
      <c r="D27" s="43" t="s">
        <v>277</v>
      </c>
      <c r="E27" s="39" t="s">
        <v>109</v>
      </c>
      <c r="F27" s="7">
        <v>-4.7198215000000001</v>
      </c>
      <c r="H27"/>
      <c r="I27" s="46"/>
      <c r="K27" s="53"/>
      <c r="L27"/>
      <c r="M27"/>
    </row>
    <row r="28" spans="1:13" ht="14.4" x14ac:dyDescent="0.3">
      <c r="A28" s="44" t="s">
        <v>34</v>
      </c>
      <c r="B28" s="40" t="s">
        <v>32</v>
      </c>
      <c r="C28" s="10">
        <v>3.8745440000000002</v>
      </c>
      <c r="D28" s="65" t="s">
        <v>275</v>
      </c>
      <c r="E28" s="40" t="s">
        <v>271</v>
      </c>
      <c r="F28" s="10">
        <v>-4.4714584999999998</v>
      </c>
      <c r="H28"/>
      <c r="I28" s="46"/>
      <c r="K28" s="53"/>
      <c r="L28"/>
      <c r="M28"/>
    </row>
    <row r="29" spans="1:13" x14ac:dyDescent="0.25">
      <c r="A29" s="11"/>
      <c r="B29" s="11"/>
      <c r="C29" s="11"/>
      <c r="D29" s="11"/>
      <c r="E29" s="11"/>
      <c r="F29" s="11"/>
    </row>
    <row r="30" spans="1:13" ht="14.4" x14ac:dyDescent="0.3">
      <c r="A30" s="12" t="s">
        <v>69</v>
      </c>
      <c r="B30" s="12"/>
      <c r="C30" s="11"/>
      <c r="D30" s="11"/>
      <c r="E30" s="11"/>
      <c r="F30" s="11"/>
    </row>
    <row r="31" spans="1:13" ht="14.4" x14ac:dyDescent="0.3">
      <c r="A31" s="12" t="s">
        <v>84</v>
      </c>
      <c r="B31" s="12"/>
      <c r="C31" s="11"/>
      <c r="D31" s="11"/>
      <c r="E31" s="11"/>
      <c r="F31" s="11"/>
    </row>
    <row r="32" spans="1:13" ht="14.4" x14ac:dyDescent="0.3">
      <c r="A32" s="12" t="s">
        <v>85</v>
      </c>
      <c r="B32" s="12"/>
      <c r="C32" s="11"/>
      <c r="D32" s="11"/>
      <c r="E32" s="11"/>
      <c r="F32" s="11"/>
    </row>
    <row r="33" spans="1:9" ht="14.4" x14ac:dyDescent="0.3">
      <c r="A33" s="12" t="s">
        <v>6</v>
      </c>
      <c r="B33" s="12"/>
      <c r="C33" s="11"/>
      <c r="D33" s="11"/>
      <c r="E33" s="11"/>
      <c r="F33" s="11"/>
    </row>
    <row r="34" spans="1:9" ht="14.4" x14ac:dyDescent="0.3">
      <c r="A34" s="12" t="s">
        <v>77</v>
      </c>
      <c r="B34" s="12"/>
      <c r="C34" s="11"/>
      <c r="D34" s="11"/>
      <c r="E34" s="11"/>
      <c r="F34" s="11"/>
    </row>
    <row r="35" spans="1:9" ht="14.4" x14ac:dyDescent="0.3">
      <c r="A35" s="12"/>
      <c r="B35" s="12"/>
      <c r="C35" s="11"/>
      <c r="D35" s="11"/>
      <c r="E35" s="11"/>
      <c r="F35" s="11"/>
    </row>
    <row r="36" spans="1:9" ht="14.4" x14ac:dyDescent="0.3">
      <c r="A36" s="12"/>
      <c r="B36" s="12"/>
      <c r="C36" s="11"/>
      <c r="D36" s="11"/>
      <c r="E36" s="11"/>
      <c r="F36" s="11"/>
    </row>
    <row r="37" spans="1:9" customFormat="1" ht="15.6" x14ac:dyDescent="0.3">
      <c r="A37" s="29" t="s">
        <v>70</v>
      </c>
      <c r="B37" s="30"/>
      <c r="C37" s="31"/>
      <c r="D37" s="31"/>
      <c r="E37" s="30"/>
      <c r="F37" s="30"/>
      <c r="I37" s="46"/>
    </row>
    <row r="38" spans="1:9" customFormat="1" ht="14.4" x14ac:dyDescent="0.3">
      <c r="A38" s="32" t="s">
        <v>71</v>
      </c>
      <c r="B38" s="30"/>
      <c r="C38" s="31"/>
      <c r="D38" s="31"/>
      <c r="E38" s="30"/>
      <c r="F38" s="30"/>
      <c r="I38" s="46"/>
    </row>
    <row r="39" spans="1:9" s="36" customFormat="1" ht="19.350000000000001" customHeight="1" x14ac:dyDescent="0.3">
      <c r="A39" s="33" t="s">
        <v>72</v>
      </c>
      <c r="B39" s="34"/>
      <c r="C39" s="35"/>
      <c r="D39" s="35"/>
      <c r="E39" s="34"/>
      <c r="F39" s="34"/>
      <c r="I39" s="49"/>
    </row>
    <row r="40" spans="1:9" ht="169.35" customHeight="1" x14ac:dyDescent="0.25">
      <c r="A40" s="67" t="s">
        <v>244</v>
      </c>
      <c r="B40" s="67"/>
      <c r="C40" s="67"/>
      <c r="D40" s="67"/>
      <c r="E40" s="67"/>
      <c r="F40" s="67"/>
    </row>
    <row r="41" spans="1:9" x14ac:dyDescent="0.25">
      <c r="A41" s="11"/>
      <c r="B41" s="11"/>
      <c r="C41" s="11"/>
      <c r="D41" s="11"/>
      <c r="E41" s="11"/>
      <c r="F41" s="11"/>
    </row>
    <row r="42" spans="1:9" x14ac:dyDescent="0.25">
      <c r="A42" s="11"/>
      <c r="B42" s="11"/>
      <c r="C42" s="11"/>
      <c r="D42" s="11"/>
      <c r="E42" s="11"/>
      <c r="F42" s="11"/>
    </row>
    <row r="43" spans="1:9" x14ac:dyDescent="0.25">
      <c r="A43" s="11"/>
      <c r="B43" s="11"/>
      <c r="C43" s="11"/>
      <c r="D43" s="11"/>
      <c r="E43" s="11"/>
      <c r="F43" s="11"/>
    </row>
    <row r="44" spans="1:9" x14ac:dyDescent="0.25">
      <c r="A44" s="11"/>
      <c r="B44" s="11"/>
      <c r="C44" s="11"/>
      <c r="D44" s="11"/>
      <c r="E44" s="11"/>
      <c r="F44" s="11"/>
    </row>
    <row r="45" spans="1:9" x14ac:dyDescent="0.25">
      <c r="A45" s="11"/>
      <c r="B45" s="11"/>
      <c r="C45" s="11"/>
      <c r="D45" s="11"/>
      <c r="E45" s="11"/>
      <c r="F45" s="11"/>
    </row>
    <row r="46" spans="1:9" x14ac:dyDescent="0.25">
      <c r="A46" s="11"/>
      <c r="B46" s="11"/>
      <c r="C46" s="11"/>
      <c r="D46" s="11"/>
      <c r="E46" s="11"/>
      <c r="F46" s="11"/>
    </row>
    <row r="47" spans="1:9" x14ac:dyDescent="0.25">
      <c r="A47" s="11"/>
      <c r="B47" s="11"/>
      <c r="C47" s="11"/>
      <c r="D47" s="11"/>
      <c r="E47" s="11"/>
      <c r="F47" s="11"/>
    </row>
    <row r="48" spans="1:9" x14ac:dyDescent="0.25">
      <c r="A48" s="11"/>
      <c r="B48" s="11"/>
      <c r="C48" s="11"/>
      <c r="D48" s="11"/>
      <c r="E48" s="11"/>
      <c r="F48" s="11"/>
    </row>
    <row r="49" spans="1:6" x14ac:dyDescent="0.25">
      <c r="A49" s="11"/>
      <c r="B49" s="11"/>
      <c r="C49" s="11"/>
      <c r="D49" s="11"/>
      <c r="E49" s="11"/>
      <c r="F49" s="11"/>
    </row>
    <row r="50" spans="1:6" x14ac:dyDescent="0.25">
      <c r="A50" s="13"/>
      <c r="B50" s="13"/>
      <c r="C50" s="13"/>
      <c r="D50" s="13"/>
      <c r="E50" s="13"/>
      <c r="F50" s="13"/>
    </row>
    <row r="51" spans="1:6" x14ac:dyDescent="0.25">
      <c r="A51" s="13"/>
      <c r="B51" s="13"/>
      <c r="C51" s="13"/>
      <c r="D51" s="13"/>
      <c r="E51" s="13"/>
      <c r="F51" s="13"/>
    </row>
    <row r="52" spans="1:6" x14ac:dyDescent="0.25">
      <c r="A52" s="13"/>
      <c r="B52" s="13"/>
      <c r="C52" s="13"/>
      <c r="D52" s="13"/>
      <c r="E52" s="13"/>
      <c r="F52" s="13"/>
    </row>
    <row r="53" spans="1:6" x14ac:dyDescent="0.25">
      <c r="A53" s="13"/>
      <c r="B53" s="13"/>
      <c r="C53" s="13"/>
      <c r="D53" s="13"/>
      <c r="E53" s="13"/>
      <c r="F53" s="13"/>
    </row>
    <row r="54" spans="1:6" x14ac:dyDescent="0.25">
      <c r="A54" s="13"/>
      <c r="B54" s="13"/>
      <c r="C54" s="13"/>
      <c r="D54" s="13"/>
      <c r="E54" s="13"/>
      <c r="F54" s="13"/>
    </row>
    <row r="55" spans="1:6" x14ac:dyDescent="0.25">
      <c r="A55" s="13"/>
      <c r="B55" s="13"/>
      <c r="C55" s="13"/>
      <c r="D55" s="13"/>
      <c r="E55" s="13"/>
      <c r="F55" s="13"/>
    </row>
    <row r="56" spans="1:6" x14ac:dyDescent="0.25">
      <c r="A56" s="13"/>
      <c r="B56" s="13"/>
      <c r="C56" s="13"/>
      <c r="D56" s="13"/>
      <c r="E56" s="13"/>
      <c r="F56" s="13"/>
    </row>
    <row r="57" spans="1:6" x14ac:dyDescent="0.25">
      <c r="A57" s="13"/>
      <c r="B57" s="13"/>
      <c r="C57" s="13"/>
      <c r="D57" s="13"/>
      <c r="E57" s="13"/>
      <c r="F57" s="13"/>
    </row>
  </sheetData>
  <mergeCells count="1">
    <mergeCell ref="A40:F40"/>
  </mergeCells>
  <pageMargins left="0.7" right="0.7" top="0.75" bottom="0.75" header="0.3" footer="0.3"/>
  <pageSetup paperSize="9" orientation="portrait"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4"/>
  <sheetViews>
    <sheetView showGridLines="0" zoomScaleNormal="100" workbookViewId="0">
      <selection sqref="A1:A2"/>
    </sheetView>
  </sheetViews>
  <sheetFormatPr defaultColWidth="9.44140625" defaultRowHeight="13.8" x14ac:dyDescent="0.25"/>
  <cols>
    <col min="1" max="1" width="9.44140625" style="2"/>
    <col min="2" max="2" width="16" style="2" customWidth="1"/>
    <col min="3" max="3" width="11.44140625" style="2" customWidth="1"/>
    <col min="4" max="4" width="11" style="2" customWidth="1"/>
    <col min="5" max="6" width="10.44140625" style="2" customWidth="1"/>
    <col min="7" max="7" width="8" style="2" customWidth="1"/>
    <col min="8" max="8" width="11.44140625" style="2" bestFit="1" customWidth="1"/>
    <col min="9" max="9" width="12.44140625" style="2" bestFit="1" customWidth="1"/>
    <col min="10" max="10" width="9.44140625" style="2" customWidth="1"/>
    <col min="11" max="11" width="7.44140625" style="2" bestFit="1" customWidth="1"/>
    <col min="12" max="12" width="13.44140625" style="2" customWidth="1"/>
    <col min="13" max="13" width="7.5546875" style="2" bestFit="1" customWidth="1"/>
    <col min="14" max="14" width="8.5546875" style="2" bestFit="1" customWidth="1"/>
    <col min="15" max="16384" width="9.44140625" style="2"/>
  </cols>
  <sheetData>
    <row r="1" spans="1:15" ht="15" customHeight="1" x14ac:dyDescent="0.25">
      <c r="A1" s="68" t="s">
        <v>7</v>
      </c>
      <c r="B1" s="14" t="s">
        <v>8</v>
      </c>
      <c r="C1" s="70" t="s">
        <v>9</v>
      </c>
      <c r="D1" s="71"/>
      <c r="E1" s="71"/>
      <c r="F1" s="71"/>
      <c r="G1" s="71"/>
      <c r="H1" s="71"/>
      <c r="I1" s="71"/>
      <c r="J1" s="71"/>
      <c r="K1" s="71"/>
      <c r="L1" s="71"/>
      <c r="M1" s="71"/>
      <c r="N1" s="72"/>
    </row>
    <row r="2" spans="1:15" ht="65.849999999999994" customHeight="1" x14ac:dyDescent="0.25">
      <c r="A2" s="69"/>
      <c r="B2" s="14" t="s">
        <v>10</v>
      </c>
      <c r="C2" s="14" t="s">
        <v>11</v>
      </c>
      <c r="D2" s="14" t="s">
        <v>12</v>
      </c>
      <c r="E2" s="14" t="s">
        <v>13</v>
      </c>
      <c r="F2" s="14" t="s">
        <v>14</v>
      </c>
      <c r="G2" s="14" t="s">
        <v>73</v>
      </c>
      <c r="H2" s="14" t="s">
        <v>15</v>
      </c>
      <c r="I2" s="14" t="s">
        <v>16</v>
      </c>
      <c r="J2" s="14" t="s">
        <v>17</v>
      </c>
      <c r="K2" s="14" t="s">
        <v>18</v>
      </c>
      <c r="L2" s="14" t="s">
        <v>19</v>
      </c>
      <c r="M2" s="14" t="s">
        <v>74</v>
      </c>
      <c r="N2" s="14" t="s">
        <v>20</v>
      </c>
    </row>
    <row r="3" spans="1:15" x14ac:dyDescent="0.25">
      <c r="A3" s="55">
        <f t="shared" ref="A3:A6" si="0">SUM(C3:N3)</f>
        <v>-74.594455809569993</v>
      </c>
      <c r="B3" s="13">
        <v>45222</v>
      </c>
      <c r="C3" s="15">
        <v>11.182240698990004</v>
      </c>
      <c r="D3" s="15">
        <v>-5.0715706209000002</v>
      </c>
      <c r="E3" s="15">
        <v>-1.5335478</v>
      </c>
      <c r="F3" s="15">
        <v>-67.885847100000007</v>
      </c>
      <c r="G3" s="15">
        <v>-1.0631756261</v>
      </c>
      <c r="H3" s="15">
        <v>14.131466805770014</v>
      </c>
      <c r="I3" s="15">
        <v>-0.46582209999999991</v>
      </c>
      <c r="J3" s="15">
        <v>-5.7558790879000012</v>
      </c>
      <c r="K3" s="15">
        <v>-38.904940379430016</v>
      </c>
      <c r="L3" s="15">
        <v>7.7667458999999992</v>
      </c>
      <c r="M3" s="15">
        <v>10.7079492</v>
      </c>
      <c r="N3" s="15">
        <v>2.2979243</v>
      </c>
      <c r="O3" s="16"/>
    </row>
    <row r="4" spans="1:15" x14ac:dyDescent="0.25">
      <c r="A4" s="55">
        <f t="shared" si="0"/>
        <v>-175.18423139683</v>
      </c>
      <c r="B4" s="17">
        <v>45229</v>
      </c>
      <c r="C4" s="18">
        <v>-12.594790679929998</v>
      </c>
      <c r="D4" s="18">
        <v>14.966478512000002</v>
      </c>
      <c r="E4" s="18">
        <v>-0.97159490000000026</v>
      </c>
      <c r="F4" s="18">
        <v>-186.81249700000001</v>
      </c>
      <c r="G4" s="18">
        <v>-0.7435149056</v>
      </c>
      <c r="H4" s="18">
        <v>-16.684734363109996</v>
      </c>
      <c r="I4" s="18">
        <v>-2.6945534000000011</v>
      </c>
      <c r="J4" s="18">
        <v>-0.34897128150000106</v>
      </c>
      <c r="K4" s="18">
        <v>-3.7738023786900006</v>
      </c>
      <c r="L4" s="18">
        <v>25.974494100000008</v>
      </c>
      <c r="M4" s="18">
        <v>9.2609688999999999</v>
      </c>
      <c r="N4" s="18">
        <v>-0.761714</v>
      </c>
      <c r="O4" s="16"/>
    </row>
    <row r="5" spans="1:15" x14ac:dyDescent="0.25">
      <c r="A5" s="55">
        <f t="shared" si="0"/>
        <v>-348.78370972871994</v>
      </c>
      <c r="B5" s="13">
        <v>45236</v>
      </c>
      <c r="C5" s="15">
        <v>-14.766528904470002</v>
      </c>
      <c r="D5" s="15">
        <v>-6.2968730393999994</v>
      </c>
      <c r="E5" s="15">
        <v>-3.5901890000000001</v>
      </c>
      <c r="F5" s="15">
        <v>-85.2605468</v>
      </c>
      <c r="G5" s="15">
        <v>-9.6304048598000005</v>
      </c>
      <c r="H5" s="15">
        <v>-124.63580817774999</v>
      </c>
      <c r="I5" s="15">
        <v>-3.6440925000000006</v>
      </c>
      <c r="J5" s="15">
        <v>-18.710571984600001</v>
      </c>
      <c r="K5" s="15">
        <v>-47.260179562700003</v>
      </c>
      <c r="L5" s="15">
        <v>7.5801027000000021</v>
      </c>
      <c r="M5" s="15">
        <v>-46.203189499999986</v>
      </c>
      <c r="N5" s="15">
        <v>3.6345718999999996</v>
      </c>
      <c r="O5" s="16"/>
    </row>
    <row r="6" spans="1:15" x14ac:dyDescent="0.25">
      <c r="A6" s="55">
        <f t="shared" si="0"/>
        <v>-111.53014116169</v>
      </c>
      <c r="B6" s="17">
        <v>45243</v>
      </c>
      <c r="C6" s="18">
        <v>29.848065112899999</v>
      </c>
      <c r="D6" s="18">
        <v>-5.5164378000999958</v>
      </c>
      <c r="E6" s="18">
        <v>-0.67062760000000021</v>
      </c>
      <c r="F6" s="18">
        <v>-127.0125036</v>
      </c>
      <c r="G6" s="18">
        <v>1.6066938644999995</v>
      </c>
      <c r="H6" s="18">
        <v>-9.0218180438300042</v>
      </c>
      <c r="I6" s="18">
        <v>0.36236181499999998</v>
      </c>
      <c r="J6" s="18">
        <v>-18.770824069100001</v>
      </c>
      <c r="K6" s="18">
        <v>19.82845735894</v>
      </c>
      <c r="L6" s="18">
        <v>6.7756631999999968</v>
      </c>
      <c r="M6" s="18">
        <v>-10.508839499999997</v>
      </c>
      <c r="N6" s="18">
        <v>1.5496681000000001</v>
      </c>
      <c r="O6" s="16"/>
    </row>
    <row r="7" spans="1:15" x14ac:dyDescent="0.25">
      <c r="B7" s="13"/>
      <c r="C7" s="13"/>
      <c r="D7" s="13"/>
      <c r="E7" s="19"/>
      <c r="F7" s="19"/>
      <c r="G7" s="20"/>
      <c r="H7" s="20"/>
      <c r="I7" s="20"/>
      <c r="J7" s="20"/>
      <c r="K7" s="20"/>
      <c r="L7" s="20"/>
      <c r="M7" s="20"/>
      <c r="N7" s="20"/>
    </row>
    <row r="8" spans="1:15" ht="14.4" x14ac:dyDescent="0.3">
      <c r="B8" s="12" t="s">
        <v>5</v>
      </c>
      <c r="C8" s="12"/>
      <c r="D8" s="12"/>
    </row>
    <row r="9" spans="1:15" ht="14.4" x14ac:dyDescent="0.3">
      <c r="B9" s="12" t="s">
        <v>84</v>
      </c>
      <c r="C9" s="12"/>
      <c r="D9" s="12"/>
    </row>
    <row r="10" spans="1:15" ht="14.4" x14ac:dyDescent="0.3">
      <c r="B10" s="12" t="s">
        <v>6</v>
      </c>
      <c r="C10" s="12"/>
      <c r="D10" s="12"/>
    </row>
    <row r="11" spans="1:15" ht="14.4" x14ac:dyDescent="0.3">
      <c r="B11" s="12" t="s">
        <v>77</v>
      </c>
      <c r="C11" s="13"/>
      <c r="D11" s="13"/>
    </row>
    <row r="12" spans="1:15" ht="14.4" x14ac:dyDescent="0.3">
      <c r="B12"/>
      <c r="C12"/>
      <c r="D12"/>
      <c r="E12"/>
      <c r="F12"/>
      <c r="G12"/>
      <c r="H12" s="52"/>
      <c r="I12"/>
      <c r="J12" s="52"/>
      <c r="K12" s="52"/>
      <c r="L12" s="16"/>
    </row>
    <row r="13" spans="1:15" ht="14.4" x14ac:dyDescent="0.3">
      <c r="B13"/>
      <c r="C13"/>
      <c r="D13"/>
      <c r="E13"/>
      <c r="F13"/>
      <c r="G13"/>
      <c r="H13"/>
      <c r="I13"/>
      <c r="J13"/>
      <c r="K13"/>
      <c r="L13"/>
      <c r="M13"/>
      <c r="N13"/>
      <c r="O13"/>
    </row>
    <row r="14" spans="1:15" ht="14.4" x14ac:dyDescent="0.3">
      <c r="C14"/>
      <c r="D14"/>
      <c r="E14"/>
      <c r="F14"/>
      <c r="G14"/>
      <c r="H14"/>
      <c r="I14"/>
      <c r="J14"/>
      <c r="K14"/>
      <c r="L14"/>
      <c r="M14"/>
      <c r="N14"/>
    </row>
    <row r="15" spans="1:15" ht="14.4" x14ac:dyDescent="0.3">
      <c r="C15"/>
      <c r="D15"/>
      <c r="E15"/>
      <c r="F15"/>
      <c r="G15"/>
      <c r="H15"/>
      <c r="I15"/>
      <c r="J15"/>
      <c r="K15"/>
      <c r="L15"/>
      <c r="M15"/>
      <c r="N15"/>
      <c r="O15" s="52"/>
    </row>
    <row r="16" spans="1:15" ht="14.4" x14ac:dyDescent="0.3">
      <c r="C16" s="66"/>
      <c r="D16" s="66"/>
      <c r="E16" s="66"/>
      <c r="F16" s="66"/>
      <c r="G16" s="66"/>
      <c r="H16" s="66"/>
      <c r="I16" s="66"/>
      <c r="J16" s="66"/>
      <c r="K16" s="66"/>
      <c r="L16" s="66"/>
      <c r="M16" s="66"/>
      <c r="N16" s="66"/>
      <c r="O16" s="66"/>
    </row>
    <row r="17" spans="3:15" ht="14.4" x14ac:dyDescent="0.3">
      <c r="C17" s="52"/>
      <c r="D17" s="52"/>
      <c r="E17" s="52"/>
      <c r="F17" s="52"/>
      <c r="G17" s="52"/>
      <c r="H17" s="52"/>
      <c r="I17" s="52"/>
      <c r="J17" s="52"/>
      <c r="K17" s="52"/>
      <c r="L17" s="52"/>
      <c r="M17" s="52"/>
      <c r="N17" s="52"/>
      <c r="O17" s="52"/>
    </row>
    <row r="18" spans="3:15" ht="14.4" x14ac:dyDescent="0.3">
      <c r="C18" s="50"/>
      <c r="D18" s="50"/>
      <c r="E18" s="50"/>
      <c r="F18" s="50"/>
      <c r="G18" s="50"/>
      <c r="H18" s="50"/>
      <c r="I18" s="50"/>
      <c r="J18" s="50"/>
      <c r="K18" s="50"/>
      <c r="L18" s="50"/>
      <c r="M18" s="50"/>
      <c r="N18" s="50"/>
      <c r="O18" s="50"/>
    </row>
    <row r="19" spans="3:15" ht="14.4" x14ac:dyDescent="0.3">
      <c r="C19"/>
      <c r="D19"/>
    </row>
    <row r="20" spans="3:15" ht="14.4" x14ac:dyDescent="0.3">
      <c r="C20"/>
      <c r="D20"/>
    </row>
    <row r="21" spans="3:15" ht="14.4" x14ac:dyDescent="0.3">
      <c r="C21"/>
      <c r="D21"/>
    </row>
    <row r="22" spans="3:15" ht="14.4" x14ac:dyDescent="0.3">
      <c r="C22"/>
      <c r="D22"/>
    </row>
    <row r="23" spans="3:15" ht="14.4" x14ac:dyDescent="0.3">
      <c r="C23"/>
      <c r="D23"/>
    </row>
    <row r="24" spans="3:15" ht="14.4" x14ac:dyDescent="0.3">
      <c r="C24"/>
      <c r="D24"/>
    </row>
  </sheetData>
  <sortState xmlns:xlrd2="http://schemas.microsoft.com/office/spreadsheetml/2017/richdata2" ref="A3:N5">
    <sortCondition ref="B3:B5"/>
  </sortState>
  <mergeCells count="2">
    <mergeCell ref="A1:A2"/>
    <mergeCell ref="C1:N1"/>
  </mergeCells>
  <conditionalFormatting sqref="A3:A6">
    <cfRule type="colorScale" priority="1">
      <colorScale>
        <cfvo type="num" val="0"/>
        <cfvo type="num" val="0"/>
        <color rgb="FFFF0000"/>
        <color rgb="FF00B050"/>
      </colorScale>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4"/>
  <sheetViews>
    <sheetView showGridLines="0" zoomScaleNormal="100" workbookViewId="0">
      <selection sqref="A1:A2"/>
    </sheetView>
  </sheetViews>
  <sheetFormatPr defaultColWidth="9.44140625" defaultRowHeight="13.8" x14ac:dyDescent="0.25"/>
  <cols>
    <col min="1" max="1" width="9.44140625" style="2"/>
    <col min="2" max="2" width="15.6640625" style="2" customWidth="1"/>
    <col min="3" max="3" width="11.44140625" style="2" bestFit="1" customWidth="1"/>
    <col min="4" max="4" width="11.5546875" style="2" bestFit="1" customWidth="1"/>
    <col min="5" max="6" width="10.5546875" style="2" bestFit="1" customWidth="1"/>
    <col min="7" max="7" width="8.44140625" style="2" customWidth="1"/>
    <col min="8" max="8" width="11.5546875" style="2" bestFit="1" customWidth="1"/>
    <col min="9" max="9" width="12.5546875" style="2" bestFit="1" customWidth="1"/>
    <col min="10" max="10" width="8.5546875" style="2" customWidth="1"/>
    <col min="11" max="11" width="8.44140625" style="2" bestFit="1" customWidth="1"/>
    <col min="12" max="12" width="12.5546875" style="2" customWidth="1"/>
    <col min="13" max="13" width="8.44140625" style="2" bestFit="1" customWidth="1"/>
    <col min="14" max="14" width="8.5546875" style="2" bestFit="1" customWidth="1"/>
    <col min="15" max="16384" width="9.44140625" style="2"/>
  </cols>
  <sheetData>
    <row r="1" spans="1:18" ht="21" customHeight="1" x14ac:dyDescent="0.25">
      <c r="A1" s="68" t="s">
        <v>7</v>
      </c>
      <c r="B1" s="14" t="s">
        <v>8</v>
      </c>
      <c r="C1" s="70" t="s">
        <v>9</v>
      </c>
      <c r="D1" s="71"/>
      <c r="E1" s="71"/>
      <c r="F1" s="71"/>
      <c r="G1" s="71"/>
      <c r="H1" s="71"/>
      <c r="I1" s="71"/>
      <c r="J1" s="71"/>
      <c r="K1" s="71"/>
      <c r="L1" s="71"/>
      <c r="M1" s="71"/>
      <c r="N1" s="72"/>
    </row>
    <row r="2" spans="1:18" ht="55.2" x14ac:dyDescent="0.25">
      <c r="A2" s="69"/>
      <c r="B2" s="14" t="s">
        <v>21</v>
      </c>
      <c r="C2" s="14" t="s">
        <v>11</v>
      </c>
      <c r="D2" s="14" t="s">
        <v>12</v>
      </c>
      <c r="E2" s="14" t="s">
        <v>13</v>
      </c>
      <c r="F2" s="14" t="s">
        <v>14</v>
      </c>
      <c r="G2" s="14" t="s">
        <v>73</v>
      </c>
      <c r="H2" s="14" t="s">
        <v>15</v>
      </c>
      <c r="I2" s="14" t="s">
        <v>16</v>
      </c>
      <c r="J2" s="14" t="s">
        <v>17</v>
      </c>
      <c r="K2" s="14" t="s">
        <v>18</v>
      </c>
      <c r="L2" s="14" t="s">
        <v>19</v>
      </c>
      <c r="M2" s="14" t="s">
        <v>74</v>
      </c>
      <c r="N2" s="14" t="s">
        <v>20</v>
      </c>
    </row>
    <row r="3" spans="1:18" x14ac:dyDescent="0.25">
      <c r="A3" s="55">
        <f>SUM(C3:N3)</f>
        <v>238.52332180082999</v>
      </c>
      <c r="B3" s="13">
        <v>45222</v>
      </c>
      <c r="C3" s="15">
        <v>-10.727013804260006</v>
      </c>
      <c r="D3" s="15">
        <v>3.4674393130000003</v>
      </c>
      <c r="E3" s="15">
        <v>2.7291262999999999</v>
      </c>
      <c r="F3" s="15">
        <v>163.0738532</v>
      </c>
      <c r="G3" s="15">
        <v>0.80154247789999999</v>
      </c>
      <c r="H3" s="15">
        <v>16.412981773789998</v>
      </c>
      <c r="I3" s="15">
        <v>1.4901561999999997</v>
      </c>
      <c r="J3" s="15">
        <v>20.673555477000001</v>
      </c>
      <c r="K3" s="15">
        <v>48.405571963400007</v>
      </c>
      <c r="L3" s="15">
        <v>-8.8938721999999988</v>
      </c>
      <c r="M3" s="15">
        <v>2.1426621999999997</v>
      </c>
      <c r="N3" s="15">
        <v>-1.0526811</v>
      </c>
      <c r="O3" s="16"/>
    </row>
    <row r="4" spans="1:18" x14ac:dyDescent="0.25">
      <c r="A4" s="55">
        <f>SUM(C4:N4)</f>
        <v>-14.901679830820019</v>
      </c>
      <c r="B4" s="17">
        <v>45229</v>
      </c>
      <c r="C4" s="18">
        <v>3.2760547706900005</v>
      </c>
      <c r="D4" s="18">
        <v>-13.407768964300001</v>
      </c>
      <c r="E4" s="18">
        <v>-0.39837590000000001</v>
      </c>
      <c r="F4" s="18">
        <v>24.317907999999996</v>
      </c>
      <c r="G4" s="18">
        <v>-0.11928996919999986</v>
      </c>
      <c r="H4" s="18">
        <v>23.769555975169997</v>
      </c>
      <c r="I4" s="18">
        <v>3.2643694000000001</v>
      </c>
      <c r="J4" s="18">
        <v>-8.1695709836000052</v>
      </c>
      <c r="K4" s="18">
        <v>0.80962654042000048</v>
      </c>
      <c r="L4" s="18">
        <v>-24.116486500000008</v>
      </c>
      <c r="M4" s="18">
        <v>-21.562557299999998</v>
      </c>
      <c r="N4" s="18">
        <v>-2.5651449000000004</v>
      </c>
      <c r="O4" s="16"/>
    </row>
    <row r="5" spans="1:18" x14ac:dyDescent="0.25">
      <c r="A5" s="55">
        <f>SUM(C5:N5)</f>
        <v>211.78449305869003</v>
      </c>
      <c r="B5" s="13">
        <v>45236</v>
      </c>
      <c r="C5" s="15">
        <v>6.0357249389899996</v>
      </c>
      <c r="D5" s="15">
        <v>-0.33656466900000021</v>
      </c>
      <c r="E5" s="15">
        <v>6.3098073000000001</v>
      </c>
      <c r="F5" s="15">
        <v>8.8142286000000034</v>
      </c>
      <c r="G5" s="15">
        <v>10.730708524400001</v>
      </c>
      <c r="H5" s="15">
        <v>92.984882410639997</v>
      </c>
      <c r="I5" s="15">
        <v>3.9183601000000006</v>
      </c>
      <c r="J5" s="15">
        <v>21.937594133499999</v>
      </c>
      <c r="K5" s="15">
        <v>12.137037620160003</v>
      </c>
      <c r="L5" s="15">
        <v>2.8233188000000005</v>
      </c>
      <c r="M5" s="15">
        <v>54.218381299999997</v>
      </c>
      <c r="N5" s="15">
        <v>-7.7889859999999995</v>
      </c>
      <c r="O5" s="16"/>
    </row>
    <row r="6" spans="1:18" x14ac:dyDescent="0.25">
      <c r="A6" s="55">
        <f>SUM(C6:N6)</f>
        <v>-7.1437361004899973</v>
      </c>
      <c r="B6" s="17">
        <v>45243</v>
      </c>
      <c r="C6" s="18">
        <v>-42.680655286939995</v>
      </c>
      <c r="D6" s="18">
        <v>-0.60378924519999999</v>
      </c>
      <c r="E6" s="18">
        <v>4.8637000000000229E-2</v>
      </c>
      <c r="F6" s="18">
        <v>88.703192399999992</v>
      </c>
      <c r="G6" s="18">
        <v>-1.9467369257000002</v>
      </c>
      <c r="H6" s="18">
        <v>-20.027620638349983</v>
      </c>
      <c r="I6" s="18">
        <v>0.69287028500000014</v>
      </c>
      <c r="J6" s="18">
        <v>-4.5412243246000017</v>
      </c>
      <c r="K6" s="18">
        <v>-43.014424364700012</v>
      </c>
      <c r="L6" s="18">
        <v>-2.8302894999999988</v>
      </c>
      <c r="M6" s="18">
        <v>17.994414200000001</v>
      </c>
      <c r="N6" s="18">
        <v>1.0618903</v>
      </c>
      <c r="O6" s="16"/>
    </row>
    <row r="7" spans="1:18" x14ac:dyDescent="0.25">
      <c r="P7" s="16"/>
    </row>
    <row r="8" spans="1:18" ht="14.4" x14ac:dyDescent="0.3">
      <c r="B8" s="12" t="s">
        <v>5</v>
      </c>
      <c r="C8" s="12"/>
      <c r="D8" s="12"/>
    </row>
    <row r="9" spans="1:18" ht="14.4" x14ac:dyDescent="0.3">
      <c r="B9" s="12" t="s">
        <v>86</v>
      </c>
      <c r="C9" s="12"/>
      <c r="D9" s="12"/>
    </row>
    <row r="10" spans="1:18" ht="14.4" x14ac:dyDescent="0.3">
      <c r="B10" s="12" t="s">
        <v>6</v>
      </c>
      <c r="C10" s="12"/>
      <c r="D10" s="12"/>
    </row>
    <row r="11" spans="1:18" ht="14.4" x14ac:dyDescent="0.3">
      <c r="B11" s="12" t="s">
        <v>77</v>
      </c>
      <c r="C11" s="13"/>
      <c r="D11" s="13"/>
    </row>
    <row r="12" spans="1:18" ht="14.4" x14ac:dyDescent="0.3">
      <c r="C12"/>
      <c r="D12"/>
      <c r="E12"/>
      <c r="F12"/>
      <c r="G12"/>
      <c r="H12"/>
      <c r="I12"/>
      <c r="J12"/>
      <c r="K12"/>
      <c r="L12"/>
      <c r="M12"/>
      <c r="N12"/>
    </row>
    <row r="13" spans="1:18" ht="14.4" x14ac:dyDescent="0.3">
      <c r="B13"/>
      <c r="C13"/>
      <c r="D13"/>
      <c r="E13"/>
      <c r="F13"/>
      <c r="G13"/>
      <c r="H13"/>
      <c r="I13"/>
      <c r="J13"/>
      <c r="K13"/>
      <c r="L13"/>
      <c r="M13"/>
      <c r="N13"/>
    </row>
    <row r="14" spans="1:18" ht="14.4" x14ac:dyDescent="0.3">
      <c r="B14"/>
      <c r="C14"/>
      <c r="D14"/>
      <c r="E14"/>
      <c r="F14"/>
      <c r="G14"/>
      <c r="H14"/>
      <c r="I14"/>
      <c r="J14"/>
      <c r="K14"/>
      <c r="L14"/>
      <c r="M14"/>
      <c r="N14"/>
      <c r="O14" s="52"/>
      <c r="P14"/>
      <c r="Q14"/>
      <c r="R14"/>
    </row>
    <row r="15" spans="1:18" ht="14.4" x14ac:dyDescent="0.3">
      <c r="B15"/>
      <c r="C15"/>
      <c r="D15"/>
      <c r="E15"/>
      <c r="F15"/>
      <c r="G15"/>
      <c r="H15"/>
      <c r="I15"/>
      <c r="J15"/>
      <c r="K15"/>
      <c r="L15"/>
      <c r="M15"/>
      <c r="N15"/>
      <c r="O15"/>
      <c r="P15"/>
      <c r="Q15"/>
      <c r="R15"/>
    </row>
    <row r="16" spans="1:18" ht="14.4" x14ac:dyDescent="0.3">
      <c r="C16" s="66"/>
      <c r="D16" s="66"/>
      <c r="E16" s="66"/>
      <c r="F16" s="66"/>
      <c r="G16" s="66"/>
      <c r="H16" s="66"/>
      <c r="I16" s="66"/>
      <c r="J16" s="66"/>
      <c r="K16" s="66"/>
      <c r="L16" s="66"/>
      <c r="M16" s="66"/>
      <c r="N16" s="66"/>
      <c r="O16"/>
    </row>
    <row r="17" spans="3:14" ht="14.4" x14ac:dyDescent="0.3">
      <c r="C17" s="52"/>
      <c r="D17" s="52"/>
      <c r="E17" s="52"/>
      <c r="F17" s="52"/>
      <c r="G17" s="52"/>
      <c r="H17" s="52"/>
      <c r="I17" s="52"/>
      <c r="J17" s="52"/>
      <c r="K17" s="52"/>
      <c r="L17" s="52"/>
      <c r="M17" s="52"/>
      <c r="N17" s="52"/>
    </row>
    <row r="18" spans="3:14" ht="14.4" x14ac:dyDescent="0.3">
      <c r="C18"/>
      <c r="D18"/>
      <c r="E18"/>
      <c r="F18"/>
      <c r="G18"/>
      <c r="H18"/>
      <c r="I18"/>
      <c r="J18"/>
      <c r="K18"/>
      <c r="L18"/>
      <c r="M18"/>
      <c r="N18"/>
    </row>
    <row r="19" spans="3:14" ht="14.4" x14ac:dyDescent="0.3">
      <c r="C19" s="52"/>
      <c r="D19" s="52"/>
      <c r="E19" s="52"/>
      <c r="F19" s="52"/>
      <c r="G19" s="52"/>
      <c r="H19" s="52"/>
      <c r="I19" s="52"/>
      <c r="J19" s="52"/>
      <c r="K19" s="52"/>
      <c r="L19" s="52"/>
      <c r="M19" s="52"/>
      <c r="N19" s="52"/>
    </row>
    <row r="20" spans="3:14" ht="14.4" x14ac:dyDescent="0.3">
      <c r="C20"/>
      <c r="D20"/>
    </row>
    <row r="21" spans="3:14" ht="14.4" x14ac:dyDescent="0.3">
      <c r="C21"/>
      <c r="D21"/>
    </row>
    <row r="22" spans="3:14" ht="14.4" x14ac:dyDescent="0.3">
      <c r="C22"/>
      <c r="D22"/>
    </row>
    <row r="23" spans="3:14" ht="14.4" x14ac:dyDescent="0.3">
      <c r="C23"/>
      <c r="D23"/>
    </row>
    <row r="24" spans="3:14" ht="14.4" x14ac:dyDescent="0.3">
      <c r="C24"/>
      <c r="D24"/>
    </row>
  </sheetData>
  <mergeCells count="2">
    <mergeCell ref="A1:A2"/>
    <mergeCell ref="C1:N1"/>
  </mergeCells>
  <conditionalFormatting sqref="A3:A6">
    <cfRule type="colorScale" priority="1">
      <colorScale>
        <cfvo type="num" val="0"/>
        <cfvo type="num" val="0"/>
        <color rgb="FFFF0000"/>
        <color rgb="FF00B050"/>
      </colorScale>
    </cfRule>
  </conditionalFormatting>
  <pageMargins left="0.7" right="0.7" top="0.75" bottom="0.75" header="0.3" footer="0.3"/>
  <pageSetup paperSize="9" scale="63" fitToHeight="0" orientation="landscape" r:id="rId1"/>
  <ignoredErrors>
    <ignoredError sqref="A6"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H37"/>
  <sheetViews>
    <sheetView showGridLines="0" zoomScaleNormal="100" workbookViewId="0"/>
  </sheetViews>
  <sheetFormatPr defaultRowHeight="14.4" x14ac:dyDescent="0.3"/>
  <cols>
    <col min="1" max="1" width="41.5546875" customWidth="1"/>
    <col min="2" max="2" width="8.5546875" customWidth="1"/>
    <col min="3" max="4" width="14.5546875" customWidth="1"/>
    <col min="5" max="5" width="8.6640625" customWidth="1"/>
  </cols>
  <sheetData>
    <row r="1" spans="1:8" ht="55.2" x14ac:dyDescent="0.3">
      <c r="A1" s="38" t="str">
        <f>CONCATENATE("STI Constituents - ",'Weekly Top 10'!$C$5)</f>
        <v>STI Constituents - Week of 13 November 2023</v>
      </c>
      <c r="B1" s="21" t="s">
        <v>1</v>
      </c>
      <c r="C1" s="22" t="s">
        <v>75</v>
      </c>
      <c r="D1" s="22" t="s">
        <v>76</v>
      </c>
    </row>
    <row r="2" spans="1:8" x14ac:dyDescent="0.3">
      <c r="A2" s="23" t="s">
        <v>92</v>
      </c>
      <c r="B2" s="24" t="s">
        <v>26</v>
      </c>
      <c r="C2" s="25">
        <v>0.70759899999999998</v>
      </c>
      <c r="D2" s="25">
        <v>-9.2223310000000005</v>
      </c>
      <c r="E2" s="46"/>
      <c r="F2" s="50"/>
      <c r="H2" s="51"/>
    </row>
    <row r="3" spans="1:8" x14ac:dyDescent="0.3">
      <c r="A3" s="26" t="s">
        <v>81</v>
      </c>
      <c r="B3" s="27" t="s">
        <v>58</v>
      </c>
      <c r="C3" s="9">
        <v>8.7665109999999995</v>
      </c>
      <c r="D3" s="9">
        <v>-6.6317250000000003</v>
      </c>
      <c r="E3" s="46"/>
      <c r="F3" s="50"/>
      <c r="H3" s="51"/>
    </row>
    <row r="4" spans="1:8" x14ac:dyDescent="0.3">
      <c r="A4" s="6" t="s">
        <v>88</v>
      </c>
      <c r="B4" s="8" t="s">
        <v>87</v>
      </c>
      <c r="C4" s="7">
        <v>12.387174999999999</v>
      </c>
      <c r="D4" s="7">
        <v>-12.559309000000001</v>
      </c>
      <c r="E4" s="46"/>
      <c r="F4" s="50"/>
      <c r="H4" s="51"/>
    </row>
    <row r="5" spans="1:8" x14ac:dyDescent="0.3">
      <c r="A5" s="26" t="s">
        <v>65</v>
      </c>
      <c r="B5" s="27" t="s">
        <v>56</v>
      </c>
      <c r="C5" s="9">
        <v>-11.991543999999999</v>
      </c>
      <c r="D5" s="9">
        <v>0.70933599999999997</v>
      </c>
      <c r="E5" s="46"/>
      <c r="F5" s="50"/>
      <c r="H5" s="51"/>
    </row>
    <row r="6" spans="1:8" x14ac:dyDescent="0.3">
      <c r="A6" s="6" t="s">
        <v>89</v>
      </c>
      <c r="B6" s="8" t="s">
        <v>59</v>
      </c>
      <c r="C6" s="7">
        <v>-0.60901720009999993</v>
      </c>
      <c r="D6" s="7">
        <v>0.40006625480000008</v>
      </c>
      <c r="E6" s="46"/>
      <c r="F6" s="50"/>
      <c r="H6" s="51"/>
    </row>
    <row r="7" spans="1:8" x14ac:dyDescent="0.3">
      <c r="A7" s="26" t="s">
        <v>27</v>
      </c>
      <c r="B7" s="27" t="s">
        <v>22</v>
      </c>
      <c r="C7" s="9">
        <v>-82.894463000000002</v>
      </c>
      <c r="D7" s="9">
        <v>65.144847999999996</v>
      </c>
      <c r="E7" s="46"/>
      <c r="F7" s="50"/>
      <c r="H7" s="51"/>
    </row>
    <row r="8" spans="1:8" x14ac:dyDescent="0.3">
      <c r="A8" s="6" t="s">
        <v>90</v>
      </c>
      <c r="B8" s="8" t="s">
        <v>91</v>
      </c>
      <c r="C8" s="54">
        <v>-0.27735349999999998</v>
      </c>
      <c r="D8" s="54">
        <v>0.25155450000000001</v>
      </c>
      <c r="E8" s="46"/>
      <c r="F8" s="50"/>
      <c r="H8" s="51"/>
    </row>
    <row r="9" spans="1:8" x14ac:dyDescent="0.3">
      <c r="A9" s="26" t="s">
        <v>83</v>
      </c>
      <c r="B9" s="27" t="s">
        <v>82</v>
      </c>
      <c r="C9" s="9">
        <v>-9.8721000000000003E-2</v>
      </c>
      <c r="D9" s="9">
        <v>0.26944200000000001</v>
      </c>
      <c r="E9" s="46"/>
      <c r="F9" s="50"/>
      <c r="H9" s="51"/>
    </row>
    <row r="10" spans="1:8" x14ac:dyDescent="0.3">
      <c r="A10" s="6" t="s">
        <v>38</v>
      </c>
      <c r="B10" s="8" t="s">
        <v>37</v>
      </c>
      <c r="C10" s="7">
        <v>23.587226999999999</v>
      </c>
      <c r="D10" s="7">
        <v>-37.190257000000003</v>
      </c>
      <c r="E10" s="46"/>
      <c r="F10" s="50"/>
      <c r="H10" s="51"/>
    </row>
    <row r="11" spans="1:8" x14ac:dyDescent="0.3">
      <c r="A11" s="26" t="s">
        <v>66</v>
      </c>
      <c r="B11" s="27" t="s">
        <v>57</v>
      </c>
      <c r="C11" s="9">
        <v>0.39505193089999963</v>
      </c>
      <c r="D11" s="9">
        <v>-0.37366222459999998</v>
      </c>
      <c r="E11" s="46"/>
      <c r="F11" s="50"/>
      <c r="H11" s="51"/>
    </row>
    <row r="12" spans="1:8" x14ac:dyDescent="0.3">
      <c r="A12" s="6" t="s">
        <v>52</v>
      </c>
      <c r="B12" s="8" t="s">
        <v>50</v>
      </c>
      <c r="C12" s="7">
        <v>1.261336</v>
      </c>
      <c r="D12" s="7">
        <v>-1.025849</v>
      </c>
      <c r="E12" s="46"/>
      <c r="F12" s="50"/>
      <c r="H12" s="51"/>
    </row>
    <row r="13" spans="1:8" x14ac:dyDescent="0.3">
      <c r="A13" s="26" t="s">
        <v>64</v>
      </c>
      <c r="B13" s="27" t="s">
        <v>54</v>
      </c>
      <c r="C13" s="9">
        <v>-9.4437682829000025</v>
      </c>
      <c r="D13" s="9">
        <v>2.7687634096</v>
      </c>
      <c r="E13" s="46"/>
      <c r="F13" s="50"/>
      <c r="H13" s="51"/>
    </row>
    <row r="14" spans="1:8" x14ac:dyDescent="0.3">
      <c r="A14" s="6" t="s">
        <v>35</v>
      </c>
      <c r="B14" s="8" t="s">
        <v>33</v>
      </c>
      <c r="C14" s="7">
        <v>3.2370719999999999</v>
      </c>
      <c r="D14" s="7">
        <v>-8.0302530000000001</v>
      </c>
      <c r="E14" s="46"/>
      <c r="F14" s="50"/>
      <c r="H14" s="51"/>
    </row>
    <row r="15" spans="1:8" x14ac:dyDescent="0.3">
      <c r="A15" s="26" t="s">
        <v>255</v>
      </c>
      <c r="B15" s="27" t="s">
        <v>60</v>
      </c>
      <c r="C15" s="9">
        <v>0.97659399999999996</v>
      </c>
      <c r="D15" s="9">
        <v>-0.23296500000000001</v>
      </c>
      <c r="E15" s="46"/>
      <c r="F15" s="50"/>
      <c r="H15" s="51"/>
    </row>
    <row r="16" spans="1:8" x14ac:dyDescent="0.3">
      <c r="A16" s="6" t="s">
        <v>79</v>
      </c>
      <c r="B16" s="8" t="s">
        <v>78</v>
      </c>
      <c r="C16" s="7">
        <v>4.8259740000000004</v>
      </c>
      <c r="D16" s="7">
        <v>-3.2546210000000002</v>
      </c>
      <c r="E16" s="46"/>
      <c r="F16" s="50"/>
      <c r="H16" s="51"/>
    </row>
    <row r="17" spans="1:8" x14ac:dyDescent="0.3">
      <c r="A17" s="26" t="s">
        <v>42</v>
      </c>
      <c r="B17" s="27" t="s">
        <v>40</v>
      </c>
      <c r="C17" s="9">
        <v>-9.0373420000000007</v>
      </c>
      <c r="D17" s="9">
        <v>-0.67896999999999996</v>
      </c>
      <c r="E17" s="46"/>
      <c r="F17" s="50"/>
      <c r="H17" s="51"/>
    </row>
    <row r="18" spans="1:8" x14ac:dyDescent="0.3">
      <c r="A18" s="6" t="s">
        <v>28</v>
      </c>
      <c r="B18" s="8" t="s">
        <v>23</v>
      </c>
      <c r="C18" s="7">
        <v>-11.235590999999999</v>
      </c>
      <c r="D18" s="7">
        <v>9.75793</v>
      </c>
      <c r="E18" s="46"/>
      <c r="F18" s="50"/>
      <c r="H18" s="51"/>
    </row>
    <row r="19" spans="1:8" x14ac:dyDescent="0.3">
      <c r="A19" s="26" t="s">
        <v>36</v>
      </c>
      <c r="B19" s="27" t="s">
        <v>31</v>
      </c>
      <c r="C19" s="9">
        <v>22.197866000000001</v>
      </c>
      <c r="D19" s="9">
        <v>-26.568277999999999</v>
      </c>
      <c r="E19" s="46"/>
      <c r="F19" s="50"/>
      <c r="H19" s="51"/>
    </row>
    <row r="20" spans="1:8" x14ac:dyDescent="0.3">
      <c r="A20" s="6" t="s">
        <v>250</v>
      </c>
      <c r="B20" s="8" t="s">
        <v>93</v>
      </c>
      <c r="C20" s="7">
        <v>-12.405989999999999</v>
      </c>
      <c r="D20" s="7">
        <v>5.1587144</v>
      </c>
      <c r="E20" s="46"/>
      <c r="F20" s="50"/>
      <c r="H20" s="51"/>
    </row>
    <row r="21" spans="1:8" x14ac:dyDescent="0.3">
      <c r="A21" s="26" t="s">
        <v>47</v>
      </c>
      <c r="B21" s="27" t="s">
        <v>44</v>
      </c>
      <c r="C21" s="9">
        <v>1.5029090000000001</v>
      </c>
      <c r="D21" s="9">
        <v>1.1158129999999999</v>
      </c>
      <c r="E21" s="46"/>
      <c r="F21" s="50"/>
      <c r="H21" s="51"/>
    </row>
    <row r="22" spans="1:8" x14ac:dyDescent="0.3">
      <c r="A22" s="6" t="s">
        <v>30</v>
      </c>
      <c r="B22" s="8" t="s">
        <v>25</v>
      </c>
      <c r="C22" s="7">
        <v>-9.9092889999999993</v>
      </c>
      <c r="D22" s="7">
        <v>4.8580259999999997</v>
      </c>
      <c r="E22" s="46"/>
      <c r="F22" s="50"/>
      <c r="H22" s="51"/>
    </row>
    <row r="23" spans="1:8" x14ac:dyDescent="0.3">
      <c r="A23" s="26" t="s">
        <v>34</v>
      </c>
      <c r="B23" s="27" t="s">
        <v>32</v>
      </c>
      <c r="C23" s="9">
        <v>-9.5417240000000003</v>
      </c>
      <c r="D23" s="9">
        <v>3.8745440000000002</v>
      </c>
      <c r="E23" s="46"/>
      <c r="F23" s="50"/>
      <c r="H23" s="51"/>
    </row>
    <row r="24" spans="1:8" x14ac:dyDescent="0.3">
      <c r="A24" s="6" t="s">
        <v>51</v>
      </c>
      <c r="B24" s="8" t="s">
        <v>49</v>
      </c>
      <c r="C24" s="7">
        <v>-9.4943583999999976</v>
      </c>
      <c r="D24" s="7">
        <v>17.707012800000001</v>
      </c>
      <c r="E24" s="46"/>
      <c r="F24" s="50"/>
      <c r="H24" s="51"/>
    </row>
    <row r="25" spans="1:8" x14ac:dyDescent="0.3">
      <c r="A25" s="26" t="s">
        <v>41</v>
      </c>
      <c r="B25" s="27" t="s">
        <v>39</v>
      </c>
      <c r="C25" s="9">
        <v>2.0092599999999998</v>
      </c>
      <c r="D25" s="9">
        <v>-1.507361</v>
      </c>
      <c r="E25" s="46"/>
      <c r="F25" s="50"/>
      <c r="H25" s="51"/>
    </row>
    <row r="26" spans="1:8" x14ac:dyDescent="0.3">
      <c r="A26" s="6" t="s">
        <v>62</v>
      </c>
      <c r="B26" s="8" t="s">
        <v>53</v>
      </c>
      <c r="C26" s="7">
        <v>-6.3967104999999984</v>
      </c>
      <c r="D26" s="7">
        <v>4.4830965000000003</v>
      </c>
      <c r="E26" s="46"/>
      <c r="F26" s="50"/>
      <c r="H26" s="51"/>
    </row>
    <row r="27" spans="1:8" x14ac:dyDescent="0.3">
      <c r="A27" s="26" t="s">
        <v>29</v>
      </c>
      <c r="B27" s="27" t="s">
        <v>24</v>
      </c>
      <c r="C27" s="9">
        <v>-35.096133999999999</v>
      </c>
      <c r="D27" s="9">
        <v>21.244980000000002</v>
      </c>
      <c r="E27" s="46"/>
      <c r="F27" s="50"/>
      <c r="H27" s="51"/>
    </row>
    <row r="28" spans="1:8" x14ac:dyDescent="0.3">
      <c r="A28" s="6" t="s">
        <v>67</v>
      </c>
      <c r="B28" s="8" t="s">
        <v>61</v>
      </c>
      <c r="C28" s="7">
        <v>-6.249536</v>
      </c>
      <c r="D28" s="7">
        <v>-4.9687130000000002</v>
      </c>
      <c r="E28" s="46"/>
      <c r="F28" s="50"/>
      <c r="H28" s="51"/>
    </row>
    <row r="29" spans="1:8" x14ac:dyDescent="0.3">
      <c r="A29" s="26" t="s">
        <v>48</v>
      </c>
      <c r="B29" s="27" t="s">
        <v>45</v>
      </c>
      <c r="C29" s="9">
        <v>7.6540619999999997</v>
      </c>
      <c r="D29" s="9">
        <v>-3.2270569999999998</v>
      </c>
      <c r="E29" s="46"/>
      <c r="F29" s="50"/>
      <c r="H29" s="51"/>
    </row>
    <row r="30" spans="1:8" x14ac:dyDescent="0.3">
      <c r="A30" s="6" t="s">
        <v>46</v>
      </c>
      <c r="B30" s="8" t="s">
        <v>43</v>
      </c>
      <c r="C30" s="7">
        <v>1.265836</v>
      </c>
      <c r="D30" s="7">
        <v>-4.3972939999999996</v>
      </c>
      <c r="E30" s="46"/>
      <c r="F30" s="50"/>
      <c r="H30" s="51"/>
    </row>
    <row r="31" spans="1:8" ht="15" thickBot="1" x14ac:dyDescent="0.35">
      <c r="A31" s="26" t="s">
        <v>63</v>
      </c>
      <c r="B31" s="27" t="s">
        <v>55</v>
      </c>
      <c r="C31" s="9">
        <v>-5.4746819999999996</v>
      </c>
      <c r="D31" s="9">
        <v>5.7086129999999997</v>
      </c>
      <c r="E31" s="46"/>
      <c r="F31" s="50"/>
      <c r="H31" s="51"/>
    </row>
    <row r="32" spans="1:8" ht="21" customHeight="1" thickBot="1" x14ac:dyDescent="0.35">
      <c r="A32" s="73" t="s">
        <v>68</v>
      </c>
      <c r="B32" s="74"/>
      <c r="C32" s="28">
        <f>SUM(C2:C31)</f>
        <v>-129.38175095210002</v>
      </c>
      <c r="D32" s="28">
        <f>SUM(D2:D31)</f>
        <v>23.5840946398</v>
      </c>
    </row>
    <row r="34" spans="1:7" x14ac:dyDescent="0.3">
      <c r="A34" s="12" t="s">
        <v>69</v>
      </c>
      <c r="B34" s="64"/>
      <c r="C34" s="64"/>
      <c r="D34" s="64"/>
      <c r="E34" s="64"/>
      <c r="F34" s="64"/>
      <c r="G34" s="64"/>
    </row>
    <row r="35" spans="1:7" x14ac:dyDescent="0.3">
      <c r="A35" s="12" t="s">
        <v>84</v>
      </c>
    </row>
    <row r="36" spans="1:7" x14ac:dyDescent="0.3">
      <c r="A36" s="12" t="s">
        <v>85</v>
      </c>
    </row>
    <row r="37" spans="1:7" x14ac:dyDescent="0.3">
      <c r="A37" s="12" t="s">
        <v>77</v>
      </c>
    </row>
  </sheetData>
  <mergeCells count="1">
    <mergeCell ref="A32:B3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dimension ref="A1:J109"/>
  <sheetViews>
    <sheetView showGridLines="0" zoomScaleNormal="100" workbookViewId="0"/>
  </sheetViews>
  <sheetFormatPr defaultRowHeight="14.4" x14ac:dyDescent="0.3"/>
  <cols>
    <col min="1" max="1" width="51.6640625" customWidth="1"/>
    <col min="2" max="2" width="8.5546875" customWidth="1"/>
    <col min="3" max="3" width="14.5546875" customWidth="1"/>
    <col min="4" max="4" width="17.44140625" customWidth="1"/>
    <col min="5" max="5" width="22.5546875" customWidth="1"/>
    <col min="6" max="6" width="31.5546875" bestFit="1" customWidth="1"/>
    <col min="7" max="8" width="14" customWidth="1"/>
  </cols>
  <sheetData>
    <row r="1" spans="1:10" ht="55.2" x14ac:dyDescent="0.3">
      <c r="A1" s="38" t="str">
        <f>CONCATENATE("100 Most Traded Stocks YTD - ",'Weekly Top 10'!$C$5)</f>
        <v>100 Most Traded Stocks YTD - Week of 13 November 2023</v>
      </c>
      <c r="B1" s="21" t="s">
        <v>1</v>
      </c>
      <c r="C1" s="61" t="s">
        <v>105</v>
      </c>
      <c r="D1" s="22" t="s">
        <v>104</v>
      </c>
      <c r="E1" s="22" t="s">
        <v>106</v>
      </c>
      <c r="F1" s="22" t="s">
        <v>107</v>
      </c>
      <c r="H1" s="50"/>
    </row>
    <row r="2" spans="1:10" x14ac:dyDescent="0.3">
      <c r="A2" s="23" t="s">
        <v>27</v>
      </c>
      <c r="B2" s="24" t="s">
        <v>22</v>
      </c>
      <c r="C2" s="25">
        <v>120.68283135680001</v>
      </c>
      <c r="D2" s="25">
        <v>-1186.1243919999999</v>
      </c>
      <c r="E2" s="25">
        <v>-95.577699999999993</v>
      </c>
      <c r="F2" s="25" t="s">
        <v>14</v>
      </c>
      <c r="J2" s="51"/>
    </row>
    <row r="3" spans="1:10" x14ac:dyDescent="0.3">
      <c r="A3" s="26" t="s">
        <v>29</v>
      </c>
      <c r="B3" s="27" t="s">
        <v>24</v>
      </c>
      <c r="C3" s="9">
        <v>80.810132194022728</v>
      </c>
      <c r="D3" s="9">
        <v>-878.07401200000004</v>
      </c>
      <c r="E3" s="9">
        <v>-45.059336000000002</v>
      </c>
      <c r="F3" s="9" t="s">
        <v>14</v>
      </c>
      <c r="J3" s="51"/>
    </row>
    <row r="4" spans="1:10" x14ac:dyDescent="0.3">
      <c r="A4" s="6" t="s">
        <v>247</v>
      </c>
      <c r="B4" s="8" t="s">
        <v>23</v>
      </c>
      <c r="C4" s="7">
        <v>60.998786940454544</v>
      </c>
      <c r="D4" s="7">
        <v>205.19752700000001</v>
      </c>
      <c r="E4" s="7">
        <v>-17.44341</v>
      </c>
      <c r="F4" s="7" t="s">
        <v>14</v>
      </c>
      <c r="J4" s="51"/>
    </row>
    <row r="5" spans="1:10" x14ac:dyDescent="0.3">
      <c r="A5" s="26" t="s">
        <v>51</v>
      </c>
      <c r="B5" s="27" t="s">
        <v>49</v>
      </c>
      <c r="C5" s="9">
        <v>49.404601471499987</v>
      </c>
      <c r="D5" s="9">
        <v>-318.75511969999997</v>
      </c>
      <c r="E5" s="9">
        <v>-27.488167000000001</v>
      </c>
      <c r="F5" s="9" t="s">
        <v>240</v>
      </c>
      <c r="J5" s="51"/>
    </row>
    <row r="6" spans="1:10" x14ac:dyDescent="0.3">
      <c r="A6" s="6" t="s">
        <v>34</v>
      </c>
      <c r="B6" s="8" t="s">
        <v>32</v>
      </c>
      <c r="C6" s="7">
        <v>45.055424756636356</v>
      </c>
      <c r="D6" s="7">
        <v>-84.910399999999996</v>
      </c>
      <c r="E6" s="7">
        <v>-27.995049000000002</v>
      </c>
      <c r="F6" s="7" t="s">
        <v>15</v>
      </c>
      <c r="J6" s="51"/>
    </row>
    <row r="7" spans="1:10" x14ac:dyDescent="0.3">
      <c r="A7" s="26" t="s">
        <v>250</v>
      </c>
      <c r="B7" s="27" t="s">
        <v>93</v>
      </c>
      <c r="C7" s="9">
        <v>41.664302884463638</v>
      </c>
      <c r="D7" s="9">
        <v>100.4951722</v>
      </c>
      <c r="E7" s="9">
        <v>-13.418675</v>
      </c>
      <c r="F7" s="9" t="s">
        <v>15</v>
      </c>
      <c r="J7" s="51"/>
    </row>
    <row r="8" spans="1:10" x14ac:dyDescent="0.3">
      <c r="A8" s="6" t="s">
        <v>161</v>
      </c>
      <c r="B8" s="8" t="s">
        <v>55</v>
      </c>
      <c r="C8" s="7">
        <v>34.597810138054541</v>
      </c>
      <c r="D8" s="7">
        <v>12.253803</v>
      </c>
      <c r="E8" s="7">
        <v>-3.2000130000000002</v>
      </c>
      <c r="F8" s="54" t="s">
        <v>15</v>
      </c>
      <c r="J8" s="51"/>
    </row>
    <row r="9" spans="1:10" x14ac:dyDescent="0.3">
      <c r="A9" s="26" t="s">
        <v>160</v>
      </c>
      <c r="B9" s="27" t="s">
        <v>58</v>
      </c>
      <c r="C9" s="9">
        <v>33.807268137500003</v>
      </c>
      <c r="D9" s="9">
        <v>-143.87863100000001</v>
      </c>
      <c r="E9" s="9">
        <v>4.8968040000000004</v>
      </c>
      <c r="F9" s="9" t="s">
        <v>18</v>
      </c>
      <c r="J9" s="51"/>
    </row>
    <row r="10" spans="1:10" x14ac:dyDescent="0.3">
      <c r="A10" s="6" t="s">
        <v>163</v>
      </c>
      <c r="B10" s="8" t="s">
        <v>26</v>
      </c>
      <c r="C10" s="7">
        <v>32.47414514359091</v>
      </c>
      <c r="D10" s="7">
        <v>-14.941715</v>
      </c>
      <c r="E10" s="7">
        <v>-5.4846620000000001</v>
      </c>
      <c r="F10" s="7" t="s">
        <v>18</v>
      </c>
      <c r="J10" s="51"/>
    </row>
    <row r="11" spans="1:10" x14ac:dyDescent="0.3">
      <c r="A11" s="26" t="s">
        <v>162</v>
      </c>
      <c r="B11" s="27" t="s">
        <v>37</v>
      </c>
      <c r="C11" s="9">
        <v>30.13012752522727</v>
      </c>
      <c r="D11" s="9">
        <v>82.630030500000004</v>
      </c>
      <c r="E11" s="9">
        <v>22.2204525</v>
      </c>
      <c r="F11" s="9" t="s">
        <v>11</v>
      </c>
      <c r="J11" s="51"/>
    </row>
    <row r="12" spans="1:10" x14ac:dyDescent="0.3">
      <c r="A12" s="6" t="s">
        <v>164</v>
      </c>
      <c r="B12" s="8" t="s">
        <v>33</v>
      </c>
      <c r="C12" s="7">
        <v>27.115316688272731</v>
      </c>
      <c r="D12" s="7">
        <v>-232.80376200000001</v>
      </c>
      <c r="E12" s="7">
        <v>0.35441699999999998</v>
      </c>
      <c r="F12" s="7" t="s">
        <v>15</v>
      </c>
      <c r="J12" s="51"/>
    </row>
    <row r="13" spans="1:10" x14ac:dyDescent="0.3">
      <c r="A13" s="26" t="s">
        <v>171</v>
      </c>
      <c r="B13" s="27" t="s">
        <v>44</v>
      </c>
      <c r="C13" s="9">
        <v>26.186420260818181</v>
      </c>
      <c r="D13" s="9">
        <v>185.902173</v>
      </c>
      <c r="E13" s="9">
        <v>1.681716</v>
      </c>
      <c r="F13" s="9" t="s">
        <v>20</v>
      </c>
      <c r="J13" s="51"/>
    </row>
    <row r="14" spans="1:10" x14ac:dyDescent="0.3">
      <c r="A14" s="6" t="s">
        <v>167</v>
      </c>
      <c r="B14" s="8" t="s">
        <v>87</v>
      </c>
      <c r="C14" s="7">
        <v>24.112818202272731</v>
      </c>
      <c r="D14" s="7">
        <v>-128.34561500000001</v>
      </c>
      <c r="E14" s="7">
        <v>7.1945509999999997</v>
      </c>
      <c r="F14" s="7" t="s">
        <v>14</v>
      </c>
      <c r="J14" s="51"/>
    </row>
    <row r="15" spans="1:10" x14ac:dyDescent="0.3">
      <c r="A15" s="26" t="s">
        <v>165</v>
      </c>
      <c r="B15" s="27" t="s">
        <v>40</v>
      </c>
      <c r="C15" s="9">
        <v>23.040835980636359</v>
      </c>
      <c r="D15" s="9">
        <v>-36.408445</v>
      </c>
      <c r="E15" s="9">
        <v>-9.1750640000000008</v>
      </c>
      <c r="F15" s="9" t="s">
        <v>18</v>
      </c>
      <c r="J15" s="51"/>
    </row>
    <row r="16" spans="1:10" x14ac:dyDescent="0.3">
      <c r="A16" s="6" t="s">
        <v>166</v>
      </c>
      <c r="B16" s="8" t="s">
        <v>43</v>
      </c>
      <c r="C16" s="7">
        <v>21.324173438863639</v>
      </c>
      <c r="D16" s="7">
        <v>46.998932000000003</v>
      </c>
      <c r="E16" s="7">
        <v>0.25767600000000002</v>
      </c>
      <c r="F16" s="7" t="s">
        <v>12</v>
      </c>
      <c r="J16" s="51"/>
    </row>
    <row r="17" spans="1:10" x14ac:dyDescent="0.3">
      <c r="A17" s="26" t="s">
        <v>175</v>
      </c>
      <c r="B17" s="27" t="s">
        <v>45</v>
      </c>
      <c r="C17" s="9">
        <v>18.723948067636361</v>
      </c>
      <c r="D17" s="9">
        <v>-264.07098100000002</v>
      </c>
      <c r="E17" s="9">
        <v>10.942201000000001</v>
      </c>
      <c r="F17" s="9" t="s">
        <v>241</v>
      </c>
      <c r="J17" s="51"/>
    </row>
    <row r="18" spans="1:10" x14ac:dyDescent="0.3">
      <c r="A18" s="6" t="s">
        <v>169</v>
      </c>
      <c r="B18" s="8" t="s">
        <v>54</v>
      </c>
      <c r="C18" s="7">
        <v>16.904911308234752</v>
      </c>
      <c r="D18" s="7">
        <v>-47.796956441200003</v>
      </c>
      <c r="E18" s="7">
        <v>-9.1700514374999997</v>
      </c>
      <c r="F18" s="7" t="s">
        <v>15</v>
      </c>
      <c r="J18" s="51"/>
    </row>
    <row r="19" spans="1:10" x14ac:dyDescent="0.3">
      <c r="A19" s="26" t="s">
        <v>30</v>
      </c>
      <c r="B19" s="27" t="s">
        <v>25</v>
      </c>
      <c r="C19" s="9">
        <v>16.567113727909089</v>
      </c>
      <c r="D19" s="9">
        <v>134.73774700000001</v>
      </c>
      <c r="E19" s="9">
        <v>-9.5108679999999985</v>
      </c>
      <c r="F19" s="9" t="s">
        <v>14</v>
      </c>
      <c r="J19" s="51"/>
    </row>
    <row r="20" spans="1:10" x14ac:dyDescent="0.3">
      <c r="A20" s="6" t="s">
        <v>41</v>
      </c>
      <c r="B20" s="8" t="s">
        <v>39</v>
      </c>
      <c r="C20" s="7">
        <v>15.294201134409091</v>
      </c>
      <c r="D20" s="7">
        <v>131.76083800000001</v>
      </c>
      <c r="E20" s="7">
        <v>-2.669556</v>
      </c>
      <c r="F20" s="7" t="s">
        <v>15</v>
      </c>
      <c r="J20" s="51"/>
    </row>
    <row r="21" spans="1:10" x14ac:dyDescent="0.3">
      <c r="A21" s="26" t="s">
        <v>170</v>
      </c>
      <c r="B21" s="27" t="s">
        <v>53</v>
      </c>
      <c r="C21" s="9">
        <v>15.182503999272731</v>
      </c>
      <c r="D21" s="9">
        <v>-103.072368</v>
      </c>
      <c r="E21" s="9">
        <v>-6.6994235</v>
      </c>
      <c r="F21" s="9" t="s">
        <v>12</v>
      </c>
      <c r="J21" s="51"/>
    </row>
    <row r="22" spans="1:10" x14ac:dyDescent="0.3">
      <c r="A22" s="6" t="s">
        <v>168</v>
      </c>
      <c r="B22" s="8" t="s">
        <v>60</v>
      </c>
      <c r="C22" s="7">
        <v>14.549941931454539</v>
      </c>
      <c r="D22" s="7">
        <v>-106.68946699999999</v>
      </c>
      <c r="E22" s="7">
        <v>1.363658</v>
      </c>
      <c r="F22" s="7" t="s">
        <v>18</v>
      </c>
      <c r="J22" s="51"/>
    </row>
    <row r="23" spans="1:10" x14ac:dyDescent="0.3">
      <c r="A23" s="26" t="s">
        <v>36</v>
      </c>
      <c r="B23" s="27" t="s">
        <v>31</v>
      </c>
      <c r="C23" s="9">
        <v>13.75621559938636</v>
      </c>
      <c r="D23" s="9">
        <v>-59.061993999999999</v>
      </c>
      <c r="E23" s="9">
        <v>22.413789000000001</v>
      </c>
      <c r="F23" s="9" t="s">
        <v>15</v>
      </c>
      <c r="J23" s="51"/>
    </row>
    <row r="24" spans="1:10" x14ac:dyDescent="0.3">
      <c r="A24" s="6" t="s">
        <v>173</v>
      </c>
      <c r="B24" s="8" t="s">
        <v>56</v>
      </c>
      <c r="C24" s="7">
        <v>12.496104000954549</v>
      </c>
      <c r="D24" s="7">
        <v>-204.10019</v>
      </c>
      <c r="E24" s="7">
        <v>-18.086102</v>
      </c>
      <c r="F24" s="7" t="s">
        <v>17</v>
      </c>
      <c r="J24" s="51"/>
    </row>
    <row r="25" spans="1:10" x14ac:dyDescent="0.3">
      <c r="A25" s="26" t="s">
        <v>172</v>
      </c>
      <c r="B25" s="27" t="s">
        <v>50</v>
      </c>
      <c r="C25" s="9">
        <v>11.852957168809089</v>
      </c>
      <c r="D25" s="9">
        <v>-5.5947502000000009</v>
      </c>
      <c r="E25" s="9">
        <v>-4.2728000000000002E-2</v>
      </c>
      <c r="F25" s="9" t="s">
        <v>11</v>
      </c>
      <c r="J25" s="51"/>
    </row>
    <row r="26" spans="1:10" x14ac:dyDescent="0.3">
      <c r="A26" s="6" t="s">
        <v>174</v>
      </c>
      <c r="B26" s="8" t="s">
        <v>82</v>
      </c>
      <c r="C26" s="7">
        <v>11.295295814500001</v>
      </c>
      <c r="D26" s="7">
        <v>-58.984312000000003</v>
      </c>
      <c r="E26" s="7">
        <v>-6.7910999999999999E-2</v>
      </c>
      <c r="F26" s="7" t="s">
        <v>18</v>
      </c>
      <c r="J26" s="51"/>
    </row>
    <row r="27" spans="1:10" x14ac:dyDescent="0.3">
      <c r="A27" s="26" t="s">
        <v>177</v>
      </c>
      <c r="B27" s="27" t="s">
        <v>80</v>
      </c>
      <c r="C27" s="9">
        <v>10.72604993875</v>
      </c>
      <c r="D27" s="9">
        <v>11.89672</v>
      </c>
      <c r="E27" s="9">
        <v>6.6751769999999997</v>
      </c>
      <c r="F27" s="9" t="s">
        <v>18</v>
      </c>
      <c r="J27" s="51"/>
    </row>
    <row r="28" spans="1:10" x14ac:dyDescent="0.3">
      <c r="A28" s="6" t="s">
        <v>178</v>
      </c>
      <c r="B28" s="8" t="s">
        <v>78</v>
      </c>
      <c r="C28" s="7">
        <v>10.22589591381818</v>
      </c>
      <c r="D28" s="7">
        <v>-13.148349</v>
      </c>
      <c r="E28" s="7">
        <v>3.859893</v>
      </c>
      <c r="F28" s="7" t="s">
        <v>18</v>
      </c>
      <c r="J28" s="51"/>
    </row>
    <row r="29" spans="1:10" x14ac:dyDescent="0.3">
      <c r="A29" s="26" t="s">
        <v>179</v>
      </c>
      <c r="B29" s="27" t="s">
        <v>57</v>
      </c>
      <c r="C29" s="9">
        <v>9.7598934499197583</v>
      </c>
      <c r="D29" s="9">
        <v>-40.394571597200013</v>
      </c>
      <c r="E29" s="9">
        <v>-0.15761075309999992</v>
      </c>
      <c r="F29" s="9" t="s">
        <v>17</v>
      </c>
      <c r="J29" s="51"/>
    </row>
    <row r="30" spans="1:10" x14ac:dyDescent="0.3">
      <c r="A30" s="6" t="s">
        <v>176</v>
      </c>
      <c r="B30" s="8" t="s">
        <v>94</v>
      </c>
      <c r="C30" s="7">
        <v>8.7506559606818186</v>
      </c>
      <c r="D30" s="7">
        <v>-184.35480899999999</v>
      </c>
      <c r="E30" s="7">
        <v>0.94742499999999963</v>
      </c>
      <c r="F30" s="7" t="s">
        <v>18</v>
      </c>
      <c r="J30" s="51"/>
    </row>
    <row r="31" spans="1:10" x14ac:dyDescent="0.3">
      <c r="A31" s="26" t="s">
        <v>180</v>
      </c>
      <c r="B31" s="27" t="s">
        <v>115</v>
      </c>
      <c r="C31" s="9">
        <v>8.3933089299999999</v>
      </c>
      <c r="D31" s="9">
        <v>62.754730000000002</v>
      </c>
      <c r="E31" s="9">
        <v>0.19553699999999999</v>
      </c>
      <c r="F31" s="9" t="s">
        <v>15</v>
      </c>
      <c r="J31" s="51"/>
    </row>
    <row r="32" spans="1:10" x14ac:dyDescent="0.3">
      <c r="A32" s="6" t="s">
        <v>114</v>
      </c>
      <c r="B32" s="8" t="s">
        <v>109</v>
      </c>
      <c r="C32" s="7">
        <v>7.8820467402727266</v>
      </c>
      <c r="D32" s="7">
        <v>-51.282647500000003</v>
      </c>
      <c r="E32" s="7">
        <v>6.0313714999999997</v>
      </c>
      <c r="F32" s="7" t="s">
        <v>18</v>
      </c>
      <c r="J32" s="51"/>
    </row>
    <row r="33" spans="1:10" x14ac:dyDescent="0.3">
      <c r="A33" s="26" t="s">
        <v>182</v>
      </c>
      <c r="B33" s="27" t="s">
        <v>61</v>
      </c>
      <c r="C33" s="9">
        <v>7.8708125800909086</v>
      </c>
      <c r="D33" s="9">
        <v>10.537322</v>
      </c>
      <c r="E33" s="9">
        <v>-4.9290000000000003</v>
      </c>
      <c r="F33" s="9" t="s">
        <v>17</v>
      </c>
      <c r="J33" s="51"/>
    </row>
    <row r="34" spans="1:10" x14ac:dyDescent="0.3">
      <c r="A34" s="6" t="s">
        <v>183</v>
      </c>
      <c r="B34" s="8" t="s">
        <v>97</v>
      </c>
      <c r="C34" s="7">
        <v>7.191184038272727</v>
      </c>
      <c r="D34" s="7">
        <v>-36.631053799999997</v>
      </c>
      <c r="E34" s="7">
        <v>-1.487123</v>
      </c>
      <c r="F34" s="7" t="s">
        <v>18</v>
      </c>
      <c r="J34" s="51"/>
    </row>
    <row r="35" spans="1:10" x14ac:dyDescent="0.3">
      <c r="A35" s="26" t="s">
        <v>181</v>
      </c>
      <c r="B35" s="27" t="s">
        <v>251</v>
      </c>
      <c r="C35" s="9">
        <v>6.0029210388636365</v>
      </c>
      <c r="D35" s="9">
        <v>58.299444000000001</v>
      </c>
      <c r="E35" s="9">
        <v>-0.93810199999999999</v>
      </c>
      <c r="F35" s="9" t="s">
        <v>241</v>
      </c>
      <c r="J35" s="51"/>
    </row>
    <row r="36" spans="1:10" x14ac:dyDescent="0.3">
      <c r="A36" s="6" t="s">
        <v>188</v>
      </c>
      <c r="B36" s="8" t="s">
        <v>118</v>
      </c>
      <c r="C36" s="7">
        <v>5.8530709046818172</v>
      </c>
      <c r="D36" s="7">
        <v>-8.3239419999999988</v>
      </c>
      <c r="E36" s="7">
        <v>2.301472</v>
      </c>
      <c r="F36" s="7" t="s">
        <v>18</v>
      </c>
      <c r="J36" s="51"/>
    </row>
    <row r="37" spans="1:10" x14ac:dyDescent="0.3">
      <c r="A37" s="26" t="s">
        <v>186</v>
      </c>
      <c r="B37" s="27" t="s">
        <v>95</v>
      </c>
      <c r="C37" s="9">
        <v>5.8418244042800005</v>
      </c>
      <c r="D37" s="9">
        <v>33.472070094199999</v>
      </c>
      <c r="E37" s="9">
        <v>-7.1368600000000004</v>
      </c>
      <c r="F37" s="9" t="s">
        <v>241</v>
      </c>
      <c r="J37" s="51"/>
    </row>
    <row r="38" spans="1:10" x14ac:dyDescent="0.3">
      <c r="A38" s="6" t="s">
        <v>184</v>
      </c>
      <c r="B38" s="8" t="s">
        <v>116</v>
      </c>
      <c r="C38" s="7">
        <v>4.9454137885272722</v>
      </c>
      <c r="D38" s="7">
        <v>-98.934823499999993</v>
      </c>
      <c r="E38" s="7">
        <v>1.375497</v>
      </c>
      <c r="F38" s="7" t="s">
        <v>18</v>
      </c>
      <c r="J38" s="51"/>
    </row>
    <row r="39" spans="1:10" x14ac:dyDescent="0.3">
      <c r="A39" s="26" t="s">
        <v>189</v>
      </c>
      <c r="B39" s="27" t="s">
        <v>119</v>
      </c>
      <c r="C39" s="9">
        <v>4.4341663870000003</v>
      </c>
      <c r="D39" s="9">
        <v>11.418034499999999</v>
      </c>
      <c r="E39" s="9">
        <v>-5.1090999999999998E-2</v>
      </c>
      <c r="F39" s="9" t="s">
        <v>241</v>
      </c>
      <c r="J39" s="51"/>
    </row>
    <row r="40" spans="1:10" x14ac:dyDescent="0.3">
      <c r="A40" s="6" t="s">
        <v>185</v>
      </c>
      <c r="B40" s="8" t="s">
        <v>117</v>
      </c>
      <c r="C40" s="7">
        <v>4.0576346518181818</v>
      </c>
      <c r="D40" s="7">
        <v>35.388078999999998</v>
      </c>
      <c r="E40" s="7">
        <v>0.69383300000000003</v>
      </c>
      <c r="F40" s="7" t="s">
        <v>12</v>
      </c>
      <c r="J40" s="51"/>
    </row>
    <row r="41" spans="1:10" x14ac:dyDescent="0.3">
      <c r="A41" s="26" t="s">
        <v>190</v>
      </c>
      <c r="B41" s="27" t="s">
        <v>120</v>
      </c>
      <c r="C41" s="9">
        <v>3.8353480968181821</v>
      </c>
      <c r="D41" s="9">
        <v>-26.307950999999999</v>
      </c>
      <c r="E41" s="9">
        <v>-2.5721240000000001</v>
      </c>
      <c r="F41" s="9" t="s">
        <v>241</v>
      </c>
      <c r="J41" s="51"/>
    </row>
    <row r="42" spans="1:10" x14ac:dyDescent="0.3">
      <c r="A42" s="6" t="s">
        <v>110</v>
      </c>
      <c r="B42" s="8" t="s">
        <v>111</v>
      </c>
      <c r="C42" s="7">
        <v>3.3601888298181821</v>
      </c>
      <c r="D42" s="7">
        <v>3.0425985</v>
      </c>
      <c r="E42" s="7">
        <v>1.0061690000000001</v>
      </c>
      <c r="F42" s="7" t="s">
        <v>18</v>
      </c>
      <c r="J42" s="51"/>
    </row>
    <row r="43" spans="1:10" x14ac:dyDescent="0.3">
      <c r="A43" s="26" t="s">
        <v>198</v>
      </c>
      <c r="B43" s="27" t="s">
        <v>126</v>
      </c>
      <c r="C43" s="9">
        <v>3.290668646272727</v>
      </c>
      <c r="D43" s="9">
        <v>-33.846093500000002</v>
      </c>
      <c r="E43" s="9">
        <v>-3.0195085000000002</v>
      </c>
      <c r="F43" s="9" t="s">
        <v>240</v>
      </c>
      <c r="J43" s="51"/>
    </row>
    <row r="44" spans="1:10" x14ac:dyDescent="0.3">
      <c r="A44" s="6" t="s">
        <v>192</v>
      </c>
      <c r="B44" s="8" t="s">
        <v>101</v>
      </c>
      <c r="C44" s="7">
        <v>3.228991873181819</v>
      </c>
      <c r="D44" s="7">
        <v>-27.883652999999999</v>
      </c>
      <c r="E44" s="7">
        <v>-1.2419505</v>
      </c>
      <c r="F44" s="7" t="s">
        <v>18</v>
      </c>
      <c r="J44" s="51"/>
    </row>
    <row r="45" spans="1:10" x14ac:dyDescent="0.3">
      <c r="A45" s="26" t="s">
        <v>200</v>
      </c>
      <c r="B45" s="27" t="s">
        <v>112</v>
      </c>
      <c r="C45" s="9">
        <v>3.2037499808636358</v>
      </c>
      <c r="D45" s="9">
        <v>-52.874124899999998</v>
      </c>
      <c r="E45" s="9">
        <v>0.341393</v>
      </c>
      <c r="F45" s="9" t="s">
        <v>16</v>
      </c>
      <c r="J45" s="51"/>
    </row>
    <row r="46" spans="1:10" x14ac:dyDescent="0.3">
      <c r="A46" s="6" t="s">
        <v>193</v>
      </c>
      <c r="B46" s="8" t="s">
        <v>122</v>
      </c>
      <c r="C46" s="7">
        <v>3.175231546636363</v>
      </c>
      <c r="D46" s="7">
        <v>-2.5806200000000001</v>
      </c>
      <c r="E46" s="7">
        <v>-1.9690430000000001</v>
      </c>
      <c r="F46" s="7" t="s">
        <v>12</v>
      </c>
      <c r="J46" s="51"/>
    </row>
    <row r="47" spans="1:10" x14ac:dyDescent="0.3">
      <c r="A47" s="26" t="s">
        <v>191</v>
      </c>
      <c r="B47" s="27" t="s">
        <v>121</v>
      </c>
      <c r="C47" s="9">
        <v>3.0931559772727271</v>
      </c>
      <c r="D47" s="9">
        <v>24.865942</v>
      </c>
      <c r="E47" s="9">
        <v>-8.7078500000000003E-2</v>
      </c>
      <c r="F47" s="9" t="s">
        <v>14</v>
      </c>
      <c r="J47" s="51"/>
    </row>
    <row r="48" spans="1:10" x14ac:dyDescent="0.3">
      <c r="A48" s="6" t="s">
        <v>187</v>
      </c>
      <c r="B48" s="8" t="s">
        <v>100</v>
      </c>
      <c r="C48" s="7">
        <v>3.0815918340909092</v>
      </c>
      <c r="D48" s="7">
        <v>-6.7433075000000002</v>
      </c>
      <c r="E48" s="7">
        <v>-0.1397555</v>
      </c>
      <c r="F48" s="7" t="s">
        <v>15</v>
      </c>
      <c r="J48" s="51"/>
    </row>
    <row r="49" spans="1:10" x14ac:dyDescent="0.3">
      <c r="A49" s="26" t="s">
        <v>194</v>
      </c>
      <c r="B49" s="27" t="s">
        <v>96</v>
      </c>
      <c r="C49" s="9">
        <v>3.063029491818182</v>
      </c>
      <c r="D49" s="9">
        <v>-22.281849999999999</v>
      </c>
      <c r="E49" s="9">
        <v>-0.31549199999999999</v>
      </c>
      <c r="F49" s="9" t="s">
        <v>12</v>
      </c>
      <c r="J49" s="51"/>
    </row>
    <row r="50" spans="1:10" x14ac:dyDescent="0.3">
      <c r="A50" s="6" t="s">
        <v>103</v>
      </c>
      <c r="B50" s="8" t="s">
        <v>102</v>
      </c>
      <c r="C50" s="7">
        <v>3.045746315454545</v>
      </c>
      <c r="D50" s="7">
        <v>-9.3879459999999995</v>
      </c>
      <c r="E50" s="7">
        <v>0.62911499999999998</v>
      </c>
      <c r="F50" s="7" t="s">
        <v>12</v>
      </c>
      <c r="J50" s="51"/>
    </row>
    <row r="51" spans="1:10" x14ac:dyDescent="0.3">
      <c r="A51" s="26" t="s">
        <v>204</v>
      </c>
      <c r="B51" s="27" t="s">
        <v>113</v>
      </c>
      <c r="C51" s="9">
        <v>2.9582599231818181</v>
      </c>
      <c r="D51" s="9">
        <v>-10.785685699999998</v>
      </c>
      <c r="E51" s="9">
        <v>-0.50926959999999999</v>
      </c>
      <c r="F51" s="9" t="s">
        <v>243</v>
      </c>
      <c r="J51" s="51"/>
    </row>
    <row r="52" spans="1:10" x14ac:dyDescent="0.3">
      <c r="A52" s="6" t="s">
        <v>202</v>
      </c>
      <c r="B52" s="8" t="s">
        <v>128</v>
      </c>
      <c r="C52" s="7">
        <v>2.6224850041818182</v>
      </c>
      <c r="D52" s="7">
        <v>-0.34245399999999948</v>
      </c>
      <c r="E52" s="7">
        <v>1.3677239999999999</v>
      </c>
      <c r="F52" s="7" t="s">
        <v>18</v>
      </c>
      <c r="J52" s="51"/>
    </row>
    <row r="53" spans="1:10" x14ac:dyDescent="0.3">
      <c r="A53" s="26" t="s">
        <v>199</v>
      </c>
      <c r="B53" s="27" t="s">
        <v>127</v>
      </c>
      <c r="C53" s="9">
        <v>2.5154168636255458</v>
      </c>
      <c r="D53" s="9">
        <v>4.6417404744800006</v>
      </c>
      <c r="E53" s="9">
        <v>0.74551277349</v>
      </c>
      <c r="F53" s="9" t="s">
        <v>11</v>
      </c>
      <c r="J53" s="51"/>
    </row>
    <row r="54" spans="1:10" x14ac:dyDescent="0.3">
      <c r="A54" s="6" t="s">
        <v>196</v>
      </c>
      <c r="B54" s="8" t="s">
        <v>124</v>
      </c>
      <c r="C54" s="7">
        <v>2.1628291541818179</v>
      </c>
      <c r="D54" s="7">
        <v>-3.3952619999999998</v>
      </c>
      <c r="E54" s="7">
        <v>1.6029389999999999</v>
      </c>
      <c r="F54" s="7" t="s">
        <v>242</v>
      </c>
      <c r="J54" s="51"/>
    </row>
    <row r="55" spans="1:10" x14ac:dyDescent="0.3">
      <c r="A55" s="26" t="s">
        <v>205</v>
      </c>
      <c r="B55" s="27" t="s">
        <v>130</v>
      </c>
      <c r="C55" s="9">
        <v>2.1352134154545461</v>
      </c>
      <c r="D55" s="9">
        <v>-30.364018000000002</v>
      </c>
      <c r="E55" s="9">
        <v>0.30143750000000002</v>
      </c>
      <c r="F55" s="9" t="s">
        <v>18</v>
      </c>
      <c r="J55" s="51"/>
    </row>
    <row r="56" spans="1:10" x14ac:dyDescent="0.3">
      <c r="A56" s="6" t="s">
        <v>203</v>
      </c>
      <c r="B56" s="8" t="s">
        <v>129</v>
      </c>
      <c r="C56" s="7">
        <v>2.0750070134520642</v>
      </c>
      <c r="D56" s="7">
        <v>-9.250845760499999</v>
      </c>
      <c r="E56" s="7">
        <v>0.56270658570000021</v>
      </c>
      <c r="F56" s="7" t="s">
        <v>18</v>
      </c>
      <c r="J56" s="51"/>
    </row>
    <row r="57" spans="1:10" x14ac:dyDescent="0.3">
      <c r="A57" s="26" t="s">
        <v>210</v>
      </c>
      <c r="B57" s="27" t="s">
        <v>134</v>
      </c>
      <c r="C57" s="9">
        <v>2.0723798818181822</v>
      </c>
      <c r="D57" s="9">
        <v>33.901550999999998</v>
      </c>
      <c r="E57" s="9">
        <v>5.6173109999999999</v>
      </c>
      <c r="F57" s="9" t="s">
        <v>241</v>
      </c>
      <c r="J57" s="51"/>
    </row>
    <row r="58" spans="1:10" x14ac:dyDescent="0.3">
      <c r="A58" s="6" t="s">
        <v>216</v>
      </c>
      <c r="B58" s="8" t="s">
        <v>140</v>
      </c>
      <c r="C58" s="7">
        <v>1.925182245909091</v>
      </c>
      <c r="D58" s="7">
        <v>10.240861000000001</v>
      </c>
      <c r="E58" s="7">
        <v>-0.45507049999999999</v>
      </c>
      <c r="F58" s="7" t="s">
        <v>243</v>
      </c>
      <c r="J58" s="51"/>
    </row>
    <row r="59" spans="1:10" x14ac:dyDescent="0.3">
      <c r="A59" s="26" t="s">
        <v>215</v>
      </c>
      <c r="B59" s="27" t="s">
        <v>139</v>
      </c>
      <c r="C59" s="9">
        <v>1.812396345</v>
      </c>
      <c r="D59" s="9">
        <v>5.6553449999999996</v>
      </c>
      <c r="E59" s="9">
        <v>1.731897</v>
      </c>
      <c r="F59" s="9" t="s">
        <v>18</v>
      </c>
      <c r="J59" s="51"/>
    </row>
    <row r="60" spans="1:10" x14ac:dyDescent="0.3">
      <c r="A60" s="6" t="s">
        <v>201</v>
      </c>
      <c r="B60" s="8" t="s">
        <v>59</v>
      </c>
      <c r="C60" s="7">
        <v>1.7103669883826589</v>
      </c>
      <c r="D60" s="7">
        <v>10.518310742100001</v>
      </c>
      <c r="E60" s="7">
        <v>-0.58079641630000001</v>
      </c>
      <c r="F60" s="7" t="s">
        <v>12</v>
      </c>
      <c r="J60" s="51"/>
    </row>
    <row r="61" spans="1:10" x14ac:dyDescent="0.3">
      <c r="A61" s="26" t="s">
        <v>207</v>
      </c>
      <c r="B61" s="27" t="s">
        <v>132</v>
      </c>
      <c r="C61" s="9">
        <v>1.6128008060000001</v>
      </c>
      <c r="D61" s="9">
        <v>-29.136161000000001</v>
      </c>
      <c r="E61" s="9">
        <v>3.0581000000000001E-2</v>
      </c>
      <c r="F61" s="9" t="s">
        <v>18</v>
      </c>
      <c r="J61" s="51"/>
    </row>
    <row r="62" spans="1:10" x14ac:dyDescent="0.3">
      <c r="A62" s="6" t="s">
        <v>206</v>
      </c>
      <c r="B62" s="8" t="s">
        <v>131</v>
      </c>
      <c r="C62" s="7">
        <v>1.5630490740909089</v>
      </c>
      <c r="D62" s="7">
        <v>-19.740563999999999</v>
      </c>
      <c r="E62" s="7">
        <v>8.7487500000000024E-2</v>
      </c>
      <c r="F62" s="7" t="s">
        <v>243</v>
      </c>
      <c r="J62" s="51"/>
    </row>
    <row r="63" spans="1:10" x14ac:dyDescent="0.3">
      <c r="A63" s="26" t="s">
        <v>195</v>
      </c>
      <c r="B63" s="27" t="s">
        <v>123</v>
      </c>
      <c r="C63" s="9">
        <v>1.5572486777272729</v>
      </c>
      <c r="D63" s="9">
        <v>-20.900853000000001</v>
      </c>
      <c r="E63" s="9">
        <v>0.37814500000000001</v>
      </c>
      <c r="F63" s="9" t="s">
        <v>242</v>
      </c>
      <c r="J63" s="51"/>
    </row>
    <row r="64" spans="1:10" x14ac:dyDescent="0.3">
      <c r="A64" s="6" t="s">
        <v>211</v>
      </c>
      <c r="B64" s="8" t="s">
        <v>135</v>
      </c>
      <c r="C64" s="7">
        <v>1.435612431538756</v>
      </c>
      <c r="D64" s="7">
        <v>-34.669362423279999</v>
      </c>
      <c r="E64" s="7">
        <v>-0.16445781229999998</v>
      </c>
      <c r="F64" s="7" t="s">
        <v>18</v>
      </c>
      <c r="J64" s="51"/>
    </row>
    <row r="65" spans="1:10" x14ac:dyDescent="0.3">
      <c r="A65" s="26" t="s">
        <v>197</v>
      </c>
      <c r="B65" s="27" t="s">
        <v>125</v>
      </c>
      <c r="C65" s="9">
        <v>1.4265620499545451</v>
      </c>
      <c r="D65" s="9">
        <v>23.228422999999999</v>
      </c>
      <c r="E65" s="9">
        <v>0.35956500000000002</v>
      </c>
      <c r="F65" s="9" t="s">
        <v>11</v>
      </c>
      <c r="J65" s="51"/>
    </row>
    <row r="66" spans="1:10" x14ac:dyDescent="0.3">
      <c r="A66" s="6" t="s">
        <v>208</v>
      </c>
      <c r="B66" s="8" t="s">
        <v>98</v>
      </c>
      <c r="C66" s="7">
        <v>1.3327498330453882</v>
      </c>
      <c r="D66" s="7">
        <v>-3.3847252202099991</v>
      </c>
      <c r="E66" s="7">
        <v>0.27581010084000002</v>
      </c>
      <c r="F66" s="7" t="s">
        <v>15</v>
      </c>
      <c r="J66" s="51"/>
    </row>
    <row r="67" spans="1:10" x14ac:dyDescent="0.3">
      <c r="A67" s="26" t="s">
        <v>209</v>
      </c>
      <c r="B67" s="27" t="s">
        <v>133</v>
      </c>
      <c r="C67" s="9">
        <v>1.2821887063636361</v>
      </c>
      <c r="D67" s="9">
        <v>3.1553247</v>
      </c>
      <c r="E67" s="9">
        <v>-2.7486299999999998E-2</v>
      </c>
      <c r="F67" s="9" t="s">
        <v>243</v>
      </c>
      <c r="J67" s="51"/>
    </row>
    <row r="68" spans="1:10" x14ac:dyDescent="0.3">
      <c r="A68" s="6" t="s">
        <v>224</v>
      </c>
      <c r="B68" s="8" t="s">
        <v>147</v>
      </c>
      <c r="C68" s="7">
        <v>1.1951673978181818</v>
      </c>
      <c r="D68" s="7">
        <v>12.501704999999999</v>
      </c>
      <c r="E68" s="7">
        <v>7.7656500000000003E-2</v>
      </c>
      <c r="F68" s="7" t="s">
        <v>15</v>
      </c>
      <c r="J68" s="51"/>
    </row>
    <row r="69" spans="1:10" x14ac:dyDescent="0.3">
      <c r="A69" s="26" t="s">
        <v>212</v>
      </c>
      <c r="B69" s="27" t="s">
        <v>136</v>
      </c>
      <c r="C69" s="9">
        <v>1.1839833622727272</v>
      </c>
      <c r="D69" s="9">
        <v>7.2500987000000006</v>
      </c>
      <c r="E69" s="9">
        <v>-0.43752999999999997</v>
      </c>
      <c r="F69" s="9" t="s">
        <v>242</v>
      </c>
      <c r="J69" s="51"/>
    </row>
    <row r="70" spans="1:10" x14ac:dyDescent="0.3">
      <c r="A70" s="6" t="s">
        <v>217</v>
      </c>
      <c r="B70" s="8" t="s">
        <v>141</v>
      </c>
      <c r="C70" s="7">
        <v>1.134263651636364</v>
      </c>
      <c r="D70" s="7">
        <v>18.721630000000001</v>
      </c>
      <c r="E70" s="7">
        <v>2.033909</v>
      </c>
      <c r="F70" s="7" t="s">
        <v>240</v>
      </c>
      <c r="J70" s="51"/>
    </row>
    <row r="71" spans="1:10" x14ac:dyDescent="0.3">
      <c r="A71" s="26" t="s">
        <v>222</v>
      </c>
      <c r="B71" s="27" t="s">
        <v>145</v>
      </c>
      <c r="C71" s="9">
        <v>1.0024561329090909</v>
      </c>
      <c r="D71" s="9">
        <v>-10.9948465</v>
      </c>
      <c r="E71" s="9">
        <v>-0.2143505</v>
      </c>
      <c r="F71" s="9" t="s">
        <v>17</v>
      </c>
      <c r="J71" s="51"/>
    </row>
    <row r="72" spans="1:10" x14ac:dyDescent="0.3">
      <c r="A72" s="6" t="s">
        <v>233</v>
      </c>
      <c r="B72" s="8" t="s">
        <v>252</v>
      </c>
      <c r="C72" s="7">
        <v>0.99675591772727268</v>
      </c>
      <c r="D72" s="7">
        <v>-3.2117072999999996</v>
      </c>
      <c r="E72" s="7">
        <v>2.4554700000000002E-2</v>
      </c>
      <c r="F72" s="7" t="s">
        <v>242</v>
      </c>
      <c r="J72" s="51"/>
    </row>
    <row r="73" spans="1:10" x14ac:dyDescent="0.3">
      <c r="A73" s="26" t="s">
        <v>220</v>
      </c>
      <c r="B73" s="27" t="s">
        <v>143</v>
      </c>
      <c r="C73" s="9">
        <v>0.97994429209773826</v>
      </c>
      <c r="D73" s="9">
        <v>-47.29976208651</v>
      </c>
      <c r="E73" s="9">
        <v>-0.55914790015000004</v>
      </c>
      <c r="F73" s="9" t="s">
        <v>18</v>
      </c>
      <c r="J73" s="51"/>
    </row>
    <row r="74" spans="1:10" x14ac:dyDescent="0.3">
      <c r="A74" s="6" t="s">
        <v>214</v>
      </c>
      <c r="B74" s="8" t="s">
        <v>138</v>
      </c>
      <c r="C74" s="7">
        <v>0.94901214545454549</v>
      </c>
      <c r="D74" s="7">
        <v>18.627977999999999</v>
      </c>
      <c r="E74" s="7">
        <v>0.77689399999999997</v>
      </c>
      <c r="F74" s="7" t="s">
        <v>18</v>
      </c>
      <c r="J74" s="51"/>
    </row>
    <row r="75" spans="1:10" x14ac:dyDescent="0.3">
      <c r="A75" s="26" t="s">
        <v>256</v>
      </c>
      <c r="B75" s="27" t="s">
        <v>257</v>
      </c>
      <c r="C75" s="9">
        <v>0.87584804827272733</v>
      </c>
      <c r="D75" s="9">
        <v>-23.145972</v>
      </c>
      <c r="E75" s="9">
        <v>0.43318099999999998</v>
      </c>
      <c r="F75" s="9" t="s">
        <v>18</v>
      </c>
      <c r="J75" s="51"/>
    </row>
    <row r="76" spans="1:10" x14ac:dyDescent="0.3">
      <c r="A76" s="6" t="s">
        <v>235</v>
      </c>
      <c r="B76" s="8" t="s">
        <v>156</v>
      </c>
      <c r="C76" s="7">
        <v>0.86395586090909093</v>
      </c>
      <c r="D76" s="7">
        <v>-1.3992985</v>
      </c>
      <c r="E76" s="7">
        <v>0.12741</v>
      </c>
      <c r="F76" s="7" t="s">
        <v>12</v>
      </c>
      <c r="J76" s="51"/>
    </row>
    <row r="77" spans="1:10" x14ac:dyDescent="0.3">
      <c r="A77" s="26" t="s">
        <v>229</v>
      </c>
      <c r="B77" s="27" t="s">
        <v>152</v>
      </c>
      <c r="C77" s="9">
        <v>0.85569307409090911</v>
      </c>
      <c r="D77" s="9">
        <v>9.4851405</v>
      </c>
      <c r="E77" s="9">
        <v>1.7569330000000001</v>
      </c>
      <c r="F77" s="9" t="s">
        <v>18</v>
      </c>
      <c r="J77" s="51"/>
    </row>
    <row r="78" spans="1:10" x14ac:dyDescent="0.3">
      <c r="A78" s="6" t="s">
        <v>238</v>
      </c>
      <c r="B78" s="8" t="s">
        <v>158</v>
      </c>
      <c r="C78" s="7">
        <v>0.83042936818181812</v>
      </c>
      <c r="D78" s="7">
        <v>-0.4075554999999999</v>
      </c>
      <c r="E78" s="7">
        <v>-0.44696090000000005</v>
      </c>
      <c r="F78" s="7" t="s">
        <v>15</v>
      </c>
      <c r="J78" s="51"/>
    </row>
    <row r="79" spans="1:10" x14ac:dyDescent="0.3">
      <c r="A79" s="26" t="s">
        <v>219</v>
      </c>
      <c r="B79" s="27" t="s">
        <v>142</v>
      </c>
      <c r="C79" s="9">
        <v>0.82883016754545458</v>
      </c>
      <c r="D79" s="9">
        <v>7.0038859999999996</v>
      </c>
      <c r="E79" s="9">
        <v>0.66721200000000003</v>
      </c>
      <c r="F79" s="9" t="s">
        <v>242</v>
      </c>
      <c r="J79" s="51"/>
    </row>
    <row r="80" spans="1:10" x14ac:dyDescent="0.3">
      <c r="A80" s="6" t="s">
        <v>221</v>
      </c>
      <c r="B80" s="8" t="s">
        <v>144</v>
      </c>
      <c r="C80" s="7">
        <v>0.80820549772727268</v>
      </c>
      <c r="D80" s="7">
        <v>-22.101210500000001</v>
      </c>
      <c r="E80" s="7">
        <v>-0.157775</v>
      </c>
      <c r="F80" s="7" t="s">
        <v>18</v>
      </c>
      <c r="J80" s="51"/>
    </row>
    <row r="81" spans="1:10" x14ac:dyDescent="0.3">
      <c r="A81" s="26" t="s">
        <v>213</v>
      </c>
      <c r="B81" s="27" t="s">
        <v>137</v>
      </c>
      <c r="C81" s="9">
        <v>0.79684519500000006</v>
      </c>
      <c r="D81" s="9">
        <v>-0.34919450000000002</v>
      </c>
      <c r="E81" s="9">
        <v>3.9880499999999999E-2</v>
      </c>
      <c r="F81" s="9" t="s">
        <v>241</v>
      </c>
      <c r="J81" s="51"/>
    </row>
    <row r="82" spans="1:10" x14ac:dyDescent="0.3">
      <c r="A82" s="6" t="s">
        <v>231</v>
      </c>
      <c r="B82" s="8" t="s">
        <v>153</v>
      </c>
      <c r="C82" s="7">
        <v>0.77311660745454558</v>
      </c>
      <c r="D82" s="7">
        <v>-11.175779</v>
      </c>
      <c r="E82" s="7">
        <v>-0.22696649999999999</v>
      </c>
      <c r="F82" s="7" t="s">
        <v>18</v>
      </c>
      <c r="J82" s="51"/>
    </row>
    <row r="83" spans="1:10" x14ac:dyDescent="0.3">
      <c r="A83" s="26" t="s">
        <v>230</v>
      </c>
      <c r="B83" s="27" t="s">
        <v>91</v>
      </c>
      <c r="C83" s="9">
        <v>0.75463259545454542</v>
      </c>
      <c r="D83" s="9">
        <v>-0.78186299999999997</v>
      </c>
      <c r="E83" s="9">
        <v>-0.2515925</v>
      </c>
      <c r="F83" s="9" t="s">
        <v>12</v>
      </c>
      <c r="J83" s="51"/>
    </row>
    <row r="84" spans="1:10" x14ac:dyDescent="0.3">
      <c r="A84" s="6" t="s">
        <v>218</v>
      </c>
      <c r="B84" s="8" t="s">
        <v>108</v>
      </c>
      <c r="C84" s="7">
        <v>0.751218822504091</v>
      </c>
      <c r="D84" s="7">
        <v>41.652584569200002</v>
      </c>
      <c r="E84" s="7">
        <v>8.7427549000000018E-3</v>
      </c>
      <c r="F84" s="7" t="s">
        <v>242</v>
      </c>
      <c r="J84" s="51"/>
    </row>
    <row r="85" spans="1:10" x14ac:dyDescent="0.3">
      <c r="A85" s="26" t="s">
        <v>228</v>
      </c>
      <c r="B85" s="27" t="s">
        <v>151</v>
      </c>
      <c r="C85" s="9">
        <v>0.74128307818181816</v>
      </c>
      <c r="D85" s="9">
        <v>12.000204</v>
      </c>
      <c r="E85" s="9">
        <v>0.22833999999999999</v>
      </c>
      <c r="F85" s="9" t="s">
        <v>15</v>
      </c>
      <c r="J85" s="51"/>
    </row>
    <row r="86" spans="1:10" x14ac:dyDescent="0.3">
      <c r="A86" s="6" t="s">
        <v>234</v>
      </c>
      <c r="B86" s="8" t="s">
        <v>155</v>
      </c>
      <c r="C86" s="7">
        <v>0.74082262590909087</v>
      </c>
      <c r="D86" s="7">
        <v>14.688651</v>
      </c>
      <c r="E86" s="7">
        <v>-2.0499999999999351E-3</v>
      </c>
      <c r="F86" s="7" t="s">
        <v>12</v>
      </c>
      <c r="J86" s="51"/>
    </row>
    <row r="87" spans="1:10" x14ac:dyDescent="0.3">
      <c r="A87" s="26" t="s">
        <v>236</v>
      </c>
      <c r="B87" s="27" t="s">
        <v>99</v>
      </c>
      <c r="C87" s="9">
        <v>0.64740152826677277</v>
      </c>
      <c r="D87" s="9">
        <v>-26.54262373281</v>
      </c>
      <c r="E87" s="9">
        <v>-0.85386537044999999</v>
      </c>
      <c r="F87" s="9" t="s">
        <v>18</v>
      </c>
      <c r="J87" s="51"/>
    </row>
    <row r="88" spans="1:10" x14ac:dyDescent="0.3">
      <c r="A88" s="6" t="s">
        <v>258</v>
      </c>
      <c r="B88" s="8" t="s">
        <v>259</v>
      </c>
      <c r="C88" s="7">
        <v>0.64243179409090911</v>
      </c>
      <c r="D88" s="7">
        <v>-2.0289950000000001</v>
      </c>
      <c r="E88" s="7">
        <v>0.5523055</v>
      </c>
      <c r="F88" s="7" t="s">
        <v>241</v>
      </c>
      <c r="J88" s="51"/>
    </row>
    <row r="89" spans="1:10" x14ac:dyDescent="0.3">
      <c r="A89" s="26" t="s">
        <v>227</v>
      </c>
      <c r="B89" s="27" t="s">
        <v>150</v>
      </c>
      <c r="C89" s="9">
        <v>0.63158098181818179</v>
      </c>
      <c r="D89" s="9">
        <v>6.5913364999999997</v>
      </c>
      <c r="E89" s="9">
        <v>3.2219499999999998E-2</v>
      </c>
      <c r="F89" s="9" t="s">
        <v>17</v>
      </c>
      <c r="J89" s="51"/>
    </row>
    <row r="90" spans="1:10" x14ac:dyDescent="0.3">
      <c r="A90" s="6" t="s">
        <v>248</v>
      </c>
      <c r="B90" s="8" t="s">
        <v>249</v>
      </c>
      <c r="C90" s="7">
        <v>0.62953265681818182</v>
      </c>
      <c r="D90" s="7">
        <v>-6.803153</v>
      </c>
      <c r="E90" s="7">
        <v>6.1454000000000002E-2</v>
      </c>
      <c r="F90" s="7" t="s">
        <v>17</v>
      </c>
      <c r="J90" s="51"/>
    </row>
    <row r="91" spans="1:10" x14ac:dyDescent="0.3">
      <c r="A91" s="26" t="s">
        <v>226</v>
      </c>
      <c r="B91" s="27" t="s">
        <v>149</v>
      </c>
      <c r="C91" s="9">
        <v>0.60676218454545461</v>
      </c>
      <c r="D91" s="9">
        <v>2.2422814</v>
      </c>
      <c r="E91" s="9">
        <v>1.0739299999999999E-2</v>
      </c>
      <c r="F91" s="9" t="s">
        <v>11</v>
      </c>
      <c r="J91" s="51"/>
    </row>
    <row r="92" spans="1:10" x14ac:dyDescent="0.3">
      <c r="A92" s="6" t="s">
        <v>237</v>
      </c>
      <c r="B92" s="8" t="s">
        <v>157</v>
      </c>
      <c r="C92" s="7">
        <v>0.57632533408155007</v>
      </c>
      <c r="D92" s="7">
        <v>-16.461797879000002</v>
      </c>
      <c r="E92" s="7">
        <v>-0.75150914680000003</v>
      </c>
      <c r="F92" s="7" t="s">
        <v>18</v>
      </c>
      <c r="J92" s="51"/>
    </row>
    <row r="93" spans="1:10" x14ac:dyDescent="0.3">
      <c r="A93" s="26" t="s">
        <v>223</v>
      </c>
      <c r="B93" s="27" t="s">
        <v>146</v>
      </c>
      <c r="C93" s="9">
        <v>0.5734199631818182</v>
      </c>
      <c r="D93" s="9">
        <v>-9.7832554999999992</v>
      </c>
      <c r="E93" s="9">
        <v>8.44911E-2</v>
      </c>
      <c r="F93" s="9" t="s">
        <v>242</v>
      </c>
      <c r="J93" s="51"/>
    </row>
    <row r="94" spans="1:10" x14ac:dyDescent="0.3">
      <c r="A94" s="6" t="s">
        <v>225</v>
      </c>
      <c r="B94" s="8" t="s">
        <v>148</v>
      </c>
      <c r="C94" s="7">
        <v>0.54572816272727276</v>
      </c>
      <c r="D94" s="7">
        <v>1.24302</v>
      </c>
      <c r="E94" s="7">
        <v>0.2722115</v>
      </c>
      <c r="F94" s="7" t="s">
        <v>15</v>
      </c>
      <c r="J94" s="51"/>
    </row>
    <row r="95" spans="1:10" x14ac:dyDescent="0.3">
      <c r="A95" s="26" t="s">
        <v>261</v>
      </c>
      <c r="B95" s="27" t="s">
        <v>262</v>
      </c>
      <c r="C95" s="9">
        <v>0.51939182695454555</v>
      </c>
      <c r="D95" s="9">
        <v>2.3922254999999999</v>
      </c>
      <c r="E95" s="9">
        <v>0.56684950000000001</v>
      </c>
      <c r="F95" s="9" t="s">
        <v>241</v>
      </c>
      <c r="J95" s="51"/>
    </row>
    <row r="96" spans="1:10" x14ac:dyDescent="0.3">
      <c r="A96" s="6" t="s">
        <v>254</v>
      </c>
      <c r="B96" s="8" t="s">
        <v>253</v>
      </c>
      <c r="C96" s="7">
        <v>0.51046542727272715</v>
      </c>
      <c r="D96" s="7">
        <v>26.241489999999988</v>
      </c>
      <c r="E96" s="7">
        <v>3.1800999999999989E-2</v>
      </c>
      <c r="F96" s="7" t="s">
        <v>14</v>
      </c>
      <c r="J96" s="51"/>
    </row>
    <row r="97" spans="1:10" x14ac:dyDescent="0.3">
      <c r="A97" s="26" t="s">
        <v>239</v>
      </c>
      <c r="B97" s="27" t="s">
        <v>159</v>
      </c>
      <c r="C97" s="9">
        <v>0.47744088863636364</v>
      </c>
      <c r="D97" s="9">
        <v>-7.3614489000000001</v>
      </c>
      <c r="E97" s="9">
        <v>-0.1318309</v>
      </c>
      <c r="F97" s="9" t="s">
        <v>16</v>
      </c>
      <c r="J97" s="51"/>
    </row>
    <row r="98" spans="1:10" x14ac:dyDescent="0.3">
      <c r="A98" s="6" t="s">
        <v>266</v>
      </c>
      <c r="B98" s="8" t="s">
        <v>265</v>
      </c>
      <c r="C98" s="7">
        <v>0.45527267272727268</v>
      </c>
      <c r="D98" s="7">
        <v>5.1402184999999996</v>
      </c>
      <c r="E98" s="7">
        <v>0.74090849999999997</v>
      </c>
      <c r="F98" s="7" t="s">
        <v>18</v>
      </c>
      <c r="J98" s="51"/>
    </row>
    <row r="99" spans="1:10" x14ac:dyDescent="0.3">
      <c r="A99" s="26" t="s">
        <v>263</v>
      </c>
      <c r="B99" s="27" t="s">
        <v>264</v>
      </c>
      <c r="C99" s="9">
        <v>0.42211563440909089</v>
      </c>
      <c r="D99" s="9">
        <v>-3.5930244999999998</v>
      </c>
      <c r="E99" s="9">
        <v>1.0633195</v>
      </c>
      <c r="F99" s="9" t="s">
        <v>12</v>
      </c>
      <c r="J99" s="51"/>
    </row>
    <row r="100" spans="1:10" x14ac:dyDescent="0.3">
      <c r="A100" s="6" t="s">
        <v>268</v>
      </c>
      <c r="B100" s="8" t="s">
        <v>269</v>
      </c>
      <c r="C100" s="7">
        <v>0.39041806090909092</v>
      </c>
      <c r="D100" s="7">
        <v>-7.0518674000000008</v>
      </c>
      <c r="E100" s="7">
        <v>0.13082350000000001</v>
      </c>
      <c r="F100" s="7" t="s">
        <v>12</v>
      </c>
      <c r="J100" s="51"/>
    </row>
    <row r="101" spans="1:10" x14ac:dyDescent="0.3">
      <c r="A101" s="62" t="s">
        <v>232</v>
      </c>
      <c r="B101" s="63" t="s">
        <v>154</v>
      </c>
      <c r="C101" s="10">
        <v>0.37683869777272727</v>
      </c>
      <c r="D101" s="10">
        <v>5.2719364999999998</v>
      </c>
      <c r="E101" s="10">
        <v>2.3317500000000001E-2</v>
      </c>
      <c r="F101" s="10" t="s">
        <v>18</v>
      </c>
      <c r="J101" s="51"/>
    </row>
    <row r="102" spans="1:10" x14ac:dyDescent="0.3">
      <c r="A102" s="59"/>
      <c r="B102" s="11"/>
      <c r="C102" s="11"/>
      <c r="D102" s="60"/>
      <c r="E102" s="60"/>
      <c r="F102" s="60"/>
      <c r="H102" s="50"/>
      <c r="J102" s="51"/>
    </row>
    <row r="104" spans="1:10" x14ac:dyDescent="0.3">
      <c r="A104" s="12" t="s">
        <v>69</v>
      </c>
    </row>
    <row r="105" spans="1:10" x14ac:dyDescent="0.3">
      <c r="A105" s="12" t="s">
        <v>84</v>
      </c>
    </row>
    <row r="106" spans="1:10" x14ac:dyDescent="0.3">
      <c r="A106" s="12" t="s">
        <v>246</v>
      </c>
    </row>
    <row r="107" spans="1:10" x14ac:dyDescent="0.3">
      <c r="A107" s="12" t="s">
        <v>245</v>
      </c>
    </row>
    <row r="108" spans="1:10" x14ac:dyDescent="0.3">
      <c r="A108" s="12" t="s">
        <v>260</v>
      </c>
    </row>
    <row r="109" spans="1:10" x14ac:dyDescent="0.3">
      <c r="A109" s="12" t="s">
        <v>77</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2.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B9DFD5A-5B98-4FC4-88C5-38A4EF6FA71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Candace Li</cp:lastModifiedBy>
  <cp:lastPrinted>2021-05-10T01:23:04Z</cp:lastPrinted>
  <dcterms:created xsi:type="dcterms:W3CDTF">2020-01-13T01:31:10Z</dcterms:created>
  <dcterms:modified xsi:type="dcterms:W3CDTF">2023-11-20T02:19:26Z</dcterms:modified>
</cp:coreProperties>
</file>