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633EDAFA-BF26-4266-A12E-33C9BD7C2597}" xr6:coauthVersionLast="47" xr6:coauthVersionMax="47" xr10:uidLastSave="{00000000-0000-0000-0000-000000000000}"/>
  <bookViews>
    <workbookView xWindow="-25320" yWindow="-16200" windowWidth="14610" windowHeight="15585"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<sst xmlns="http://schemas.openxmlformats.org/spreadsheetml/2006/main" count="142" uniqueCount="94">
  <si>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</si>
  <si>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</si>
  <si>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</si>
  <si>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</si>
  <si>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</si>
  <si>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</si>
  <si>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</si>
  <si>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</si>
  <si>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</si>
  <si>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</si>
  <si>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</si>
  <si>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</si>
  <si>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</si>
  <si>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</si>
  <si>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</si>
  <si>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</si>
  <si>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</si>
  <si>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</si>
  <si>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</si>
  <si>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</si>
  <si>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</si>
  <si>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</si>
  <si>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</si>
  <si>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</si>
  <si>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</si>
  <si>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</si>
  <si>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</si>
  <si>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</si>
  <si>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</si>
  <si>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</si>
  <si>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</si>
  <si>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</si>
  <si>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</si>
  <si>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</si>
  <si>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</si>
  <si>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</si>
  <si>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</si>
  <si>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SGX</t>
  </si>
  <si>
    <t>S68</t>
  </si>
  <si>
    <t>Keppel</t>
  </si>
  <si>
    <t>BN4</t>
  </si>
  <si>
    <t xml:space="preserve">AEM </t>
  </si>
  <si>
    <t>AWX</t>
  </si>
  <si>
    <t>Yangzijiang Shipbuilding</t>
  </si>
  <si>
    <t>BS6</t>
  </si>
  <si>
    <t>UMS</t>
  </si>
  <si>
    <t>ST Engineering</t>
  </si>
  <si>
    <t>S63</t>
  </si>
  <si>
    <t>CapitaLand Ascendas REIT</t>
  </si>
  <si>
    <t>A17U</t>
  </si>
  <si>
    <t>Seatrium</t>
  </si>
  <si>
    <t>5E2</t>
  </si>
  <si>
    <t>CapitaLand Investment</t>
  </si>
  <si>
    <t>9CI</t>
  </si>
  <si>
    <t>SIA</t>
  </si>
  <si>
    <t>C6L</t>
  </si>
  <si>
    <t>Sembcorp Industries</t>
  </si>
  <si>
    <t>U96</t>
  </si>
  <si>
    <t>CapitaLand Integrated Commercial Trust</t>
  </si>
  <si>
    <t>C38U</t>
  </si>
  <si>
    <t>Hongkong Land</t>
  </si>
  <si>
    <t>H78</t>
  </si>
  <si>
    <t>DFI Retail Group</t>
  </si>
  <si>
    <t>D01</t>
  </si>
  <si>
    <t>City Developments</t>
  </si>
  <si>
    <t>C09</t>
  </si>
  <si>
    <t>558</t>
  </si>
  <si>
    <t>Visit SGX Data Desk (https://sgxdatadesk.com) for direct access to SGX analytics and historical market data.</t>
  </si>
  <si>
    <t>Jardine Matheson</t>
  </si>
  <si>
    <t>J36</t>
  </si>
  <si>
    <t>UOL</t>
  </si>
  <si>
    <t>U14</t>
  </si>
  <si>
    <t>StarHub</t>
  </si>
  <si>
    <t>CC3</t>
  </si>
  <si>
    <t xml:space="preserve">Frasers Centrepoint Trust </t>
  </si>
  <si>
    <t>J69U</t>
  </si>
  <si>
    <t>Keppel DC REIT</t>
  </si>
  <si>
    <t>AJBU</t>
  </si>
  <si>
    <t>Keppel REIT</t>
  </si>
  <si>
    <t>K71U</t>
  </si>
  <si>
    <t>Wilmar International</t>
  </si>
  <si>
    <t>F34</t>
  </si>
  <si>
    <t>E28</t>
  </si>
  <si>
    <t>SATS</t>
  </si>
  <si>
    <t>S58</t>
  </si>
  <si>
    <t>Thai Beverage</t>
  </si>
  <si>
    <t>Y92</t>
  </si>
  <si>
    <t>ComfortDelGro</t>
  </si>
  <si>
    <t>C52</t>
  </si>
  <si>
    <t>Week of 19 October 2026</t>
  </si>
  <si>
    <r>
      <t xml:space="preserve">Institutional investors net </t>
    </r>
    <r>
      <rPr>
        <b/>
        <sz val="11"/>
        <rFont val="Arial"/>
        <family val="2"/>
      </rPr>
      <t>sell</t>
    </r>
    <r>
      <rPr>
        <sz val="11"/>
        <rFont val="Arial"/>
        <family val="2"/>
      </rPr>
      <t xml:space="preserve"> (-S$125.9m) vs. (-S$214.8m) a week ago</t>
    </r>
  </si>
  <si>
    <r>
      <t xml:space="preserve">Retail investors net </t>
    </r>
    <r>
      <rPr>
        <b/>
        <sz val="11"/>
        <rFont val="Arial"/>
        <family val="2"/>
      </rPr>
      <t>buy</t>
    </r>
    <r>
      <rPr>
        <sz val="11"/>
        <rFont val="Arial"/>
        <family val="2"/>
      </rPr>
      <t xml:space="preserve"> (+S$191.4m) vs. (+S$267.3m) a week ago</t>
    </r>
  </si>
  <si>
    <t>Frencken Group</t>
  </si>
  <si>
    <t>https://www.sgx.com/research-education/data-reports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</si>
</sst>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89</v>
      </c>
      <c r="C1" s="59"/>
    </row>
    <row r="2" spans="1:13" x14ac:dyDescent="0.3">
      <c r="A2" s="52" t="s">
        <v>90</v>
      </c>
      <c r="I2" s="40"/>
    </row>
    <row r="3" spans="1:13" x14ac:dyDescent="0.3">
      <c r="A3" s="52" t="s">
        <v>91</v>
      </c>
      <c r="I3" s="40"/>
    </row>
    <row r="5" spans="1:13" ht="29.25" customHeight="1" x14ac:dyDescent="0.3">
      <c r="A5" s="3" t="s">
        <v>0</v>
      </c>
      <c r="B5" s="3" t="s">
        <v>1</v>
      </c>
      <c r="C5" s="4" t="s">
        <v>89</v>
      </c>
      <c r="D5" s="43" t="s">
        <v>2</v>
      </c>
      <c r="E5" s="43" t="s">
        <v>1</v>
      </c>
      <c r="F5" s="44" t="str">
        <f>+C5</f>
        <v>Week of 19 October 2026</v>
      </c>
      <c r="I5" s="2"/>
    </row>
    <row r="6" spans="1:13" ht="14.5" x14ac:dyDescent="0.35">
      <c r="A6" s="28" t="s">
        <v>48</v>
      </c>
      <c r="B6" s="46" t="s">
        <v>49</v>
      </c>
      <c r="C6" s="5">
        <v>32.947518000000002</v>
      </c>
      <c r="D6" s="28" t="s">
        <v>41</v>
      </c>
      <c r="E6" s="46" t="s">
        <v>42</v>
      </c>
      <c r="F6" s="5">
        <v>-46.590684000000003</v>
      </c>
      <c r="G6" s="61"/>
      <c r="H6"/>
      <c r="I6" s="2"/>
      <c r="M6"/>
    </row>
    <row r="7" spans="1:13" ht="14.5" x14ac:dyDescent="0.35">
      <c r="A7" s="29" t="s">
        <v>33</v>
      </c>
      <c r="B7" s="9" t="s">
        <v>34</v>
      </c>
      <c r="C7" s="7">
        <v>32.685447300000007</v>
      </c>
      <c r="D7" s="29" t="s">
        <v>43</v>
      </c>
      <c r="E7" s="9" t="s">
        <v>44</v>
      </c>
      <c r="F7" s="7">
        <v>-34.690838999999997</v>
      </c>
      <c r="G7" s="61"/>
      <c r="H7"/>
      <c r="I7" s="2"/>
      <c r="L7"/>
      <c r="M7"/>
    </row>
    <row r="8" spans="1:13" ht="14.5" x14ac:dyDescent="0.35">
      <c r="A8" s="30" t="s">
        <v>56</v>
      </c>
      <c r="B8" s="46" t="s">
        <v>57</v>
      </c>
      <c r="C8" s="5">
        <v>23.872012000000002</v>
      </c>
      <c r="D8" s="30" t="s">
        <v>52</v>
      </c>
      <c r="E8" s="46" t="s">
        <v>53</v>
      </c>
      <c r="F8" s="5">
        <v>-30.773951</v>
      </c>
      <c r="G8" s="61"/>
      <c r="H8"/>
      <c r="I8" s="2"/>
      <c r="L8"/>
      <c r="M8"/>
    </row>
    <row r="9" spans="1:13" ht="14.5" x14ac:dyDescent="0.35">
      <c r="A9" s="29" t="s">
        <v>68</v>
      </c>
      <c r="B9" s="9" t="s">
        <v>69</v>
      </c>
      <c r="C9" s="7">
        <v>20.038334351700001</v>
      </c>
      <c r="D9" s="29" t="s">
        <v>22</v>
      </c>
      <c r="E9" s="9" t="s">
        <v>21</v>
      </c>
      <c r="F9" s="7">
        <v>-17.711856999999998</v>
      </c>
      <c r="G9" s="61"/>
      <c r="H9"/>
      <c r="I9" s="2"/>
      <c r="L9"/>
      <c r="M9"/>
    </row>
    <row r="10" spans="1:13" ht="14.5" x14ac:dyDescent="0.35">
      <c r="A10" s="30" t="s">
        <v>58</v>
      </c>
      <c r="B10" s="46" t="s">
        <v>59</v>
      </c>
      <c r="C10" s="5">
        <v>12.656737</v>
      </c>
      <c r="D10" s="30" t="s">
        <v>37</v>
      </c>
      <c r="E10" s="46" t="s">
        <v>38</v>
      </c>
      <c r="F10" s="5">
        <v>-15.866761199999999</v>
      </c>
      <c r="G10" s="61"/>
      <c r="H10"/>
      <c r="I10" s="2"/>
      <c r="L10"/>
      <c r="M10"/>
    </row>
    <row r="11" spans="1:13" ht="14.5" x14ac:dyDescent="0.35">
      <c r="A11" s="29" t="s">
        <v>46</v>
      </c>
      <c r="B11" s="9" t="s">
        <v>47</v>
      </c>
      <c r="C11" s="7">
        <v>11.085998</v>
      </c>
      <c r="D11" s="29" t="s">
        <v>74</v>
      </c>
      <c r="E11" s="9" t="s">
        <v>75</v>
      </c>
      <c r="F11" s="7">
        <v>-15.465342</v>
      </c>
      <c r="G11" s="61"/>
      <c r="H11"/>
      <c r="I11" s="2"/>
      <c r="L11"/>
      <c r="M11"/>
    </row>
    <row r="12" spans="1:13" ht="14.5" x14ac:dyDescent="0.35">
      <c r="A12" s="30" t="s">
        <v>60</v>
      </c>
      <c r="B12" s="46" t="s">
        <v>61</v>
      </c>
      <c r="C12" s="5">
        <v>6.8242538085</v>
      </c>
      <c r="D12" s="30" t="s">
        <v>76</v>
      </c>
      <c r="E12" s="46" t="s">
        <v>77</v>
      </c>
      <c r="F12" s="5">
        <v>-15.233136999999999</v>
      </c>
      <c r="G12" s="61"/>
      <c r="H12"/>
      <c r="I12" s="2"/>
      <c r="L12"/>
      <c r="M12"/>
    </row>
    <row r="13" spans="1:13" ht="14.5" x14ac:dyDescent="0.35">
      <c r="A13" s="29" t="s">
        <v>70</v>
      </c>
      <c r="B13" s="9" t="s">
        <v>71</v>
      </c>
      <c r="C13" s="7">
        <v>5.4738680000000004</v>
      </c>
      <c r="D13" s="29" t="s">
        <v>50</v>
      </c>
      <c r="E13" s="9" t="s">
        <v>51</v>
      </c>
      <c r="F13" s="7">
        <v>-14.757353999999999</v>
      </c>
      <c r="G13" s="61"/>
      <c r="H13"/>
      <c r="I13" s="2"/>
      <c r="L13"/>
      <c r="M13"/>
    </row>
    <row r="14" spans="1:13" ht="14.5" x14ac:dyDescent="0.35">
      <c r="A14" s="30" t="s">
        <v>62</v>
      </c>
      <c r="B14" s="46" t="s">
        <v>63</v>
      </c>
      <c r="C14" s="5">
        <v>4.9011987357000004</v>
      </c>
      <c r="D14" s="30" t="s">
        <v>78</v>
      </c>
      <c r="E14" s="46" t="s">
        <v>79</v>
      </c>
      <c r="F14" s="5">
        <v>-12.491235</v>
      </c>
      <c r="G14" s="61"/>
      <c r="H14"/>
      <c r="I14" s="2"/>
      <c r="L14"/>
      <c r="M14"/>
    </row>
    <row r="15" spans="1:13" ht="14.5" x14ac:dyDescent="0.35">
      <c r="A15" s="31" t="s">
        <v>72</v>
      </c>
      <c r="B15" s="27" t="s">
        <v>73</v>
      </c>
      <c r="C15" s="8">
        <v>2.0908129999999998</v>
      </c>
      <c r="D15" s="31" t="s">
        <v>80</v>
      </c>
      <c r="E15" s="27" t="s">
        <v>81</v>
      </c>
      <c r="F15" s="8">
        <v>-6.3209749999999998</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19 October 2026</v>
      </c>
      <c r="D18" s="45" t="s">
        <v>4</v>
      </c>
      <c r="E18" s="43" t="s">
        <v>1</v>
      </c>
      <c r="F18" s="44" t="str">
        <f>+C18</f>
        <v>Week of 19 October 2026</v>
      </c>
    </row>
    <row r="19" spans="1:9" x14ac:dyDescent="0.3">
      <c r="A19" s="30" t="s">
        <v>43</v>
      </c>
      <c r="B19" s="46" t="s">
        <v>44</v>
      </c>
      <c r="C19" s="16">
        <v>64.504525999999998</v>
      </c>
      <c r="D19" s="30" t="s">
        <v>56</v>
      </c>
      <c r="E19" s="15" t="s">
        <v>57</v>
      </c>
      <c r="F19" s="5">
        <v>-21.072948</v>
      </c>
      <c r="I19" s="2"/>
    </row>
    <row r="20" spans="1:9" ht="14.5" x14ac:dyDescent="0.35">
      <c r="A20" s="29" t="s">
        <v>41</v>
      </c>
      <c r="B20" s="9" t="s">
        <v>42</v>
      </c>
      <c r="C20" s="7">
        <v>55.763412000000002</v>
      </c>
      <c r="D20" s="29" t="s">
        <v>33</v>
      </c>
      <c r="E20" s="17" t="s">
        <v>34</v>
      </c>
      <c r="F20" s="7">
        <v>-19.281709599999999</v>
      </c>
      <c r="G20" s="61"/>
      <c r="I20" s="2"/>
    </row>
    <row r="21" spans="1:9" ht="14.5" x14ac:dyDescent="0.35">
      <c r="A21" s="30" t="s">
        <v>22</v>
      </c>
      <c r="B21" s="46" t="s">
        <v>21</v>
      </c>
      <c r="C21" s="5">
        <v>37.7673232</v>
      </c>
      <c r="D21" s="30" t="s">
        <v>35</v>
      </c>
      <c r="E21" s="6" t="s">
        <v>36</v>
      </c>
      <c r="F21" s="5">
        <v>-16.225593700000001</v>
      </c>
      <c r="G21" s="61"/>
      <c r="I21" s="2"/>
    </row>
    <row r="22" spans="1:9" ht="14.5" x14ac:dyDescent="0.35">
      <c r="A22" s="29" t="s">
        <v>50</v>
      </c>
      <c r="B22" s="9" t="s">
        <v>51</v>
      </c>
      <c r="C22" s="7">
        <v>12.175169</v>
      </c>
      <c r="D22" s="29" t="s">
        <v>68</v>
      </c>
      <c r="E22" s="17" t="s">
        <v>69</v>
      </c>
      <c r="F22" s="7">
        <v>-6.3444066688999996</v>
      </c>
      <c r="G22" s="61"/>
      <c r="I22" s="2"/>
    </row>
    <row r="23" spans="1:9" ht="14.5" x14ac:dyDescent="0.35">
      <c r="A23" s="30" t="s">
        <v>52</v>
      </c>
      <c r="B23" s="68" t="s">
        <v>53</v>
      </c>
      <c r="C23" s="69">
        <v>10.650816000000001</v>
      </c>
      <c r="D23" s="30" t="s">
        <v>58</v>
      </c>
      <c r="E23" s="6" t="s">
        <v>59</v>
      </c>
      <c r="F23" s="5">
        <v>-4.8264449999999997</v>
      </c>
      <c r="G23" s="61"/>
      <c r="I23" s="2"/>
    </row>
    <row r="24" spans="1:9" ht="14.5" x14ac:dyDescent="0.35">
      <c r="A24" s="70" t="s">
        <v>45</v>
      </c>
      <c r="B24" s="71" t="s">
        <v>66</v>
      </c>
      <c r="C24" s="72">
        <v>10.364642999999999</v>
      </c>
      <c r="D24" s="29" t="s">
        <v>54</v>
      </c>
      <c r="E24" s="17" t="s">
        <v>55</v>
      </c>
      <c r="F24" s="7">
        <v>-4.6444530000000004</v>
      </c>
      <c r="G24" s="61"/>
      <c r="I24" s="2"/>
    </row>
    <row r="25" spans="1:9" ht="14.5" x14ac:dyDescent="0.35">
      <c r="A25" s="30" t="s">
        <v>46</v>
      </c>
      <c r="B25" s="68" t="s">
        <v>47</v>
      </c>
      <c r="C25" s="69">
        <v>9.2638920000000002</v>
      </c>
      <c r="D25" s="30" t="s">
        <v>64</v>
      </c>
      <c r="E25" s="6" t="s">
        <v>65</v>
      </c>
      <c r="F25" s="5">
        <v>-3.7272850000000002</v>
      </c>
      <c r="G25" s="61"/>
      <c r="I25" s="2"/>
    </row>
    <row r="26" spans="1:9" ht="14.5" x14ac:dyDescent="0.35">
      <c r="A26" s="70" t="s">
        <v>78</v>
      </c>
      <c r="B26" s="71" t="s">
        <v>79</v>
      </c>
      <c r="C26" s="72">
        <v>8.7171190000000003</v>
      </c>
      <c r="D26" s="29" t="s">
        <v>83</v>
      </c>
      <c r="E26" s="17" t="s">
        <v>84</v>
      </c>
      <c r="F26" s="7">
        <v>-3.550567</v>
      </c>
      <c r="G26" s="61"/>
      <c r="I26" s="2"/>
    </row>
    <row r="27" spans="1:9" ht="14.5" x14ac:dyDescent="0.35">
      <c r="A27" s="30" t="s">
        <v>39</v>
      </c>
      <c r="B27" s="46" t="s">
        <v>40</v>
      </c>
      <c r="C27" s="5">
        <v>7.6689252999999997</v>
      </c>
      <c r="D27" s="30" t="s">
        <v>85</v>
      </c>
      <c r="E27" s="46" t="s">
        <v>86</v>
      </c>
      <c r="F27" s="5">
        <v>-2.9099534999999999</v>
      </c>
      <c r="G27" s="61"/>
      <c r="I27" s="2"/>
    </row>
    <row r="28" spans="1:9" ht="14.5" x14ac:dyDescent="0.35">
      <c r="A28" s="27" t="s">
        <v>92</v>
      </c>
      <c r="B28" s="56" t="s">
        <v>82</v>
      </c>
      <c r="C28" s="8">
        <v>7.0518210000000003</v>
      </c>
      <c r="D28" s="67" t="s">
        <v>87</v>
      </c>
      <c r="E28" s="56" t="s">
        <v>88</v>
      </c>
      <c r="F28" s="8">
        <v>-2.1850869999999998</v>
      </c>
      <c r="G28" s="61"/>
      <c r="I28" s="2"/>
    </row>
    <row r="29" spans="1:9" x14ac:dyDescent="0.3">
      <c r="A29" s="9"/>
      <c r="B29" s="9"/>
      <c r="C29" s="9"/>
      <c r="D29" s="9"/>
      <c r="E29" s="9"/>
      <c r="F29" s="9"/>
    </row>
    <row r="30" spans="1:9" ht="14.5" x14ac:dyDescent="0.35">
      <c r="A30" s="10" t="s">
        <v>29</v>
      </c>
      <c r="B30" s="10"/>
      <c r="C30" s="9"/>
      <c r="D30" s="9"/>
      <c r="E30" s="9"/>
      <c r="F30" s="9"/>
    </row>
    <row r="31" spans="1:9" ht="14.5" x14ac:dyDescent="0.35">
      <c r="A31" s="10" t="s">
        <v>26</v>
      </c>
      <c r="B31" s="10"/>
      <c r="C31" s="9"/>
      <c r="D31" s="9"/>
      <c r="E31" s="9"/>
      <c r="F31" s="9"/>
    </row>
    <row r="32" spans="1:9" ht="14.5" x14ac:dyDescent="0.35">
      <c r="A32" s="10" t="s">
        <v>27</v>
      </c>
      <c r="B32" s="10"/>
      <c r="C32" s="9"/>
      <c r="D32" s="9"/>
      <c r="E32" s="9"/>
      <c r="F32" s="9"/>
    </row>
    <row r="33" spans="1:9" ht="14.5" x14ac:dyDescent="0.35">
      <c r="A33" s="10" t="s">
        <v>6</v>
      </c>
      <c r="B33" s="10"/>
      <c r="C33" s="9"/>
      <c r="D33" s="9"/>
      <c r="E33" s="9"/>
      <c r="F33" s="9"/>
    </row>
    <row r="34" spans="1:9" ht="14.5" x14ac:dyDescent="0.35">
      <c r="A34" s="57" t="s">
        <v>93</v>
      </c>
      <c r="B34" s="10"/>
      <c r="C34" s="9"/>
      <c r="D34" s="9"/>
      <c r="E34" s="9"/>
      <c r="F34" s="9"/>
      <c r="G34" s="49"/>
    </row>
    <row r="35" spans="1:9" ht="14.5" x14ac:dyDescent="0.35">
      <c r="A35" s="10" t="s">
        <v>67</v>
      </c>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31</v>
      </c>
      <c r="B38" s="19"/>
      <c r="C38" s="20"/>
      <c r="D38" s="20"/>
      <c r="E38" s="19"/>
      <c r="F38" s="19"/>
      <c r="I38" s="32"/>
    </row>
    <row r="39" spans="1:9" s="25" customFormat="1" ht="19.399999999999999" customHeight="1" x14ac:dyDescent="0.35">
      <c r="A39" s="22" t="s">
        <v>30</v>
      </c>
      <c r="B39" s="23"/>
      <c r="C39" s="24"/>
      <c r="D39" s="24"/>
      <c r="E39" s="23"/>
      <c r="F39" s="23"/>
      <c r="I39" s="35"/>
    </row>
    <row r="40" spans="1:9" ht="169.4" customHeight="1" x14ac:dyDescent="0.3">
      <c r="A40" s="73" t="s">
        <v>32</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2 B24 E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-309.29865062323989</v>
      </c>
      <c r="B3" s="54">
        <v>46293</v>
      </c>
      <c r="C3" s="14">
        <v>-4.51401390963</v>
      </c>
      <c r="D3" s="14">
        <v>-5.2473070780000013</v>
      </c>
      <c r="E3" s="14">
        <v>3.6890622999999998</v>
      </c>
      <c r="F3" s="14">
        <v>-37.570520599999995</v>
      </c>
      <c r="G3" s="14">
        <v>-6.6973278516499999</v>
      </c>
      <c r="H3" s="14">
        <v>-73.911993013999961</v>
      </c>
      <c r="I3" s="14">
        <v>5.7408999999999946E-2</v>
      </c>
      <c r="J3" s="14">
        <v>-92.458971875800003</v>
      </c>
      <c r="K3" s="14">
        <v>-154.43107834415997</v>
      </c>
      <c r="L3" s="14">
        <v>42.599410449999979</v>
      </c>
      <c r="M3" s="14">
        <v>19.837295700000002</v>
      </c>
      <c r="N3" s="14">
        <v>-0.65061539999999995</v>
      </c>
    </row>
    <row r="4" spans="1:15" x14ac:dyDescent="0.3">
      <c r="A4" s="38">
        <f>SUM(C4:N4)</f>
        <v>-895.87766925147992</v>
      </c>
      <c r="B4" s="42">
        <v>46300</v>
      </c>
      <c r="C4" s="53">
        <v>4.9442284419999991</v>
      </c>
      <c r="D4" s="53">
        <v>8.3792950999998006E-2</v>
      </c>
      <c r="E4" s="53">
        <v>-2.2749057000000001</v>
      </c>
      <c r="F4" s="53">
        <v>-772.96736537300001</v>
      </c>
      <c r="G4" s="53">
        <v>-5.2067675303000005</v>
      </c>
      <c r="H4" s="53">
        <v>-59.740679378879975</v>
      </c>
      <c r="I4" s="53">
        <v>-1.1231072000000004</v>
      </c>
      <c r="J4" s="53">
        <v>-0.59290447199999985</v>
      </c>
      <c r="K4" s="53">
        <v>-132.78865469029998</v>
      </c>
      <c r="L4" s="53">
        <v>47.559942199999995</v>
      </c>
      <c r="M4" s="53">
        <v>12.7019263</v>
      </c>
      <c r="N4" s="53">
        <v>13.526825200000003</v>
      </c>
    </row>
    <row r="5" spans="1:15" x14ac:dyDescent="0.3">
      <c r="A5" s="38">
        <f>SUM(C5:N5)</f>
        <v>-214.76033371162998</v>
      </c>
      <c r="B5" s="66">
        <v>46307</v>
      </c>
      <c r="C5" s="14">
        <v>-8.149141494080002</v>
      </c>
      <c r="D5" s="14">
        <v>3.4468065854999979</v>
      </c>
      <c r="E5" s="14">
        <v>-0.53908280000000008</v>
      </c>
      <c r="F5" s="14">
        <v>-65.446615300000019</v>
      </c>
      <c r="G5" s="14">
        <v>-1.7288003279499997</v>
      </c>
      <c r="H5" s="14">
        <v>-57.031567038029962</v>
      </c>
      <c r="I5" s="14">
        <v>-1.2658040999999998</v>
      </c>
      <c r="J5" s="14">
        <v>15.722186617100007</v>
      </c>
      <c r="K5" s="14">
        <v>-21.408426904169996</v>
      </c>
      <c r="L5" s="14">
        <v>-105.83231935000002</v>
      </c>
      <c r="M5" s="14">
        <v>4.8963498000000012</v>
      </c>
      <c r="N5" s="14">
        <v>22.576080600000001</v>
      </c>
    </row>
    <row r="6" spans="1:15" ht="14.5" x14ac:dyDescent="0.35">
      <c r="A6" s="38">
        <f>SUM(C6:N6)</f>
        <v>-125.86271357999993</v>
      </c>
      <c r="B6" s="58">
        <v>46314</v>
      </c>
      <c r="C6" s="53">
        <v>-9.1507710749100024</v>
      </c>
      <c r="D6" s="53">
        <v>-0.17553026429999963</v>
      </c>
      <c r="E6" s="53">
        <v>-2.3193356999999999</v>
      </c>
      <c r="F6" s="53">
        <v>-28.167379799999985</v>
      </c>
      <c r="G6" s="53">
        <v>-4.0282849476000004</v>
      </c>
      <c r="H6" s="53">
        <v>-20.068513142549985</v>
      </c>
      <c r="I6" s="53">
        <v>-1.0676850000000002</v>
      </c>
      <c r="J6" s="53">
        <v>10.939889108500003</v>
      </c>
      <c r="K6" s="53">
        <v>-24.308387159139993</v>
      </c>
      <c r="L6" s="53">
        <v>-68.274098499999994</v>
      </c>
      <c r="M6" s="53">
        <v>-1.284108699999998</v>
      </c>
      <c r="N6" s="53">
        <v>22.041491600000001</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26</v>
      </c>
      <c r="C9" s="10"/>
      <c r="D9" s="10"/>
    </row>
    <row r="10" spans="1:15" ht="14.5" x14ac:dyDescent="0.35">
      <c r="B10" s="10" t="s">
        <v>6</v>
      </c>
      <c r="C10" s="10"/>
      <c r="D10" s="10"/>
    </row>
    <row r="11" spans="1:15" ht="14.5" x14ac:dyDescent="0.35">
      <c r="B11" s="57" t="s">
        <v>93</v>
      </c>
      <c r="C11" s="11"/>
      <c r="D11" s="11"/>
    </row>
    <row r="12" spans="1:15" ht="14.5" x14ac:dyDescent="0.35">
      <c r="B12" s="57" t="s">
        <v>67</v>
      </c>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377.56362352050996</v>
      </c>
      <c r="B3" s="47">
        <v>46293</v>
      </c>
      <c r="C3" s="60">
        <v>3.3157269357999986</v>
      </c>
      <c r="D3" s="60">
        <v>14.2166326598</v>
      </c>
      <c r="E3" s="60">
        <v>-4.3688103999999992</v>
      </c>
      <c r="F3" s="60">
        <v>207.64024069999999</v>
      </c>
      <c r="G3" s="60">
        <v>3.7519293923000006</v>
      </c>
      <c r="H3" s="60">
        <v>32.009014356050031</v>
      </c>
      <c r="I3" s="60">
        <v>0.39167490000000066</v>
      </c>
      <c r="J3" s="60">
        <v>117.40796338449998</v>
      </c>
      <c r="K3" s="60">
        <v>52.239471642059989</v>
      </c>
      <c r="L3" s="60">
        <v>-61.686153050000009</v>
      </c>
      <c r="M3" s="60">
        <v>11.470052000000001</v>
      </c>
      <c r="N3" s="60">
        <v>1.1758810000000002</v>
      </c>
      <c r="P3" s="13"/>
    </row>
    <row r="4" spans="1:20" x14ac:dyDescent="0.3">
      <c r="A4" s="48">
        <f>SUM(C4:N4)</f>
        <v>760.52230776646991</v>
      </c>
      <c r="B4" s="58">
        <v>46300</v>
      </c>
      <c r="C4" s="55">
        <v>-11.348627457180001</v>
      </c>
      <c r="D4" s="55">
        <v>15.296048870400003</v>
      </c>
      <c r="E4" s="55">
        <v>-9.3650499999999984E-2</v>
      </c>
      <c r="F4" s="55">
        <v>768.30175589299995</v>
      </c>
      <c r="G4" s="55">
        <v>3.0524259746999998</v>
      </c>
      <c r="H4" s="55">
        <v>11.528684271799996</v>
      </c>
      <c r="I4" s="55">
        <v>0.7555582999999999</v>
      </c>
      <c r="J4" s="55">
        <v>1.6950597025999994</v>
      </c>
      <c r="K4" s="55">
        <v>30.483159011150008</v>
      </c>
      <c r="L4" s="55">
        <v>-50.21155330000002</v>
      </c>
      <c r="M4" s="55">
        <v>-1.9573877999999989</v>
      </c>
      <c r="N4" s="55">
        <v>-6.9791652000000006</v>
      </c>
      <c r="P4" s="13"/>
    </row>
    <row r="5" spans="1:20" x14ac:dyDescent="0.3">
      <c r="A5" s="48">
        <f>SUM(C5:N5)</f>
        <v>267.26149260579984</v>
      </c>
      <c r="B5" s="66">
        <v>46307</v>
      </c>
      <c r="C5" s="60">
        <v>5.4550454782900015</v>
      </c>
      <c r="D5" s="60">
        <v>4.7261530745999991</v>
      </c>
      <c r="E5" s="60">
        <v>2.3909796000000005</v>
      </c>
      <c r="F5" s="60">
        <v>21.94091250000001</v>
      </c>
      <c r="G5" s="60">
        <v>-1.275693184650001</v>
      </c>
      <c r="H5" s="60">
        <v>45.013223389969966</v>
      </c>
      <c r="I5" s="60">
        <v>1.2023651</v>
      </c>
      <c r="J5" s="60">
        <v>-3.4937564560999994</v>
      </c>
      <c r="K5" s="60">
        <v>57.825206953689992</v>
      </c>
      <c r="L5" s="60">
        <v>151.48183354999992</v>
      </c>
      <c r="M5" s="60">
        <v>8.637618100000001</v>
      </c>
      <c r="N5" s="60">
        <v>-26.642395500000003</v>
      </c>
      <c r="P5" s="13"/>
    </row>
    <row r="6" spans="1:20" x14ac:dyDescent="0.3">
      <c r="A6" s="48">
        <f>SUM(C6:N6)</f>
        <v>191.36898860287005</v>
      </c>
      <c r="B6" s="58">
        <v>46314</v>
      </c>
      <c r="C6" s="55">
        <v>5.8866147272299978</v>
      </c>
      <c r="D6" s="55">
        <v>4.9440411917000002</v>
      </c>
      <c r="E6" s="55">
        <v>4.6944071999999997</v>
      </c>
      <c r="F6" s="55">
        <v>15.973623499999992</v>
      </c>
      <c r="G6" s="55">
        <v>2.1888161872499996</v>
      </c>
      <c r="H6" s="55">
        <v>75.755066208800017</v>
      </c>
      <c r="I6" s="55">
        <v>0.23582050000000004</v>
      </c>
      <c r="J6" s="55">
        <v>-6.2653664279000019</v>
      </c>
      <c r="K6" s="55">
        <v>11.651811415790004</v>
      </c>
      <c r="L6" s="55">
        <v>84.911435300000008</v>
      </c>
      <c r="M6" s="55">
        <v>9.876741899999999</v>
      </c>
      <c r="N6" s="55">
        <v>-18.484023100000002</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28</v>
      </c>
      <c r="C9" s="10"/>
      <c r="D9" s="10"/>
    </row>
    <row r="10" spans="1:20" ht="14.5" x14ac:dyDescent="0.35">
      <c r="B10" s="10" t="s">
        <v>6</v>
      </c>
      <c r="C10" s="10"/>
      <c r="D10" s="10"/>
    </row>
    <row r="11" spans="1:20" ht="14.5" x14ac:dyDescent="0.35">
      <c r="B11" s="57" t="s">
        <v>93</v>
      </c>
      <c r="C11" s="11"/>
      <c r="D11" s="11"/>
    </row>
    <row r="12" spans="1:20" ht="14.5" x14ac:dyDescent="0.35">
      <c r="B12" s="57" t="s">
        <v>67</v>
      </c>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2026-10-26T01:58:05Z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