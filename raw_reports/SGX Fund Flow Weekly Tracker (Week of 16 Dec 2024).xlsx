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F91BC5DE-E6CF-4692-94B5-FA5DC732A668}" xr6:coauthVersionLast="47" xr6:coauthVersionMax="47" xr10:uidLastSave="{00000000-0000-0000-0000-000000000000}"/>
  <bookViews>
    <workbookView xWindow="28680" yWindow="-120" windowWidth="29040" windowHeight="1584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3"/>
  <c r="A5" i="3"/>
  <c r="A4" i="3"/>
  <c r="A3" i="3"/>
  <c r="A6" i="2"/>
  <c r="A5" i="2"/>
  <c r="A4" i="2"/>
  <c r="A3" i="2"/>
  <c r="L3" i="5" l="1"/>
  <c r="M3" i="5"/>
  <c r="N3" i="5"/>
  <c r="L4" i="5"/>
  <c r="M4" i="5"/>
  <c r="N4" i="5"/>
  <c r="L5" i="5"/>
  <c r="M5" i="5"/>
  <c r="N5" i="5"/>
  <c r="L6" i="5"/>
  <c r="M6" i="5"/>
  <c r="N6" i="5"/>
  <c r="L7" i="5"/>
  <c r="M7" i="5"/>
  <c r="N7" i="5"/>
  <c r="L8" i="5"/>
  <c r="M8" i="5"/>
  <c r="N8" i="5"/>
  <c r="L9" i="5"/>
  <c r="M9" i="5"/>
  <c r="N9" i="5"/>
  <c r="L10" i="5"/>
  <c r="M10" i="5"/>
  <c r="N10" i="5"/>
  <c r="L11" i="5"/>
  <c r="M11" i="5"/>
  <c r="N11" i="5"/>
  <c r="L12" i="5"/>
  <c r="M12" i="5"/>
  <c r="N12" i="5"/>
  <c r="L13" i="5"/>
  <c r="M13" i="5"/>
  <c r="N13" i="5"/>
  <c r="L14" i="5"/>
  <c r="M14" i="5"/>
  <c r="N14" i="5"/>
  <c r="L15" i="5"/>
  <c r="M15" i="5"/>
  <c r="N15" i="5"/>
  <c r="L16" i="5"/>
  <c r="M16" i="5"/>
  <c r="N16" i="5"/>
  <c r="L17" i="5"/>
  <c r="M17" i="5"/>
  <c r="N17" i="5"/>
  <c r="L18" i="5"/>
  <c r="M18" i="5"/>
  <c r="N18" i="5"/>
  <c r="L19" i="5"/>
  <c r="M19" i="5"/>
  <c r="N19" i="5"/>
  <c r="L20" i="5"/>
  <c r="M20" i="5"/>
  <c r="N20" i="5"/>
  <c r="L21" i="5"/>
  <c r="M21" i="5"/>
  <c r="N21" i="5"/>
  <c r="L22" i="5"/>
  <c r="M22" i="5"/>
  <c r="N22" i="5"/>
  <c r="L23" i="5"/>
  <c r="M23" i="5"/>
  <c r="N23" i="5"/>
  <c r="L24" i="5"/>
  <c r="M24" i="5"/>
  <c r="N24" i="5"/>
  <c r="L25" i="5"/>
  <c r="M25" i="5"/>
  <c r="N25" i="5"/>
  <c r="L26" i="5"/>
  <c r="M26" i="5"/>
  <c r="N26" i="5"/>
  <c r="L27" i="5"/>
  <c r="M27" i="5"/>
  <c r="N27" i="5"/>
  <c r="L28" i="5"/>
  <c r="M28" i="5"/>
  <c r="N28" i="5"/>
  <c r="L29" i="5"/>
  <c r="M29" i="5"/>
  <c r="N29" i="5"/>
  <c r="L30" i="5"/>
  <c r="M30" i="5"/>
  <c r="N30" i="5"/>
  <c r="L31" i="5"/>
  <c r="M31" i="5"/>
  <c r="N31" i="5"/>
  <c r="L32" i="5"/>
  <c r="M32" i="5"/>
  <c r="N32" i="5"/>
  <c r="L33" i="5"/>
  <c r="M33" i="5"/>
  <c r="N33" i="5"/>
  <c r="L34" i="5"/>
  <c r="M34" i="5"/>
  <c r="N34" i="5"/>
  <c r="L35" i="5"/>
  <c r="M35" i="5"/>
  <c r="N35" i="5"/>
  <c r="L36" i="5"/>
  <c r="M36" i="5"/>
  <c r="N36" i="5"/>
  <c r="L37" i="5"/>
  <c r="M37" i="5"/>
  <c r="N37" i="5"/>
  <c r="L38" i="5"/>
  <c r="M38" i="5"/>
  <c r="N38" i="5"/>
  <c r="L39" i="5"/>
  <c r="M39" i="5"/>
  <c r="N39" i="5"/>
  <c r="L40" i="5"/>
  <c r="M40" i="5"/>
  <c r="N40" i="5"/>
  <c r="L41" i="5"/>
  <c r="M41" i="5"/>
  <c r="N41" i="5"/>
  <c r="L42" i="5"/>
  <c r="M42" i="5"/>
  <c r="N42" i="5"/>
  <c r="L43" i="5"/>
  <c r="M43" i="5"/>
  <c r="N43" i="5"/>
  <c r="L44" i="5"/>
  <c r="M44" i="5"/>
  <c r="N44" i="5"/>
  <c r="L45" i="5"/>
  <c r="M45" i="5"/>
  <c r="N45" i="5"/>
  <c r="L46" i="5"/>
  <c r="M46" i="5"/>
  <c r="N46" i="5"/>
  <c r="L47" i="5"/>
  <c r="M47" i="5"/>
  <c r="N47" i="5"/>
  <c r="L48" i="5"/>
  <c r="M48" i="5"/>
  <c r="N48" i="5"/>
  <c r="L49" i="5"/>
  <c r="M49" i="5"/>
  <c r="N49" i="5"/>
  <c r="L50" i="5"/>
  <c r="M50" i="5"/>
  <c r="N50" i="5"/>
  <c r="L51" i="5"/>
  <c r="M51" i="5"/>
  <c r="N51" i="5"/>
  <c r="L52" i="5"/>
  <c r="M52" i="5"/>
  <c r="N52" i="5"/>
  <c r="L53" i="5"/>
  <c r="M53" i="5"/>
  <c r="N53" i="5"/>
  <c r="L54" i="5"/>
  <c r="M54" i="5"/>
  <c r="N54" i="5"/>
  <c r="L55" i="5"/>
  <c r="M55" i="5"/>
  <c r="N55" i="5"/>
  <c r="L56" i="5"/>
  <c r="M56" i="5"/>
  <c r="N56" i="5"/>
  <c r="L57" i="5"/>
  <c r="M57" i="5"/>
  <c r="N57" i="5"/>
  <c r="L58" i="5"/>
  <c r="M58" i="5"/>
  <c r="N58" i="5"/>
  <c r="L59" i="5"/>
  <c r="M59" i="5"/>
  <c r="N59" i="5"/>
  <c r="L60" i="5"/>
  <c r="M60" i="5"/>
  <c r="N60" i="5"/>
  <c r="L61" i="5"/>
  <c r="M61" i="5"/>
  <c r="N61" i="5"/>
  <c r="L62" i="5"/>
  <c r="M62" i="5"/>
  <c r="N62" i="5"/>
  <c r="L63" i="5"/>
  <c r="M63" i="5"/>
  <c r="N63" i="5"/>
  <c r="L64" i="5"/>
  <c r="M64" i="5"/>
  <c r="N64" i="5"/>
  <c r="L65" i="5"/>
  <c r="M65" i="5"/>
  <c r="N65" i="5"/>
  <c r="L66" i="5"/>
  <c r="M66" i="5"/>
  <c r="N66" i="5"/>
  <c r="L67" i="5"/>
  <c r="M67" i="5"/>
  <c r="N67" i="5"/>
  <c r="L68" i="5"/>
  <c r="M68" i="5"/>
  <c r="N68" i="5"/>
  <c r="L69" i="5"/>
  <c r="M69" i="5"/>
  <c r="N69" i="5"/>
  <c r="L70" i="5"/>
  <c r="M70" i="5"/>
  <c r="N70" i="5"/>
  <c r="L71" i="5"/>
  <c r="M71" i="5"/>
  <c r="N71" i="5"/>
  <c r="L72" i="5"/>
  <c r="M72" i="5"/>
  <c r="N72" i="5"/>
  <c r="L73" i="5"/>
  <c r="M73" i="5"/>
  <c r="N73" i="5"/>
  <c r="L74" i="5"/>
  <c r="M74" i="5"/>
  <c r="N74" i="5"/>
  <c r="L75" i="5"/>
  <c r="M75" i="5"/>
  <c r="N75" i="5"/>
  <c r="L76" i="5"/>
  <c r="M76" i="5"/>
  <c r="N76" i="5"/>
  <c r="L77" i="5"/>
  <c r="M77" i="5"/>
  <c r="N77" i="5"/>
  <c r="L78" i="5"/>
  <c r="M78" i="5"/>
  <c r="N78" i="5"/>
  <c r="L79" i="5"/>
  <c r="M79" i="5"/>
  <c r="N79" i="5"/>
  <c r="L80" i="5"/>
  <c r="M80" i="5"/>
  <c r="N80" i="5"/>
  <c r="L81" i="5"/>
  <c r="M81" i="5"/>
  <c r="N81" i="5"/>
  <c r="L82" i="5"/>
  <c r="M82" i="5"/>
  <c r="N82" i="5"/>
  <c r="L83" i="5"/>
  <c r="M83" i="5"/>
  <c r="N83" i="5"/>
  <c r="L84" i="5"/>
  <c r="M84" i="5"/>
  <c r="N84" i="5"/>
  <c r="L85" i="5"/>
  <c r="M85" i="5"/>
  <c r="N85" i="5"/>
  <c r="L86" i="5"/>
  <c r="M86" i="5"/>
  <c r="N86" i="5"/>
  <c r="L87" i="5"/>
  <c r="M87" i="5"/>
  <c r="N87" i="5"/>
  <c r="L88" i="5"/>
  <c r="M88" i="5"/>
  <c r="N88" i="5"/>
  <c r="L89" i="5"/>
  <c r="M89" i="5"/>
  <c r="N89" i="5"/>
  <c r="L90" i="5"/>
  <c r="M90" i="5"/>
  <c r="N90" i="5"/>
  <c r="L91" i="5"/>
  <c r="M91" i="5"/>
  <c r="N91" i="5"/>
  <c r="L92" i="5"/>
  <c r="M92" i="5"/>
  <c r="N92" i="5"/>
  <c r="L93" i="5"/>
  <c r="M93" i="5"/>
  <c r="N93" i="5"/>
  <c r="L94" i="5"/>
  <c r="M94" i="5"/>
  <c r="N94" i="5"/>
  <c r="L95" i="5"/>
  <c r="M95" i="5"/>
  <c r="N95" i="5"/>
  <c r="L96" i="5"/>
  <c r="M96" i="5"/>
  <c r="N96" i="5"/>
  <c r="L97" i="5"/>
  <c r="M97" i="5"/>
  <c r="N97" i="5"/>
  <c r="L98" i="5"/>
  <c r="M98" i="5"/>
  <c r="N98" i="5"/>
  <c r="L99" i="5"/>
  <c r="M99" i="5"/>
  <c r="N99" i="5"/>
  <c r="L100" i="5"/>
  <c r="M100" i="5"/>
  <c r="N100" i="5"/>
  <c r="L101" i="5"/>
  <c r="M101" i="5"/>
  <c r="N101" i="5"/>
  <c r="M2" i="5"/>
  <c r="N2" i="5"/>
  <c r="L2" i="5"/>
  <c r="A1" i="5" l="1"/>
  <c r="F5" i="1"/>
  <c r="C18" i="1"/>
  <c r="F18" i="1" s="1"/>
  <c r="D32" i="4" l="1"/>
  <c r="A1" i="4" l="1"/>
</calcChain>
</file>

<file path=xl/sharedStrings.xml><?xml version="1.0" encoding="utf-8"?>
<sst xmlns="http://schemas.openxmlformats.org/spreadsheetml/2006/main" count="517" uniqueCount="278">
  <si>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</si>
  <si>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</si>
  <si>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</si>
  <si>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</si>
  <si>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</si>
  <si>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</si>
  <si>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</si>
  <si>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</si>
  <si>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</si>
  <si>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</si>
  <si>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</si>
  <si>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</si>
  <si>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</si>
  <si>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</si>
  <si>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</si>
  <si>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</si>
  <si>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</si>
  <si>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</si>
  <si>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</si>
  <si>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</si>
  <si>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</si>
  <si>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</si>
  <si>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</si>
  <si>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</si>
  <si>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</si>
  <si>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</si>
  <si>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</si>
  <si>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</si>
  <si>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</si>
  <si>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</si>
  <si>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</si>
  <si>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</si>
  <si>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</si>
  <si>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</si>
  <si>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</si>
  <si>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</si>
  <si>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</si>
  <si>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</si>
  <si>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</si>
  <si>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</si>
  <si>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</si>
  <si>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</si>
  <si>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</si>
  <si>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</si>
  <si>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</si>
  <si>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</si>
  <si>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</si>
  <si>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</si>
  <si>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</si>
  <si>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</si>
  <si>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</si>
  <si>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</si>
  <si>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</si>
  <si>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</si>
  <si>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</si>
  <si>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</si>
  <si>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</si>
  <si>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</si>
  <si>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</si>
  <si>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</si>
  <si>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</si>
  <si>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</si>
  <si>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</si>
  <si>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</si>
  <si>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</si>
  <si>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</si>
  <si>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</si>
  <si>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</si>
  <si>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</si>
  <si>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</si>
  <si>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</si>
  <si>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</si>
  <si>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</si>
  <si>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</si>
  <si>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</si>
  <si>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</si>
  <si>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</si>
  <si>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</si>
  <si>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</si>
  <si>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</si>
  <si>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</si>
  <si>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</si>
  <si>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</si>
  <si>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</si>
  <si>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</si>
  <si>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</si>
  <si>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</si>
  <si>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</si>
  <si>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</si>
  <si>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</si>
  <si>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</si>
  <si>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</si>
  <si>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</si>
  <si>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</si>
  <si>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</si>
  <si>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</si>
  <si>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</si>
  <si>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</si>
  <si>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</si>
  <si>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</si>
  <si>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</si>
  <si>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</si>
  <si>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</si>
  <si>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</si>
  <si>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</si>
  <si>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</si>
  <si>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</si>
  <si>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</si>
  <si>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</si>
  <si>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</si>
  <si>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</si>
  <si>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</si>
  <si>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</si>
  <si>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</si>
  <si>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</si>
  <si>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</si>
  <si>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</si>
  <si>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</si>
  <si>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</si>
  <si>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</si>
  <si>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</si>
  <si>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</si>
  <si>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</si>
  <si>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</si>
  <si>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</si>
  <si>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</si>
  <si>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</si>
  <si>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</si>
  <si>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</si>
  <si>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</si>
  <si>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</si>
  <si>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</si>
  <si>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</si>
  <si>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</si>
  <si>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</si>
  <si>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</si>
  <si>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</si>
  <si>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</si>
  <si>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</si>
  <si>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</si>
  <si>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</si>
  <si>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</si>
  <si>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</si>
  <si>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</si>
  <si>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</si>
  <si>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</si>
  <si>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</si>
  <si>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</si>
  <si>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</si>
  <si>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</si>
  <si>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</si>
  <si>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</si>
  <si>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</si>
  <si>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</si>
  <si>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</si>
  <si>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</si>
  <si>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</si>
  <si>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</si>
  <si>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</si>
  <si>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</si>
  <si>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</si>
  <si>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</si>
  <si>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</si>
  <si>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</si>
  <si>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</si>
  <si>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</si>
  <si>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</si>
  <si>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</si>
  <si>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</si>
  <si>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</si>
  <si>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</si>
  <si>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</si>
  <si>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</si>
  <si>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</si>
  <si>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</si>
  <si>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</si>
  <si>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</si>
  <si>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</si>
  <si>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</si>
  <si>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</si>
  <si>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</si>
  <si>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</si>
  <si>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</si>
  <si>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</si>
  <si>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</si>
  <si>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</si>
  <si>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</si>
  <si>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</si>
  <si>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</si>
  <si>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</si>
  <si>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</si>
  <si>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</si>
  <si>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</si>
  <si>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</si>
  <si>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</si>
  <si>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</si>
  <si>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</si>
  <si>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</si>
  <si>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</si>
  <si>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</si>
  <si>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</si>
  <si>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</si>
  <si>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</si>
  <si>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</si>
  <si>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</si>
  <si>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</si>
  <si>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</si>
  <si>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</si>
  <si>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</si>
  <si>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</si>
  <si>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</si>
  <si>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</si>
  <si>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</si>
  <si>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</si>
  <si>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</si>
  <si>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</si>
  <si>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</si>
  <si>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</si>
  <si>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</si>
  <si>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</si>
  <si>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</si>
  <si>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</si>
  <si>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</si>
  <si>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</si>
  <si>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</si>
  <si>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</si>
  <si>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</si>
  <si>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</si>
  <si>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</si>
  <si>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</si>
  <si>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</si>
  <si>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</si>
  <si>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</si>
  <si>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</si>
  <si>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</si>
  <si>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</si>
  <si>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</si>
  <si>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</si>
  <si>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</si>
  <si>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</si>
  <si>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5E2</t>
  </si>
  <si>
    <t>558</t>
  </si>
  <si>
    <t>Mapletree Pan Asia Commercial Trust</t>
  </si>
  <si>
    <t>1MZ</t>
  </si>
  <si>
    <t>NamCheong</t>
  </si>
  <si>
    <t>sgx.com/research</t>
  </si>
  <si>
    <t>To sign up for daily market updates or for more information, please contact research@SGX.com.</t>
  </si>
  <si>
    <t>Sasseur Reit</t>
  </si>
  <si>
    <t>CRPU</t>
  </si>
  <si>
    <t>Centurion</t>
  </si>
  <si>
    <t>OU8</t>
  </si>
  <si>
    <t>NSL</t>
  </si>
  <si>
    <t>N02</t>
  </si>
  <si>
    <t>E3B</t>
  </si>
  <si>
    <t>Beng Kuang</t>
  </si>
  <si>
    <t>Wee Hur</t>
  </si>
  <si>
    <t>Past 5 Sessions Institution Net Buy (+) / Net Sell (-) (S$M)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</si>
  <si>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</si>
  <si>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Bumitama Agri</t>
  </si>
  <si>
    <t>P8Z</t>
  </si>
  <si>
    <t>ESR-REIT</t>
  </si>
  <si>
    <t>NO4</t>
  </si>
  <si>
    <t>G07</t>
  </si>
  <si>
    <t>5CP</t>
  </si>
  <si>
    <t>Dyna-Mac</t>
  </si>
  <si>
    <t>Great Eastern</t>
  </si>
  <si>
    <t>Silverlake Axis</t>
  </si>
  <si>
    <t>Man Oriental USD</t>
  </si>
  <si>
    <t>M04</t>
  </si>
  <si>
    <t>Digital Core REIT</t>
  </si>
  <si>
    <t>Prime US REIT</t>
  </si>
  <si>
    <t>Hutchison Port Holdings Trust</t>
  </si>
  <si>
    <t>Golden Agri-Resources</t>
  </si>
  <si>
    <t>Geo Energy Resources</t>
  </si>
  <si>
    <t>Week of 16 December 2024</t>
  </si>
  <si>
    <r>
      <t xml:space="preserve">Institutional investors net </t>
    </r>
    <r>
      <rPr>
        <b/>
        <sz val="11"/>
        <rFont val="Arial"/>
        <family val="2"/>
      </rPr>
      <t>sell</t>
    </r>
    <r>
      <rPr>
        <sz val="11"/>
        <rFont val="Arial"/>
        <family val="2"/>
      </rPr>
      <t xml:space="preserve"> (-S$385.7m) vs. (-S$47.9m) a week ago</t>
    </r>
  </si>
  <si>
    <r>
      <t xml:space="preserve">Retail investors net </t>
    </r>
    <r>
      <rPr>
        <b/>
        <sz val="11"/>
        <rFont val="Arial"/>
        <family val="2"/>
      </rPr>
      <t>buy</t>
    </r>
    <r>
      <rPr>
        <sz val="11"/>
        <rFont val="Arial"/>
        <family val="2"/>
      </rPr>
      <t xml:space="preserve"> (+S$540.0m) vs. (+S$80.1m) a week ago</t>
    </r>
  </si>
  <si>
    <t>Seatrium (from 7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</si>
</sst>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0.5703125" style="40"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274</v>
      </c>
      <c r="C1" s="81"/>
    </row>
    <row r="2" spans="1:13" ht="15" x14ac:dyDescent="0.25">
      <c r="A2" s="69" t="s">
        <v>275</v>
      </c>
      <c r="I2" s="50"/>
    </row>
    <row r="3" spans="1:13" ht="15" x14ac:dyDescent="0.25">
      <c r="A3" s="69" t="s">
        <v>276</v>
      </c>
      <c r="I3" s="50"/>
    </row>
    <row r="5" spans="1:13" ht="29.25" customHeight="1" x14ac:dyDescent="0.2">
      <c r="A5" s="3" t="s">
        <v>0</v>
      </c>
      <c r="B5" s="3" t="s">
        <v>1</v>
      </c>
      <c r="C5" s="4" t="s">
        <v>274</v>
      </c>
      <c r="D5" s="60" t="s">
        <v>2</v>
      </c>
      <c r="E5" s="60" t="s">
        <v>1</v>
      </c>
      <c r="F5" s="61" t="str">
        <f>+C5</f>
        <v>Week of 16 December 2024</v>
      </c>
      <c r="I5" s="2"/>
    </row>
    <row r="6" spans="1:13" ht="15" x14ac:dyDescent="0.25">
      <c r="A6" s="34" t="s">
        <v>49</v>
      </c>
      <c r="B6" s="63" t="s">
        <v>47</v>
      </c>
      <c r="C6" s="6">
        <v>52.564734700000002</v>
      </c>
      <c r="D6" s="34" t="s">
        <v>26</v>
      </c>
      <c r="E6" s="63" t="s">
        <v>21</v>
      </c>
      <c r="F6" s="6">
        <v>-74.165773999999999</v>
      </c>
      <c r="M6"/>
    </row>
    <row r="7" spans="1:13" ht="15" x14ac:dyDescent="0.25">
      <c r="A7" s="35" t="s">
        <v>39</v>
      </c>
      <c r="B7" s="10" t="s">
        <v>37</v>
      </c>
      <c r="C7" s="8">
        <v>14.941343</v>
      </c>
      <c r="D7" s="35" t="s">
        <v>28</v>
      </c>
      <c r="E7" s="10" t="s">
        <v>23</v>
      </c>
      <c r="F7" s="8">
        <v>-62.423462000000001</v>
      </c>
      <c r="L7"/>
      <c r="M7"/>
    </row>
    <row r="8" spans="1:13" ht="15" x14ac:dyDescent="0.25">
      <c r="A8" s="36" t="s">
        <v>33</v>
      </c>
      <c r="B8" s="63" t="s">
        <v>31</v>
      </c>
      <c r="C8" s="6">
        <v>10.751481999999999</v>
      </c>
      <c r="D8" s="36" t="s">
        <v>84</v>
      </c>
      <c r="E8" s="63" t="s">
        <v>83</v>
      </c>
      <c r="F8" s="6">
        <v>-35.390448999999997</v>
      </c>
      <c r="L8"/>
      <c r="M8"/>
    </row>
    <row r="9" spans="1:13" ht="15" x14ac:dyDescent="0.25">
      <c r="A9" s="35" t="s">
        <v>29</v>
      </c>
      <c r="B9" s="10" t="s">
        <v>24</v>
      </c>
      <c r="C9" s="8">
        <v>6.5777520000000003</v>
      </c>
      <c r="D9" s="35" t="s">
        <v>62</v>
      </c>
      <c r="E9" s="10" t="s">
        <v>52</v>
      </c>
      <c r="F9" s="8">
        <v>-27.73390649580001</v>
      </c>
      <c r="L9"/>
      <c r="M9"/>
    </row>
    <row r="10" spans="1:13" ht="15" x14ac:dyDescent="0.25">
      <c r="A10" s="36" t="s">
        <v>145</v>
      </c>
      <c r="B10" s="63" t="s">
        <v>32</v>
      </c>
      <c r="C10" s="6">
        <v>5.4140670000000002</v>
      </c>
      <c r="D10" s="36" t="s">
        <v>64</v>
      </c>
      <c r="E10" s="63" t="s">
        <v>55</v>
      </c>
      <c r="F10" s="6">
        <v>-26.964880317200009</v>
      </c>
      <c r="L10"/>
      <c r="M10"/>
    </row>
    <row r="11" spans="1:13" ht="15" x14ac:dyDescent="0.25">
      <c r="A11" s="35" t="s">
        <v>27</v>
      </c>
      <c r="B11" s="10" t="s">
        <v>22</v>
      </c>
      <c r="C11" s="8">
        <v>4.3165969999999998</v>
      </c>
      <c r="D11" s="35" t="s">
        <v>61</v>
      </c>
      <c r="E11" s="10" t="s">
        <v>53</v>
      </c>
      <c r="F11" s="8">
        <v>-22.749783999999998</v>
      </c>
      <c r="L11"/>
      <c r="M11"/>
    </row>
    <row r="12" spans="1:13" ht="15" x14ac:dyDescent="0.25">
      <c r="A12" s="36" t="s">
        <v>269</v>
      </c>
      <c r="B12" s="63" t="s">
        <v>116</v>
      </c>
      <c r="C12" s="6">
        <v>3.1712175838999999</v>
      </c>
      <c r="D12" s="36" t="s">
        <v>272</v>
      </c>
      <c r="E12" s="63" t="s">
        <v>106</v>
      </c>
      <c r="F12" s="6">
        <v>-19.710973500000001</v>
      </c>
      <c r="L12"/>
      <c r="M12"/>
    </row>
    <row r="13" spans="1:13" ht="15" x14ac:dyDescent="0.25">
      <c r="A13" s="35" t="s">
        <v>270</v>
      </c>
      <c r="B13" s="10" t="s">
        <v>128</v>
      </c>
      <c r="C13" s="8">
        <v>2.5300936634300011</v>
      </c>
      <c r="D13" s="35" t="s">
        <v>75</v>
      </c>
      <c r="E13" s="10" t="s">
        <v>74</v>
      </c>
      <c r="F13" s="8">
        <v>-19.615496</v>
      </c>
      <c r="L13"/>
      <c r="M13"/>
    </row>
    <row r="14" spans="1:13" ht="15" x14ac:dyDescent="0.25">
      <c r="A14" s="36" t="s">
        <v>208</v>
      </c>
      <c r="B14" s="63" t="s">
        <v>127</v>
      </c>
      <c r="C14" s="6">
        <v>2.4373490000000002</v>
      </c>
      <c r="D14" s="36" t="s">
        <v>44</v>
      </c>
      <c r="E14" s="63" t="s">
        <v>41</v>
      </c>
      <c r="F14" s="6">
        <v>-19.081827000000001</v>
      </c>
      <c r="L14"/>
      <c r="M14"/>
    </row>
    <row r="15" spans="1:13" ht="15" x14ac:dyDescent="0.25">
      <c r="A15" s="37" t="s">
        <v>271</v>
      </c>
      <c r="B15" s="33" t="s">
        <v>92</v>
      </c>
      <c r="C15" s="9">
        <v>2.0321778468900011</v>
      </c>
      <c r="D15" s="37" t="s">
        <v>87</v>
      </c>
      <c r="E15" s="33" t="s">
        <v>25</v>
      </c>
      <c r="F15" s="9">
        <v>-16.471885</v>
      </c>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16 December 2024</v>
      </c>
      <c r="D18" s="62" t="s">
        <v>4</v>
      </c>
      <c r="E18" s="60" t="s">
        <v>1</v>
      </c>
      <c r="F18" s="61" t="str">
        <f>+C18</f>
        <v>Week of 16 December 2024</v>
      </c>
    </row>
    <row r="19" spans="1:9" x14ac:dyDescent="0.2">
      <c r="A19" s="36" t="s">
        <v>26</v>
      </c>
      <c r="B19" s="63" t="s">
        <v>21</v>
      </c>
      <c r="C19" s="20">
        <v>106.36322199999999</v>
      </c>
      <c r="D19" s="36" t="s">
        <v>29</v>
      </c>
      <c r="E19" s="19" t="s">
        <v>24</v>
      </c>
      <c r="F19" s="6">
        <v>-10.973973000000001</v>
      </c>
      <c r="I19" s="2"/>
    </row>
    <row r="20" spans="1:9" x14ac:dyDescent="0.2">
      <c r="A20" s="35" t="s">
        <v>28</v>
      </c>
      <c r="B20" s="10" t="s">
        <v>23</v>
      </c>
      <c r="C20" s="8">
        <v>74.635429999999999</v>
      </c>
      <c r="D20" s="35" t="s">
        <v>49</v>
      </c>
      <c r="E20" s="22" t="s">
        <v>47</v>
      </c>
      <c r="F20" s="8">
        <v>-7.7622459000000008</v>
      </c>
      <c r="I20" s="2"/>
    </row>
    <row r="21" spans="1:9" x14ac:dyDescent="0.2">
      <c r="A21" s="36" t="s">
        <v>27</v>
      </c>
      <c r="B21" s="63" t="s">
        <v>22</v>
      </c>
      <c r="C21" s="6">
        <v>41.794714999999997</v>
      </c>
      <c r="D21" s="36" t="s">
        <v>39</v>
      </c>
      <c r="E21" s="7" t="s">
        <v>37</v>
      </c>
      <c r="F21" s="6">
        <v>-5.8101120000000002</v>
      </c>
      <c r="I21" s="2"/>
    </row>
    <row r="22" spans="1:9" x14ac:dyDescent="0.2">
      <c r="A22" s="35" t="s">
        <v>77</v>
      </c>
      <c r="B22" s="10" t="s">
        <v>56</v>
      </c>
      <c r="C22" s="8">
        <v>35.972805999999999</v>
      </c>
      <c r="D22" s="35" t="s">
        <v>271</v>
      </c>
      <c r="E22" s="22" t="s">
        <v>92</v>
      </c>
      <c r="F22" s="8">
        <v>-1.5872679763699999</v>
      </c>
      <c r="I22" s="2"/>
    </row>
    <row r="23" spans="1:9" x14ac:dyDescent="0.2">
      <c r="A23" s="36" t="s">
        <v>139</v>
      </c>
      <c r="B23" s="63" t="s">
        <v>240</v>
      </c>
      <c r="C23" s="6">
        <v>26.882524</v>
      </c>
      <c r="D23" s="36" t="s">
        <v>208</v>
      </c>
      <c r="E23" s="7" t="s">
        <v>127</v>
      </c>
      <c r="F23" s="6">
        <v>-1.5707960000000001</v>
      </c>
      <c r="I23" s="2"/>
    </row>
    <row r="24" spans="1:9" x14ac:dyDescent="0.2">
      <c r="A24" s="35" t="s">
        <v>87</v>
      </c>
      <c r="B24" s="10" t="s">
        <v>25</v>
      </c>
      <c r="C24" s="8">
        <v>26.663176</v>
      </c>
      <c r="D24" s="35" t="s">
        <v>145</v>
      </c>
      <c r="E24" s="22" t="s">
        <v>32</v>
      </c>
      <c r="F24" s="8">
        <v>-1.5019169999999999</v>
      </c>
      <c r="I24" s="2"/>
    </row>
    <row r="25" spans="1:9" x14ac:dyDescent="0.2">
      <c r="A25" s="36" t="s">
        <v>84</v>
      </c>
      <c r="B25" s="63" t="s">
        <v>83</v>
      </c>
      <c r="C25" s="6">
        <v>23.698802000000001</v>
      </c>
      <c r="D25" s="36" t="s">
        <v>269</v>
      </c>
      <c r="E25" s="7" t="s">
        <v>116</v>
      </c>
      <c r="F25" s="6">
        <v>-0.95432027879999992</v>
      </c>
      <c r="I25" s="2"/>
    </row>
    <row r="26" spans="1:9" x14ac:dyDescent="0.2">
      <c r="A26" s="35" t="s">
        <v>36</v>
      </c>
      <c r="B26" s="10" t="s">
        <v>35</v>
      </c>
      <c r="C26" s="8">
        <v>22.3786305</v>
      </c>
      <c r="D26" s="35" t="s">
        <v>33</v>
      </c>
      <c r="E26" s="22" t="s">
        <v>31</v>
      </c>
      <c r="F26" s="8">
        <v>-0.88554900000000003</v>
      </c>
      <c r="I26" s="2"/>
    </row>
    <row r="27" spans="1:9" x14ac:dyDescent="0.2">
      <c r="A27" s="36" t="s">
        <v>44</v>
      </c>
      <c r="B27" s="63" t="s">
        <v>41</v>
      </c>
      <c r="C27" s="6">
        <v>17.170670000000001</v>
      </c>
      <c r="D27" s="36" t="s">
        <v>273</v>
      </c>
      <c r="E27" s="7" t="s">
        <v>118</v>
      </c>
      <c r="F27" s="6">
        <v>-0.84395100000000001</v>
      </c>
      <c r="I27" s="2"/>
    </row>
    <row r="28" spans="1:9" x14ac:dyDescent="0.2">
      <c r="A28" s="33" t="s">
        <v>272</v>
      </c>
      <c r="B28" s="76" t="s">
        <v>106</v>
      </c>
      <c r="C28" s="9">
        <v>16.088370999999999</v>
      </c>
      <c r="D28" s="33" t="s">
        <v>270</v>
      </c>
      <c r="E28" s="76" t="s">
        <v>128</v>
      </c>
      <c r="F28" s="9">
        <v>-0.76851773907999998</v>
      </c>
      <c r="I28" s="2"/>
    </row>
    <row r="29" spans="1:9" x14ac:dyDescent="0.2">
      <c r="A29" s="10"/>
      <c r="B29" s="10"/>
      <c r="C29" s="10"/>
      <c r="D29" s="10"/>
      <c r="E29" s="10"/>
      <c r="F29" s="10"/>
    </row>
    <row r="30" spans="1:9" x14ac:dyDescent="0.2">
      <c r="A30" s="11" t="s">
        <v>235</v>
      </c>
      <c r="B30" s="11"/>
      <c r="C30" s="10"/>
      <c r="D30" s="10"/>
      <c r="E30" s="10"/>
      <c r="F30" s="10"/>
    </row>
    <row r="31" spans="1:9" x14ac:dyDescent="0.2">
      <c r="A31" s="11" t="s">
        <v>80</v>
      </c>
      <c r="B31" s="11"/>
      <c r="C31" s="10"/>
      <c r="D31" s="10"/>
      <c r="E31" s="10"/>
      <c r="F31" s="10"/>
    </row>
    <row r="32" spans="1:9" x14ac:dyDescent="0.2">
      <c r="A32" s="11" t="s">
        <v>236</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246</v>
      </c>
      <c r="B38" s="24"/>
      <c r="C38" s="25"/>
      <c r="D38" s="25"/>
      <c r="E38" s="24"/>
      <c r="F38" s="24"/>
      <c r="I38" s="38"/>
    </row>
    <row r="39" spans="1:9" s="30" customFormat="1" ht="19.350000000000001" customHeight="1" x14ac:dyDescent="0.25">
      <c r="A39" s="27" t="s">
        <v>245</v>
      </c>
      <c r="B39" s="28"/>
      <c r="C39" s="29"/>
      <c r="D39" s="29"/>
      <c r="E39" s="28"/>
      <c r="F39" s="28"/>
      <c r="I39" s="41"/>
    </row>
    <row r="40" spans="1:9" ht="169.35" customHeight="1" x14ac:dyDescent="0.2">
      <c r="A40" s="82" t="s">
        <v>257</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B16:E18 B29:E29 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195.48282005193008</v>
      </c>
      <c r="B3" s="71">
        <v>45621</v>
      </c>
      <c r="C3" s="15">
        <v>9.299477301110004</v>
      </c>
      <c r="D3" s="15">
        <v>9.1611908292000024</v>
      </c>
      <c r="E3" s="15">
        <v>0.2855452</v>
      </c>
      <c r="F3" s="15">
        <v>91.36949420000002</v>
      </c>
      <c r="G3" s="15">
        <v>-2.9398095573999994</v>
      </c>
      <c r="H3" s="15">
        <v>131.52726462906003</v>
      </c>
      <c r="I3" s="15">
        <v>0.22808290000000014</v>
      </c>
      <c r="J3" s="15">
        <v>-9.5492068919999991</v>
      </c>
      <c r="K3" s="15">
        <v>-10.193595758040001</v>
      </c>
      <c r="L3" s="15">
        <v>-9.0491928000000001</v>
      </c>
      <c r="M3" s="15">
        <v>-11.255659999999992</v>
      </c>
      <c r="N3" s="15">
        <v>-3.4007700000000001</v>
      </c>
    </row>
    <row r="4" spans="1:15" ht="15" x14ac:dyDescent="0.25">
      <c r="A4" s="44">
        <f>SUM(C4:N4)</f>
        <v>330.48831669203003</v>
      </c>
      <c r="B4" s="12">
        <v>45628</v>
      </c>
      <c r="C4" s="70">
        <v>9.0769691341299943</v>
      </c>
      <c r="D4" s="70">
        <v>3.119361904899999</v>
      </c>
      <c r="E4" s="70">
        <v>-0.15198209999999987</v>
      </c>
      <c r="F4" s="70">
        <v>66.956685100000001</v>
      </c>
      <c r="G4" s="70">
        <v>3.7368814401000008</v>
      </c>
      <c r="H4" s="70">
        <v>158.41546160859002</v>
      </c>
      <c r="I4" s="70">
        <v>-3.5799002999999994</v>
      </c>
      <c r="J4" s="70">
        <v>-1.0268778930000031</v>
      </c>
      <c r="K4" s="70">
        <v>75.933235897309999</v>
      </c>
      <c r="L4" s="70">
        <v>12.011606399999998</v>
      </c>
      <c r="M4" s="70">
        <v>-29.294145999999991</v>
      </c>
      <c r="N4" s="70">
        <v>35.291021499999999</v>
      </c>
    </row>
    <row r="5" spans="1:15" ht="15" x14ac:dyDescent="0.25">
      <c r="A5" s="44">
        <f>SUM(C5:N5)</f>
        <v>-47.916420814390037</v>
      </c>
      <c r="B5" s="71">
        <v>45635</v>
      </c>
      <c r="C5" s="15">
        <v>-6.6528151670099973</v>
      </c>
      <c r="D5" s="15">
        <v>-13.257533636700003</v>
      </c>
      <c r="E5" s="15">
        <v>0.73315759999999985</v>
      </c>
      <c r="F5" s="15">
        <v>15.319360499999982</v>
      </c>
      <c r="G5" s="15">
        <v>-2.6499416066000001</v>
      </c>
      <c r="H5" s="15">
        <v>-18.345612069800005</v>
      </c>
      <c r="I5" s="15">
        <v>-1.0210559000000001</v>
      </c>
      <c r="J5" s="15">
        <v>-6.3260236088000017</v>
      </c>
      <c r="K5" s="15">
        <v>-72.896439025479992</v>
      </c>
      <c r="L5" s="15">
        <v>-9.3623608000000011</v>
      </c>
      <c r="M5" s="15">
        <v>55.939237200000001</v>
      </c>
      <c r="N5" s="15">
        <v>10.603605699999999</v>
      </c>
    </row>
    <row r="6" spans="1:15" ht="15" x14ac:dyDescent="0.25">
      <c r="A6" s="44">
        <f>SUM(C6:N6)</f>
        <v>-385.68654815078008</v>
      </c>
      <c r="B6" s="80">
        <v>45642</v>
      </c>
      <c r="C6" s="70">
        <v>-26.943050952720011</v>
      </c>
      <c r="D6" s="70">
        <v>-48.157526405500008</v>
      </c>
      <c r="E6" s="70">
        <v>0.25680600000000003</v>
      </c>
      <c r="F6" s="70">
        <v>-161.29842869999999</v>
      </c>
      <c r="G6" s="70">
        <v>-0.91873577049999988</v>
      </c>
      <c r="H6" s="70">
        <v>-46.376271248910022</v>
      </c>
      <c r="I6" s="70">
        <v>0.75429459999999982</v>
      </c>
      <c r="J6" s="70">
        <v>-46.738397517200013</v>
      </c>
      <c r="K6" s="70">
        <v>-86.268981855950003</v>
      </c>
      <c r="L6" s="70">
        <v>-14.497907000000001</v>
      </c>
      <c r="M6" s="70">
        <v>50.159738700000005</v>
      </c>
      <c r="N6" s="70">
        <v>-5.6580880000000002</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activeCell="A6" sqref="A6"/>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116.52578496357003</v>
      </c>
      <c r="B3" s="64">
        <v>45621</v>
      </c>
      <c r="C3" s="56">
        <v>2.395007898239998</v>
      </c>
      <c r="D3" s="56">
        <v>-8.3903007311</v>
      </c>
      <c r="E3" s="56">
        <v>-0.79171869999999989</v>
      </c>
      <c r="F3" s="56">
        <v>66.49287630000002</v>
      </c>
      <c r="G3" s="56">
        <v>-0.14934569659999983</v>
      </c>
      <c r="H3" s="56">
        <v>45.504575650870017</v>
      </c>
      <c r="I3" s="56">
        <v>0.81848499999999957</v>
      </c>
      <c r="J3" s="56">
        <v>-1.8231823416000004</v>
      </c>
      <c r="K3" s="56">
        <v>-0.99267391624000012</v>
      </c>
      <c r="L3" s="56">
        <v>4.9577138000000014</v>
      </c>
      <c r="M3" s="56">
        <v>7.8572394000000001</v>
      </c>
      <c r="N3" s="56">
        <v>0.64710829999999997</v>
      </c>
      <c r="P3" s="14"/>
    </row>
    <row r="4" spans="1:18" ht="15" x14ac:dyDescent="0.25">
      <c r="A4" s="65">
        <f>SUM(C4:N4)</f>
        <v>-373.02380514890001</v>
      </c>
      <c r="B4" s="12">
        <v>45628</v>
      </c>
      <c r="C4" s="74">
        <v>-16.170914294960003</v>
      </c>
      <c r="D4" s="74">
        <v>-11.836664940699999</v>
      </c>
      <c r="E4" s="74">
        <v>-0.71172779999999991</v>
      </c>
      <c r="F4" s="74">
        <v>-92.855415053299993</v>
      </c>
      <c r="G4" s="74">
        <v>-7.7032346968000001</v>
      </c>
      <c r="H4" s="74">
        <v>-173.18282556435005</v>
      </c>
      <c r="I4" s="74">
        <v>1.9440896999999999</v>
      </c>
      <c r="J4" s="74">
        <v>-15.1456418245</v>
      </c>
      <c r="K4" s="74">
        <v>-35.610332174290008</v>
      </c>
      <c r="L4" s="74">
        <v>-20.748508099999999</v>
      </c>
      <c r="M4" s="74">
        <v>46.676164200000002</v>
      </c>
      <c r="N4" s="74">
        <v>-47.678794599999996</v>
      </c>
      <c r="P4" s="14"/>
    </row>
    <row r="5" spans="1:18" ht="15" x14ac:dyDescent="0.25">
      <c r="A5" s="65">
        <f>SUM(C5:N5)</f>
        <v>80.088312907229962</v>
      </c>
      <c r="B5" s="64">
        <v>45635</v>
      </c>
      <c r="C5" s="56">
        <v>9.6238637807699998</v>
      </c>
      <c r="D5" s="56">
        <v>15.167098447600001</v>
      </c>
      <c r="E5" s="56">
        <v>-4.0731800000000012E-2</v>
      </c>
      <c r="F5" s="56">
        <v>34.484121599999995</v>
      </c>
      <c r="G5" s="56">
        <v>3.1042475773000007</v>
      </c>
      <c r="H5" s="56">
        <v>-63.281218523940012</v>
      </c>
      <c r="I5" s="56">
        <v>1.2133539</v>
      </c>
      <c r="J5" s="56">
        <v>13.7318210604</v>
      </c>
      <c r="K5" s="56">
        <v>97.305450565099989</v>
      </c>
      <c r="L5" s="56">
        <v>11.636218299999998</v>
      </c>
      <c r="M5" s="56">
        <v>-36.891185100000001</v>
      </c>
      <c r="N5" s="56">
        <v>-5.9647269000000005</v>
      </c>
      <c r="P5" s="14"/>
    </row>
    <row r="6" spans="1:18" ht="15" x14ac:dyDescent="0.25">
      <c r="A6" s="65">
        <f>SUM(C6:N6)</f>
        <v>540.03914304380987</v>
      </c>
      <c r="B6" s="80">
        <v>45642</v>
      </c>
      <c r="C6" s="74">
        <v>37.001812105929993</v>
      </c>
      <c r="D6" s="74">
        <v>38.680542506200005</v>
      </c>
      <c r="E6" s="74">
        <v>0.77923979999999982</v>
      </c>
      <c r="F6" s="74">
        <v>235.65983299999994</v>
      </c>
      <c r="G6" s="74">
        <v>5.6799988638999999</v>
      </c>
      <c r="H6" s="74">
        <v>46.252949562830032</v>
      </c>
      <c r="I6" s="74">
        <v>1.8428028000000001</v>
      </c>
      <c r="J6" s="74">
        <v>23.594691839099998</v>
      </c>
      <c r="K6" s="74">
        <v>128.31581936584999</v>
      </c>
      <c r="L6" s="74">
        <v>21.811803299999998</v>
      </c>
      <c r="M6" s="74">
        <v>-4.9014681000000007</v>
      </c>
      <c r="N6" s="74">
        <v>5.3211180000000002</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6:A7 A3:A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16 December 2024</v>
      </c>
      <c r="B1" s="16" t="s">
        <v>1</v>
      </c>
      <c r="C1" s="17" t="s">
        <v>71</v>
      </c>
      <c r="D1" s="17" t="s">
        <v>72</v>
      </c>
    </row>
    <row r="2" spans="1:5" x14ac:dyDescent="0.25">
      <c r="A2" s="18" t="s">
        <v>87</v>
      </c>
      <c r="B2" s="19" t="s">
        <v>25</v>
      </c>
      <c r="C2" s="20">
        <v>-16.471885</v>
      </c>
      <c r="D2" s="20">
        <v>26.663176</v>
      </c>
      <c r="E2" s="38"/>
    </row>
    <row r="3" spans="1:5" x14ac:dyDescent="0.25">
      <c r="A3" s="21" t="s">
        <v>77</v>
      </c>
      <c r="B3" s="22" t="s">
        <v>56</v>
      </c>
      <c r="C3" s="8">
        <v>-15.5304745</v>
      </c>
      <c r="D3" s="8">
        <v>35.972805999999999</v>
      </c>
      <c r="E3" s="38"/>
    </row>
    <row r="4" spans="1:5" x14ac:dyDescent="0.25">
      <c r="A4" s="5" t="s">
        <v>84</v>
      </c>
      <c r="B4" s="7" t="s">
        <v>83</v>
      </c>
      <c r="C4" s="6">
        <v>-35.390448999999997</v>
      </c>
      <c r="D4" s="6">
        <v>23.698802000000001</v>
      </c>
      <c r="E4" s="38"/>
    </row>
    <row r="5" spans="1:5" x14ac:dyDescent="0.25">
      <c r="A5" s="21" t="s">
        <v>63</v>
      </c>
      <c r="B5" s="22" t="s">
        <v>54</v>
      </c>
      <c r="C5" s="8">
        <v>-13.975956</v>
      </c>
      <c r="D5" s="8">
        <v>13.478446999999999</v>
      </c>
      <c r="E5" s="38"/>
    </row>
    <row r="6" spans="1:5" x14ac:dyDescent="0.25">
      <c r="A6" s="5" t="s">
        <v>26</v>
      </c>
      <c r="B6" s="7" t="s">
        <v>21</v>
      </c>
      <c r="C6" s="6">
        <v>-74.165773999999999</v>
      </c>
      <c r="D6" s="6">
        <v>106.36322199999999</v>
      </c>
      <c r="E6" s="38"/>
    </row>
    <row r="7" spans="1:5" x14ac:dyDescent="0.25">
      <c r="A7" s="21" t="s">
        <v>85</v>
      </c>
      <c r="B7" s="22" t="s">
        <v>57</v>
      </c>
      <c r="C7" s="8">
        <v>0.24756479449999999</v>
      </c>
      <c r="D7" s="8">
        <v>9.5769061999999832E-3</v>
      </c>
      <c r="E7" s="38"/>
    </row>
    <row r="8" spans="1:5" x14ac:dyDescent="0.25">
      <c r="A8" s="5" t="s">
        <v>237</v>
      </c>
      <c r="B8" s="7" t="s">
        <v>107</v>
      </c>
      <c r="C8" s="6">
        <v>-2.3956659999999999</v>
      </c>
      <c r="D8" s="6">
        <v>4.5415900000000002</v>
      </c>
      <c r="E8" s="38"/>
    </row>
    <row r="9" spans="1:5" x14ac:dyDescent="0.25">
      <c r="A9" s="21" t="s">
        <v>79</v>
      </c>
      <c r="B9" s="22" t="s">
        <v>78</v>
      </c>
      <c r="C9" s="8">
        <v>-6.1155210000000002</v>
      </c>
      <c r="D9" s="8">
        <v>8.6718150000000005</v>
      </c>
      <c r="E9" s="38"/>
    </row>
    <row r="10" spans="1:5" x14ac:dyDescent="0.25">
      <c r="A10" s="5" t="s">
        <v>36</v>
      </c>
      <c r="B10" s="7" t="s">
        <v>35</v>
      </c>
      <c r="C10" s="6">
        <v>-11.7112695</v>
      </c>
      <c r="D10" s="6">
        <v>22.3786305</v>
      </c>
      <c r="E10" s="38"/>
    </row>
    <row r="11" spans="1:5" x14ac:dyDescent="0.25">
      <c r="A11" s="21" t="s">
        <v>64</v>
      </c>
      <c r="B11" s="22" t="s">
        <v>55</v>
      </c>
      <c r="C11" s="8">
        <v>-26.964880317200009</v>
      </c>
      <c r="D11" s="8">
        <v>3.9040977391</v>
      </c>
      <c r="E11" s="38"/>
    </row>
    <row r="12" spans="1:5" x14ac:dyDescent="0.25">
      <c r="A12" s="5" t="s">
        <v>50</v>
      </c>
      <c r="B12" s="7" t="s">
        <v>48</v>
      </c>
      <c r="C12" s="6">
        <v>-4.9359000000000002</v>
      </c>
      <c r="D12" s="6">
        <v>3.9858769999999999</v>
      </c>
      <c r="E12" s="38"/>
    </row>
    <row r="13" spans="1:5" x14ac:dyDescent="0.25">
      <c r="A13" s="21" t="s">
        <v>62</v>
      </c>
      <c r="B13" s="22" t="s">
        <v>52</v>
      </c>
      <c r="C13" s="8">
        <v>-27.73390649580001</v>
      </c>
      <c r="D13" s="8">
        <v>5.6369078392</v>
      </c>
      <c r="E13" s="38"/>
    </row>
    <row r="14" spans="1:5" x14ac:dyDescent="0.25">
      <c r="A14" s="5" t="s">
        <v>145</v>
      </c>
      <c r="B14" s="7" t="s">
        <v>32</v>
      </c>
      <c r="C14" s="6">
        <v>5.4140670000000002</v>
      </c>
      <c r="D14" s="6">
        <v>-1.5019169999999999</v>
      </c>
      <c r="E14" s="38"/>
    </row>
    <row r="15" spans="1:5" x14ac:dyDescent="0.25">
      <c r="A15" s="21" t="s">
        <v>75</v>
      </c>
      <c r="B15" s="22" t="s">
        <v>74</v>
      </c>
      <c r="C15" s="8">
        <v>-19.615496</v>
      </c>
      <c r="D15" s="8">
        <v>10.453021</v>
      </c>
      <c r="E15" s="38"/>
    </row>
    <row r="16" spans="1:5" x14ac:dyDescent="0.25">
      <c r="A16" s="5" t="s">
        <v>40</v>
      </c>
      <c r="B16" s="7" t="s">
        <v>38</v>
      </c>
      <c r="C16" s="6">
        <v>1.0236289999999999</v>
      </c>
      <c r="D16" s="6">
        <v>8.9110340000000008</v>
      </c>
      <c r="E16" s="38"/>
    </row>
    <row r="17" spans="1:5" x14ac:dyDescent="0.25">
      <c r="A17" s="21" t="s">
        <v>242</v>
      </c>
      <c r="B17" s="22" t="s">
        <v>58</v>
      </c>
      <c r="C17" s="8">
        <v>1.2934870000000001</v>
      </c>
      <c r="D17" s="8">
        <v>6.3550380000000004</v>
      </c>
      <c r="E17" s="38"/>
    </row>
    <row r="18" spans="1:5" x14ac:dyDescent="0.25">
      <c r="A18" s="5" t="s">
        <v>27</v>
      </c>
      <c r="B18" s="7" t="s">
        <v>22</v>
      </c>
      <c r="C18" s="6">
        <v>4.3165969999999998</v>
      </c>
      <c r="D18" s="6">
        <v>41.794714999999997</v>
      </c>
      <c r="E18" s="38"/>
    </row>
    <row r="19" spans="1:5" x14ac:dyDescent="0.25">
      <c r="A19" s="21" t="s">
        <v>34</v>
      </c>
      <c r="B19" s="22" t="s">
        <v>30</v>
      </c>
      <c r="C19" s="8">
        <v>-12.367215</v>
      </c>
      <c r="D19" s="8">
        <v>7.1600270000000004</v>
      </c>
      <c r="E19" s="38"/>
    </row>
    <row r="20" spans="1:5" x14ac:dyDescent="0.25">
      <c r="A20" s="5" t="s">
        <v>139</v>
      </c>
      <c r="B20" s="7" t="s">
        <v>240</v>
      </c>
      <c r="C20" s="6">
        <v>-6.2420989999999996</v>
      </c>
      <c r="D20" s="6">
        <v>26.882524</v>
      </c>
      <c r="E20" s="38"/>
    </row>
    <row r="21" spans="1:5" x14ac:dyDescent="0.25">
      <c r="A21" s="21" t="s">
        <v>45</v>
      </c>
      <c r="B21" s="22" t="s">
        <v>42</v>
      </c>
      <c r="C21" s="8">
        <v>-5.618817</v>
      </c>
      <c r="D21" s="8">
        <v>5.2810889999999997</v>
      </c>
      <c r="E21" s="38"/>
    </row>
    <row r="22" spans="1:5" x14ac:dyDescent="0.25">
      <c r="A22" s="5" t="s">
        <v>33</v>
      </c>
      <c r="B22" s="7" t="s">
        <v>31</v>
      </c>
      <c r="C22" s="6">
        <v>10.751481999999999</v>
      </c>
      <c r="D22" s="6">
        <v>-0.88554900000000003</v>
      </c>
      <c r="E22" s="38"/>
    </row>
    <row r="23" spans="1:5" x14ac:dyDescent="0.25">
      <c r="A23" s="21" t="s">
        <v>29</v>
      </c>
      <c r="B23" s="22" t="s">
        <v>24</v>
      </c>
      <c r="C23" s="8">
        <v>6.5777520000000003</v>
      </c>
      <c r="D23" s="8">
        <v>-10.973973000000001</v>
      </c>
      <c r="E23" s="38"/>
    </row>
    <row r="24" spans="1:5" x14ac:dyDescent="0.25">
      <c r="A24" s="5" t="s">
        <v>39</v>
      </c>
      <c r="B24" s="7" t="s">
        <v>37</v>
      </c>
      <c r="C24" s="6">
        <v>14.941343</v>
      </c>
      <c r="D24" s="6">
        <v>-5.8101120000000002</v>
      </c>
      <c r="E24" s="38"/>
    </row>
    <row r="25" spans="1:5" x14ac:dyDescent="0.25">
      <c r="A25" s="21" t="s">
        <v>49</v>
      </c>
      <c r="B25" s="22" t="s">
        <v>47</v>
      </c>
      <c r="C25" s="8">
        <v>52.564734700000002</v>
      </c>
      <c r="D25" s="8">
        <v>-7.7622459000000008</v>
      </c>
      <c r="E25" s="38"/>
    </row>
    <row r="26" spans="1:5" x14ac:dyDescent="0.25">
      <c r="A26" s="5" t="s">
        <v>60</v>
      </c>
      <c r="B26" s="7" t="s">
        <v>51</v>
      </c>
      <c r="C26" s="6">
        <v>-9.2724089999999997</v>
      </c>
      <c r="D26" s="6">
        <v>3.1631334999999998</v>
      </c>
      <c r="E26" s="38"/>
    </row>
    <row r="27" spans="1:5" x14ac:dyDescent="0.25">
      <c r="A27" s="21" t="s">
        <v>28</v>
      </c>
      <c r="B27" s="22" t="s">
        <v>23</v>
      </c>
      <c r="C27" s="8">
        <v>-62.423462000000001</v>
      </c>
      <c r="D27" s="8">
        <v>74.635429999999999</v>
      </c>
      <c r="E27" s="38"/>
    </row>
    <row r="28" spans="1:5" x14ac:dyDescent="0.25">
      <c r="A28" s="5" t="s">
        <v>65</v>
      </c>
      <c r="B28" s="7" t="s">
        <v>59</v>
      </c>
      <c r="C28" s="6">
        <v>-6.0301840000000002</v>
      </c>
      <c r="D28" s="6">
        <v>5.2822380000000004</v>
      </c>
      <c r="E28" s="38"/>
    </row>
    <row r="29" spans="1:5" x14ac:dyDescent="0.25">
      <c r="A29" s="21" t="s">
        <v>46</v>
      </c>
      <c r="B29" s="22" t="s">
        <v>43</v>
      </c>
      <c r="C29" s="8">
        <v>-0.90817499999999995</v>
      </c>
      <c r="D29" s="8">
        <v>0.72950599999999999</v>
      </c>
      <c r="E29" s="38"/>
    </row>
    <row r="30" spans="1:5" x14ac:dyDescent="0.25">
      <c r="A30" s="5" t="s">
        <v>44</v>
      </c>
      <c r="B30" s="7" t="s">
        <v>41</v>
      </c>
      <c r="C30" s="6">
        <v>-19.081827000000001</v>
      </c>
      <c r="D30" s="6">
        <v>17.170670000000001</v>
      </c>
      <c r="E30" s="38"/>
    </row>
    <row r="31" spans="1:5" ht="15.75" thickBot="1" x14ac:dyDescent="0.3">
      <c r="A31" s="21" t="s">
        <v>61</v>
      </c>
      <c r="B31" s="22" t="s">
        <v>53</v>
      </c>
      <c r="C31" s="8">
        <v>-22.749783999999998</v>
      </c>
      <c r="D31" s="8">
        <v>3.630217</v>
      </c>
      <c r="E31" s="38"/>
    </row>
    <row r="32" spans="1:5" ht="21" customHeight="1" thickBot="1" x14ac:dyDescent="0.3">
      <c r="A32" s="88" t="s">
        <v>66</v>
      </c>
      <c r="B32" s="89"/>
      <c r="C32" s="58">
        <f>SUM(C2:C31)</f>
        <v>-302.57049331849998</v>
      </c>
      <c r="D32" s="59">
        <f>SUM(D2:D31)</f>
        <v>439.81979358449996</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16 December 2024</v>
      </c>
      <c r="B1" s="16" t="s">
        <v>1</v>
      </c>
      <c r="C1" s="47" t="s">
        <v>98</v>
      </c>
      <c r="D1" s="17" t="s">
        <v>97</v>
      </c>
      <c r="E1" s="17" t="s">
        <v>256</v>
      </c>
      <c r="F1" s="17" t="s">
        <v>99</v>
      </c>
      <c r="G1" s="52"/>
      <c r="H1" s="78"/>
      <c r="I1" s="78"/>
      <c r="J1" s="78"/>
      <c r="L1" s="78"/>
      <c r="M1" s="78"/>
    </row>
    <row r="2" spans="1:17" x14ac:dyDescent="0.25">
      <c r="A2" s="18" t="s">
        <v>26</v>
      </c>
      <c r="B2" s="19" t="s">
        <v>21</v>
      </c>
      <c r="C2" s="53">
        <v>165.90560830752031</v>
      </c>
      <c r="D2" s="53">
        <v>194.75176930000001</v>
      </c>
      <c r="E2" s="53">
        <v>-74.165773999999999</v>
      </c>
      <c r="F2" s="20" t="s">
        <v>13</v>
      </c>
      <c r="G2" s="52"/>
      <c r="K2" s="52"/>
      <c r="L2" s="52">
        <f>H2/1000000</f>
        <v>0</v>
      </c>
      <c r="M2" s="52">
        <f t="shared" ref="M2:N2" si="0">I2/1000000</f>
        <v>0</v>
      </c>
      <c r="N2" s="52">
        <f t="shared" si="0"/>
        <v>0</v>
      </c>
      <c r="O2" s="73"/>
      <c r="P2" s="73"/>
      <c r="Q2" s="73"/>
    </row>
    <row r="3" spans="1:17" x14ac:dyDescent="0.25">
      <c r="A3" s="21" t="s">
        <v>49</v>
      </c>
      <c r="B3" s="22" t="s">
        <v>47</v>
      </c>
      <c r="C3" s="54">
        <v>92.014326706760158</v>
      </c>
      <c r="D3" s="54">
        <v>855.47115769999994</v>
      </c>
      <c r="E3" s="54">
        <v>52.564734700000002</v>
      </c>
      <c r="F3" s="8" t="s">
        <v>154</v>
      </c>
      <c r="G3" s="52"/>
      <c r="K3" s="52"/>
      <c r="L3" s="52">
        <f t="shared" ref="L3:L66" si="1">H3/1000000</f>
        <v>0</v>
      </c>
      <c r="M3" s="52">
        <f t="shared" ref="M3:M66" si="2">I3/1000000</f>
        <v>0</v>
      </c>
      <c r="N3" s="52">
        <f t="shared" ref="N3:N66" si="3">J3/1000000</f>
        <v>0</v>
      </c>
      <c r="O3" s="73"/>
      <c r="P3" s="73"/>
      <c r="Q3" s="73"/>
    </row>
    <row r="4" spans="1:17" x14ac:dyDescent="0.25">
      <c r="A4" s="5" t="s">
        <v>28</v>
      </c>
      <c r="B4" s="7" t="s">
        <v>23</v>
      </c>
      <c r="C4" s="55">
        <v>86.501573654841465</v>
      </c>
      <c r="D4" s="55">
        <v>542.29218879999996</v>
      </c>
      <c r="E4" s="55">
        <v>-62.423462000000001</v>
      </c>
      <c r="F4" s="6" t="s">
        <v>13</v>
      </c>
      <c r="G4" s="52"/>
      <c r="K4" s="52"/>
      <c r="L4" s="52">
        <f t="shared" si="1"/>
        <v>0</v>
      </c>
      <c r="M4" s="52">
        <f t="shared" si="2"/>
        <v>0</v>
      </c>
      <c r="N4" s="52">
        <f t="shared" si="3"/>
        <v>0</v>
      </c>
      <c r="O4" s="73"/>
      <c r="P4" s="73"/>
      <c r="Q4" s="73"/>
    </row>
    <row r="5" spans="1:17" x14ac:dyDescent="0.25">
      <c r="A5" s="21" t="s">
        <v>158</v>
      </c>
      <c r="B5" s="22" t="s">
        <v>22</v>
      </c>
      <c r="C5" s="54">
        <v>81.479757716451232</v>
      </c>
      <c r="D5" s="54">
        <v>435.92685669999997</v>
      </c>
      <c r="E5" s="54">
        <v>4.3165969999999998</v>
      </c>
      <c r="F5" s="8" t="s">
        <v>13</v>
      </c>
      <c r="G5" s="52"/>
      <c r="K5" s="52"/>
      <c r="L5" s="52">
        <f t="shared" si="1"/>
        <v>0</v>
      </c>
      <c r="M5" s="52">
        <f t="shared" si="2"/>
        <v>0</v>
      </c>
      <c r="N5" s="52">
        <f t="shared" si="3"/>
        <v>0</v>
      </c>
      <c r="O5" s="73"/>
      <c r="P5" s="73"/>
      <c r="Q5" s="73"/>
    </row>
    <row r="6" spans="1:17" x14ac:dyDescent="0.25">
      <c r="A6" s="5" t="s">
        <v>161</v>
      </c>
      <c r="B6" s="7" t="s">
        <v>53</v>
      </c>
      <c r="C6" s="55">
        <v>54.466800652390248</v>
      </c>
      <c r="D6" s="55">
        <v>171.12493180000001</v>
      </c>
      <c r="E6" s="55">
        <v>-22.749783999999998</v>
      </c>
      <c r="F6" s="6" t="s">
        <v>14</v>
      </c>
      <c r="G6" s="52"/>
      <c r="K6" s="52"/>
      <c r="L6" s="52">
        <f t="shared" si="1"/>
        <v>0</v>
      </c>
      <c r="M6" s="52">
        <f t="shared" si="2"/>
        <v>0</v>
      </c>
      <c r="N6" s="52">
        <f t="shared" si="3"/>
        <v>0</v>
      </c>
      <c r="O6" s="73"/>
      <c r="P6" s="73"/>
      <c r="Q6" s="73"/>
    </row>
    <row r="7" spans="1:17" x14ac:dyDescent="0.25">
      <c r="A7" s="21" t="s">
        <v>277</v>
      </c>
      <c r="B7" s="22" t="s">
        <v>240</v>
      </c>
      <c r="C7" s="54">
        <v>53.569987489643751</v>
      </c>
      <c r="D7" s="54">
        <v>-110.873209</v>
      </c>
      <c r="E7" s="54">
        <v>-6.2420989999999996</v>
      </c>
      <c r="F7" s="8" t="s">
        <v>14</v>
      </c>
      <c r="G7" s="52"/>
      <c r="K7" s="52"/>
      <c r="L7" s="52">
        <f t="shared" si="1"/>
        <v>0</v>
      </c>
      <c r="M7" s="52">
        <f t="shared" si="2"/>
        <v>0</v>
      </c>
      <c r="N7" s="52">
        <f t="shared" si="3"/>
        <v>0</v>
      </c>
      <c r="O7" s="73"/>
      <c r="P7" s="73"/>
      <c r="Q7" s="73"/>
    </row>
    <row r="8" spans="1:17" x14ac:dyDescent="0.25">
      <c r="A8" s="5" t="s">
        <v>159</v>
      </c>
      <c r="B8" s="7" t="s">
        <v>56</v>
      </c>
      <c r="C8" s="55">
        <v>50.11953505784146</v>
      </c>
      <c r="D8" s="55">
        <v>-177.16256050000001</v>
      </c>
      <c r="E8" s="55">
        <v>-15.5304745</v>
      </c>
      <c r="F8" s="6" t="s">
        <v>17</v>
      </c>
      <c r="G8" s="52"/>
      <c r="K8" s="52"/>
      <c r="L8" s="52">
        <f t="shared" si="1"/>
        <v>0</v>
      </c>
      <c r="M8" s="52">
        <f t="shared" si="2"/>
        <v>0</v>
      </c>
      <c r="N8" s="52">
        <f t="shared" si="3"/>
        <v>0</v>
      </c>
      <c r="O8" s="73"/>
      <c r="P8" s="73"/>
      <c r="Q8" s="73"/>
    </row>
    <row r="9" spans="1:17" x14ac:dyDescent="0.25">
      <c r="A9" s="21" t="s">
        <v>33</v>
      </c>
      <c r="B9" s="22" t="s">
        <v>31</v>
      </c>
      <c r="C9" s="54">
        <v>35.477620033821147</v>
      </c>
      <c r="D9" s="54">
        <v>-545.31196799999998</v>
      </c>
      <c r="E9" s="54">
        <v>10.751481999999999</v>
      </c>
      <c r="F9" s="8" t="s">
        <v>14</v>
      </c>
      <c r="G9" s="52"/>
      <c r="K9" s="52"/>
      <c r="L9" s="52">
        <f t="shared" si="1"/>
        <v>0</v>
      </c>
      <c r="M9" s="52">
        <f t="shared" si="2"/>
        <v>0</v>
      </c>
      <c r="N9" s="52">
        <f t="shared" si="3"/>
        <v>0</v>
      </c>
      <c r="O9" s="73"/>
      <c r="P9" s="73"/>
      <c r="Q9" s="73"/>
    </row>
    <row r="10" spans="1:17" x14ac:dyDescent="0.25">
      <c r="A10" s="5" t="s">
        <v>160</v>
      </c>
      <c r="B10" s="7" t="s">
        <v>25</v>
      </c>
      <c r="C10" s="55">
        <v>33.937629781138213</v>
      </c>
      <c r="D10" s="55">
        <v>-302.73189560000003</v>
      </c>
      <c r="E10" s="55">
        <v>-16.471885</v>
      </c>
      <c r="F10" s="6" t="s">
        <v>17</v>
      </c>
      <c r="G10" s="52"/>
      <c r="K10" s="52"/>
      <c r="L10" s="52">
        <f t="shared" si="1"/>
        <v>0</v>
      </c>
      <c r="M10" s="52">
        <f t="shared" si="2"/>
        <v>0</v>
      </c>
      <c r="N10" s="52">
        <f t="shared" si="3"/>
        <v>0</v>
      </c>
      <c r="O10" s="73"/>
      <c r="P10" s="73"/>
      <c r="Q10" s="73"/>
    </row>
    <row r="11" spans="1:17" x14ac:dyDescent="0.25">
      <c r="A11" s="21" t="s">
        <v>163</v>
      </c>
      <c r="B11" s="22" t="s">
        <v>38</v>
      </c>
      <c r="C11" s="54">
        <v>31.682739401178861</v>
      </c>
      <c r="D11" s="54">
        <v>-260.60228999999998</v>
      </c>
      <c r="E11" s="54">
        <v>1.0236289999999999</v>
      </c>
      <c r="F11" s="8" t="s">
        <v>17</v>
      </c>
      <c r="G11" s="52"/>
      <c r="K11" s="52"/>
      <c r="L11" s="52">
        <f t="shared" si="1"/>
        <v>0</v>
      </c>
      <c r="M11" s="52">
        <f t="shared" si="2"/>
        <v>0</v>
      </c>
      <c r="N11" s="52">
        <f t="shared" si="3"/>
        <v>0</v>
      </c>
      <c r="O11" s="73"/>
      <c r="P11" s="73"/>
      <c r="Q11" s="73"/>
    </row>
    <row r="12" spans="1:17" x14ac:dyDescent="0.25">
      <c r="A12" s="5" t="s">
        <v>162</v>
      </c>
      <c r="B12" s="7" t="s">
        <v>83</v>
      </c>
      <c r="C12" s="55">
        <v>27.284549629207319</v>
      </c>
      <c r="D12" s="55">
        <v>-196.1399352</v>
      </c>
      <c r="E12" s="55">
        <v>-35.390448999999997</v>
      </c>
      <c r="F12" s="6" t="s">
        <v>13</v>
      </c>
      <c r="G12" s="52"/>
      <c r="K12" s="52"/>
      <c r="L12" s="52">
        <f t="shared" si="1"/>
        <v>0</v>
      </c>
      <c r="M12" s="52">
        <f t="shared" si="2"/>
        <v>0</v>
      </c>
      <c r="N12" s="52">
        <f t="shared" si="3"/>
        <v>0</v>
      </c>
      <c r="O12" s="73"/>
      <c r="P12" s="73"/>
      <c r="Q12" s="73"/>
    </row>
    <row r="13" spans="1:17" x14ac:dyDescent="0.25">
      <c r="A13" s="21" t="s">
        <v>164</v>
      </c>
      <c r="B13" s="22" t="s">
        <v>35</v>
      </c>
      <c r="C13" s="54">
        <v>25.757574807467478</v>
      </c>
      <c r="D13" s="54">
        <v>-240.20771199999999</v>
      </c>
      <c r="E13" s="54">
        <v>-11.7112695</v>
      </c>
      <c r="F13" s="8" t="s">
        <v>10</v>
      </c>
      <c r="G13" s="52"/>
      <c r="K13" s="52"/>
      <c r="L13" s="52">
        <f t="shared" si="1"/>
        <v>0</v>
      </c>
      <c r="M13" s="52">
        <f t="shared" si="2"/>
        <v>0</v>
      </c>
      <c r="N13" s="52">
        <f t="shared" si="3"/>
        <v>0</v>
      </c>
      <c r="O13" s="73"/>
      <c r="P13" s="73"/>
      <c r="Q13" s="73"/>
    </row>
    <row r="14" spans="1:17" x14ac:dyDescent="0.25">
      <c r="A14" s="5" t="s">
        <v>145</v>
      </c>
      <c r="B14" s="7" t="s">
        <v>32</v>
      </c>
      <c r="C14" s="55">
        <v>24.186349318825201</v>
      </c>
      <c r="D14" s="55">
        <v>40.094979000000002</v>
      </c>
      <c r="E14" s="55">
        <v>5.4140670000000002</v>
      </c>
      <c r="F14" s="6" t="s">
        <v>14</v>
      </c>
      <c r="G14" s="52"/>
      <c r="K14" s="52"/>
      <c r="L14" s="52">
        <f t="shared" si="1"/>
        <v>0</v>
      </c>
      <c r="M14" s="52">
        <f t="shared" si="2"/>
        <v>0</v>
      </c>
      <c r="N14" s="52">
        <f t="shared" si="3"/>
        <v>0</v>
      </c>
      <c r="O14" s="73"/>
      <c r="P14" s="73"/>
      <c r="Q14" s="73"/>
    </row>
    <row r="15" spans="1:17" x14ac:dyDescent="0.25">
      <c r="A15" s="21" t="s">
        <v>29</v>
      </c>
      <c r="B15" s="22" t="s">
        <v>24</v>
      </c>
      <c r="C15" s="54">
        <v>22.520178540284551</v>
      </c>
      <c r="D15" s="54">
        <v>304.359602</v>
      </c>
      <c r="E15" s="54">
        <v>6.5777520000000003</v>
      </c>
      <c r="F15" s="8" t="s">
        <v>13</v>
      </c>
      <c r="G15" s="52"/>
      <c r="K15" s="52"/>
      <c r="L15" s="52">
        <f t="shared" si="1"/>
        <v>0</v>
      </c>
      <c r="M15" s="52">
        <f t="shared" si="2"/>
        <v>0</v>
      </c>
      <c r="N15" s="52">
        <f t="shared" si="3"/>
        <v>0</v>
      </c>
      <c r="O15" s="73"/>
      <c r="P15" s="73"/>
      <c r="Q15" s="73"/>
    </row>
    <row r="16" spans="1:17" x14ac:dyDescent="0.25">
      <c r="A16" s="5" t="s">
        <v>170</v>
      </c>
      <c r="B16" s="7" t="s">
        <v>58</v>
      </c>
      <c r="C16" s="55">
        <v>22.10638961048781</v>
      </c>
      <c r="D16" s="55">
        <v>-160.66979699999999</v>
      </c>
      <c r="E16" s="55">
        <v>1.2934870000000001</v>
      </c>
      <c r="F16" s="6" t="s">
        <v>17</v>
      </c>
      <c r="G16" s="52"/>
      <c r="K16" s="52"/>
      <c r="L16" s="52">
        <f t="shared" si="1"/>
        <v>0</v>
      </c>
      <c r="M16" s="52">
        <f t="shared" si="2"/>
        <v>0</v>
      </c>
      <c r="N16" s="52">
        <f t="shared" si="3"/>
        <v>0</v>
      </c>
      <c r="O16" s="73"/>
      <c r="P16" s="73"/>
      <c r="Q16" s="73"/>
    </row>
    <row r="17" spans="1:17" x14ac:dyDescent="0.25">
      <c r="A17" s="21" t="s">
        <v>39</v>
      </c>
      <c r="B17" s="22" t="s">
        <v>37</v>
      </c>
      <c r="C17" s="54">
        <v>19.35503049760975</v>
      </c>
      <c r="D17" s="54">
        <v>218.19690199999999</v>
      </c>
      <c r="E17" s="54">
        <v>14.941343</v>
      </c>
      <c r="F17" s="8" t="s">
        <v>14</v>
      </c>
      <c r="G17" s="52"/>
      <c r="K17" s="52"/>
      <c r="L17" s="52">
        <f t="shared" si="1"/>
        <v>0</v>
      </c>
      <c r="M17" s="52">
        <f t="shared" si="2"/>
        <v>0</v>
      </c>
      <c r="N17" s="52">
        <f t="shared" si="3"/>
        <v>0</v>
      </c>
      <c r="O17" s="73"/>
      <c r="P17" s="73"/>
      <c r="Q17" s="73"/>
    </row>
    <row r="18" spans="1:17" x14ac:dyDescent="0.25">
      <c r="A18" s="5" t="s">
        <v>168</v>
      </c>
      <c r="B18" s="7" t="s">
        <v>42</v>
      </c>
      <c r="C18" s="55">
        <v>17.211920962804879</v>
      </c>
      <c r="D18" s="55">
        <v>81.873007200000004</v>
      </c>
      <c r="E18" s="55">
        <v>-5.618817</v>
      </c>
      <c r="F18" s="6" t="s">
        <v>19</v>
      </c>
      <c r="G18" s="52"/>
      <c r="K18" s="52"/>
      <c r="L18" s="52">
        <f t="shared" si="1"/>
        <v>0</v>
      </c>
      <c r="M18" s="52">
        <f t="shared" si="2"/>
        <v>0</v>
      </c>
      <c r="N18" s="52">
        <f t="shared" si="3"/>
        <v>0</v>
      </c>
      <c r="O18" s="73"/>
      <c r="P18" s="73"/>
      <c r="Q18" s="73"/>
    </row>
    <row r="19" spans="1:17" x14ac:dyDescent="0.25">
      <c r="A19" s="21" t="s">
        <v>167</v>
      </c>
      <c r="B19" s="22" t="s">
        <v>41</v>
      </c>
      <c r="C19" s="54">
        <v>16.32459862967886</v>
      </c>
      <c r="D19" s="54">
        <v>-132.662305</v>
      </c>
      <c r="E19" s="54">
        <v>-19.081827000000001</v>
      </c>
      <c r="F19" s="8" t="s">
        <v>11</v>
      </c>
      <c r="G19" s="52"/>
      <c r="K19" s="52"/>
      <c r="L19" s="52">
        <f t="shared" si="1"/>
        <v>0</v>
      </c>
      <c r="M19" s="52">
        <f t="shared" si="2"/>
        <v>0</v>
      </c>
      <c r="N19" s="52">
        <f t="shared" si="3"/>
        <v>0</v>
      </c>
      <c r="O19" s="73"/>
      <c r="P19" s="73"/>
      <c r="Q19" s="73"/>
    </row>
    <row r="20" spans="1:17" x14ac:dyDescent="0.25">
      <c r="A20" s="5" t="s">
        <v>34</v>
      </c>
      <c r="B20" s="7" t="s">
        <v>30</v>
      </c>
      <c r="C20" s="55">
        <v>16.322163818130079</v>
      </c>
      <c r="D20" s="55">
        <v>165.601944</v>
      </c>
      <c r="E20" s="55">
        <v>-12.367215</v>
      </c>
      <c r="F20" s="6" t="s">
        <v>14</v>
      </c>
      <c r="G20" s="52"/>
      <c r="K20" s="52"/>
      <c r="L20" s="52">
        <f t="shared" si="1"/>
        <v>0</v>
      </c>
      <c r="M20" s="52">
        <f t="shared" si="2"/>
        <v>0</v>
      </c>
      <c r="N20" s="52">
        <f t="shared" si="3"/>
        <v>0</v>
      </c>
      <c r="O20" s="73"/>
      <c r="P20" s="73"/>
      <c r="Q20" s="73"/>
    </row>
    <row r="21" spans="1:17" x14ac:dyDescent="0.25">
      <c r="A21" s="21" t="s">
        <v>171</v>
      </c>
      <c r="B21" s="22" t="s">
        <v>51</v>
      </c>
      <c r="C21" s="54">
        <v>16.195263379471541</v>
      </c>
      <c r="D21" s="54">
        <v>74.598645500000018</v>
      </c>
      <c r="E21" s="54">
        <v>-9.2724089999999997</v>
      </c>
      <c r="F21" s="8" t="s">
        <v>11</v>
      </c>
      <c r="G21" s="52"/>
      <c r="K21" s="52"/>
      <c r="L21" s="52">
        <f t="shared" si="1"/>
        <v>0</v>
      </c>
      <c r="M21" s="52">
        <f t="shared" si="2"/>
        <v>0</v>
      </c>
      <c r="N21" s="52">
        <f t="shared" si="3"/>
        <v>0</v>
      </c>
      <c r="O21" s="73"/>
      <c r="P21" s="73"/>
      <c r="Q21" s="73"/>
    </row>
    <row r="22" spans="1:17" x14ac:dyDescent="0.25">
      <c r="A22" s="5" t="s">
        <v>172</v>
      </c>
      <c r="B22" s="7" t="s">
        <v>48</v>
      </c>
      <c r="C22" s="55">
        <v>16.150759342723582</v>
      </c>
      <c r="D22" s="55">
        <v>-8.8006659999999997</v>
      </c>
      <c r="E22" s="55">
        <v>-4.9359000000000002</v>
      </c>
      <c r="F22" s="6" t="s">
        <v>10</v>
      </c>
      <c r="G22" s="52"/>
      <c r="K22" s="52"/>
      <c r="L22" s="52">
        <f t="shared" si="1"/>
        <v>0</v>
      </c>
      <c r="M22" s="52">
        <f t="shared" si="2"/>
        <v>0</v>
      </c>
      <c r="N22" s="52">
        <f t="shared" si="3"/>
        <v>0</v>
      </c>
      <c r="O22" s="73"/>
      <c r="P22" s="73"/>
      <c r="Q22" s="73"/>
    </row>
    <row r="23" spans="1:17" x14ac:dyDescent="0.25">
      <c r="A23" s="21" t="s">
        <v>166</v>
      </c>
      <c r="B23" s="22" t="s">
        <v>52</v>
      </c>
      <c r="C23" s="54">
        <v>14.806604930471741</v>
      </c>
      <c r="D23" s="54">
        <v>21.931382993850001</v>
      </c>
      <c r="E23" s="54">
        <v>-27.733906495799999</v>
      </c>
      <c r="F23" s="8" t="s">
        <v>14</v>
      </c>
      <c r="G23" s="52"/>
      <c r="K23" s="52"/>
      <c r="L23" s="52">
        <f t="shared" si="1"/>
        <v>0</v>
      </c>
      <c r="M23" s="52">
        <f t="shared" si="2"/>
        <v>0</v>
      </c>
      <c r="N23" s="52">
        <f t="shared" si="3"/>
        <v>0</v>
      </c>
      <c r="O23" s="73"/>
      <c r="P23" s="73"/>
      <c r="Q23" s="73"/>
    </row>
    <row r="24" spans="1:17" x14ac:dyDescent="0.25">
      <c r="A24" s="5" t="s">
        <v>174</v>
      </c>
      <c r="B24" s="7" t="s">
        <v>54</v>
      </c>
      <c r="C24" s="55">
        <v>14.736367536382112</v>
      </c>
      <c r="D24" s="55">
        <v>-258.2856486</v>
      </c>
      <c r="E24" s="55">
        <v>-13.975956</v>
      </c>
      <c r="F24" s="6" t="s">
        <v>16</v>
      </c>
      <c r="G24" s="52"/>
      <c r="K24" s="52"/>
      <c r="L24" s="52">
        <f t="shared" si="1"/>
        <v>0</v>
      </c>
      <c r="M24" s="52">
        <f t="shared" si="2"/>
        <v>0</v>
      </c>
      <c r="N24" s="52">
        <f t="shared" si="3"/>
        <v>0</v>
      </c>
      <c r="O24" s="73"/>
      <c r="P24" s="73"/>
      <c r="Q24" s="73"/>
    </row>
    <row r="25" spans="1:17" x14ac:dyDescent="0.25">
      <c r="A25" s="21" t="s">
        <v>178</v>
      </c>
      <c r="B25" s="22" t="s">
        <v>78</v>
      </c>
      <c r="C25" s="54">
        <v>14.319395093699191</v>
      </c>
      <c r="D25" s="54">
        <v>-161.13051469999999</v>
      </c>
      <c r="E25" s="54">
        <v>-6.1155210000000002</v>
      </c>
      <c r="F25" s="8" t="s">
        <v>17</v>
      </c>
      <c r="G25" s="52"/>
      <c r="K25" s="52"/>
      <c r="L25" s="52">
        <f t="shared" si="1"/>
        <v>0</v>
      </c>
      <c r="M25" s="52">
        <f t="shared" si="2"/>
        <v>0</v>
      </c>
      <c r="N25" s="52">
        <f t="shared" si="3"/>
        <v>0</v>
      </c>
      <c r="O25" s="73"/>
      <c r="P25" s="73"/>
      <c r="Q25" s="73"/>
    </row>
    <row r="26" spans="1:17" x14ac:dyDescent="0.25">
      <c r="A26" s="5" t="s">
        <v>179</v>
      </c>
      <c r="B26" s="7" t="s">
        <v>55</v>
      </c>
      <c r="C26" s="55">
        <v>13.97754238231388</v>
      </c>
      <c r="D26" s="55">
        <v>18.27582852630001</v>
      </c>
      <c r="E26" s="55">
        <v>-26.964880317200002</v>
      </c>
      <c r="F26" s="6" t="s">
        <v>16</v>
      </c>
      <c r="G26" s="52"/>
      <c r="K26" s="52"/>
      <c r="L26" s="52">
        <f t="shared" si="1"/>
        <v>0</v>
      </c>
      <c r="M26" s="52">
        <f t="shared" si="2"/>
        <v>0</v>
      </c>
      <c r="N26" s="52">
        <f t="shared" si="3"/>
        <v>0</v>
      </c>
      <c r="O26" s="73"/>
      <c r="P26" s="73"/>
      <c r="Q26" s="73"/>
    </row>
    <row r="27" spans="1:17" x14ac:dyDescent="0.25">
      <c r="A27" s="21" t="s">
        <v>169</v>
      </c>
      <c r="B27" s="22" t="s">
        <v>74</v>
      </c>
      <c r="C27" s="54">
        <v>13.88260486977642</v>
      </c>
      <c r="D27" s="54">
        <v>-147.45546300000001</v>
      </c>
      <c r="E27" s="54">
        <v>-19.615496</v>
      </c>
      <c r="F27" s="8" t="s">
        <v>17</v>
      </c>
      <c r="G27" s="52"/>
      <c r="K27" s="52"/>
      <c r="L27" s="52">
        <f t="shared" si="1"/>
        <v>0</v>
      </c>
      <c r="M27" s="52">
        <f t="shared" si="2"/>
        <v>0</v>
      </c>
      <c r="N27" s="52">
        <f t="shared" si="3"/>
        <v>0</v>
      </c>
      <c r="O27" s="73"/>
      <c r="P27" s="73"/>
      <c r="Q27" s="73"/>
    </row>
    <row r="28" spans="1:17" x14ac:dyDescent="0.25">
      <c r="A28" s="5" t="s">
        <v>165</v>
      </c>
      <c r="B28" s="7" t="s">
        <v>76</v>
      </c>
      <c r="C28" s="55">
        <v>13.128429137723581</v>
      </c>
      <c r="D28" s="55">
        <v>20.038695000000001</v>
      </c>
      <c r="E28" s="55">
        <v>-5.1370969999999998</v>
      </c>
      <c r="F28" s="6" t="s">
        <v>17</v>
      </c>
      <c r="G28" s="52"/>
      <c r="K28" s="52"/>
      <c r="L28" s="52">
        <f t="shared" si="1"/>
        <v>0</v>
      </c>
      <c r="M28" s="52">
        <f t="shared" si="2"/>
        <v>0</v>
      </c>
      <c r="N28" s="52">
        <f t="shared" si="3"/>
        <v>0</v>
      </c>
      <c r="O28" s="73"/>
      <c r="P28" s="73"/>
      <c r="Q28" s="73"/>
    </row>
    <row r="29" spans="1:17" x14ac:dyDescent="0.25">
      <c r="A29" s="21" t="s">
        <v>180</v>
      </c>
      <c r="B29" s="22" t="s">
        <v>88</v>
      </c>
      <c r="C29" s="54">
        <v>10.30889298089431</v>
      </c>
      <c r="D29" s="54">
        <v>114.390157</v>
      </c>
      <c r="E29" s="54">
        <v>-4.7249379999999999</v>
      </c>
      <c r="F29" s="8" t="s">
        <v>17</v>
      </c>
      <c r="G29" s="52"/>
      <c r="K29" s="52"/>
      <c r="L29" s="52">
        <f t="shared" si="1"/>
        <v>0</v>
      </c>
      <c r="M29" s="52">
        <f t="shared" si="2"/>
        <v>0</v>
      </c>
      <c r="N29" s="52">
        <f t="shared" si="3"/>
        <v>0</v>
      </c>
      <c r="O29" s="73"/>
      <c r="P29" s="73"/>
      <c r="Q29" s="73"/>
    </row>
    <row r="30" spans="1:17" x14ac:dyDescent="0.25">
      <c r="A30" s="5" t="s">
        <v>175</v>
      </c>
      <c r="B30" s="7" t="s">
        <v>43</v>
      </c>
      <c r="C30" s="55">
        <v>9.7123480904308934</v>
      </c>
      <c r="D30" s="55">
        <v>36.984555180000001</v>
      </c>
      <c r="E30" s="55">
        <v>-0.90817499999999995</v>
      </c>
      <c r="F30" s="6" t="s">
        <v>155</v>
      </c>
      <c r="G30" s="52"/>
      <c r="K30" s="52"/>
      <c r="L30" s="52">
        <f t="shared" si="1"/>
        <v>0</v>
      </c>
      <c r="M30" s="52">
        <f t="shared" si="2"/>
        <v>0</v>
      </c>
      <c r="N30" s="52">
        <f t="shared" si="3"/>
        <v>0</v>
      </c>
      <c r="O30" s="73"/>
      <c r="P30" s="73"/>
      <c r="Q30" s="73"/>
    </row>
    <row r="31" spans="1:17" x14ac:dyDescent="0.25">
      <c r="A31" s="21" t="s">
        <v>173</v>
      </c>
      <c r="B31" s="22" t="s">
        <v>59</v>
      </c>
      <c r="C31" s="54">
        <v>9.4793674575609757</v>
      </c>
      <c r="D31" s="54">
        <v>-134.948193</v>
      </c>
      <c r="E31" s="54">
        <v>-6.0301840000000002</v>
      </c>
      <c r="F31" s="8" t="s">
        <v>16</v>
      </c>
      <c r="G31" s="52"/>
      <c r="K31" s="52"/>
      <c r="L31" s="52">
        <f t="shared" si="1"/>
        <v>0</v>
      </c>
      <c r="M31" s="52">
        <f t="shared" si="2"/>
        <v>0</v>
      </c>
      <c r="N31" s="52">
        <f t="shared" si="3"/>
        <v>0</v>
      </c>
      <c r="O31" s="73"/>
      <c r="P31" s="73"/>
      <c r="Q31" s="73"/>
    </row>
    <row r="32" spans="1:17" x14ac:dyDescent="0.25">
      <c r="A32" s="5" t="s">
        <v>136</v>
      </c>
      <c r="B32" s="7" t="s">
        <v>104</v>
      </c>
      <c r="C32" s="55">
        <v>8.1936305020325211</v>
      </c>
      <c r="D32" s="55">
        <v>116.68302199999999</v>
      </c>
      <c r="E32" s="55">
        <v>-1.3474950000000001</v>
      </c>
      <c r="F32" s="6" t="s">
        <v>14</v>
      </c>
      <c r="G32" s="52"/>
      <c r="K32" s="52"/>
      <c r="L32" s="52">
        <f t="shared" si="1"/>
        <v>0</v>
      </c>
      <c r="M32" s="52">
        <f t="shared" si="2"/>
        <v>0</v>
      </c>
      <c r="N32" s="52">
        <f t="shared" si="3"/>
        <v>0</v>
      </c>
      <c r="O32" s="73"/>
      <c r="P32" s="73"/>
      <c r="Q32" s="73"/>
    </row>
    <row r="33" spans="1:17" x14ac:dyDescent="0.25">
      <c r="A33" s="21" t="s">
        <v>177</v>
      </c>
      <c r="B33" s="22" t="s">
        <v>107</v>
      </c>
      <c r="C33" s="54">
        <v>7.9556108426829271</v>
      </c>
      <c r="D33" s="54">
        <v>-70.104737499999999</v>
      </c>
      <c r="E33" s="54">
        <v>-2.3956659999999999</v>
      </c>
      <c r="F33" s="8" t="s">
        <v>17</v>
      </c>
      <c r="G33" s="52"/>
      <c r="K33" s="52"/>
      <c r="L33" s="52">
        <f t="shared" si="1"/>
        <v>0</v>
      </c>
      <c r="M33" s="52">
        <f t="shared" si="2"/>
        <v>0</v>
      </c>
      <c r="N33" s="52">
        <f t="shared" si="3"/>
        <v>0</v>
      </c>
      <c r="O33" s="73"/>
      <c r="P33" s="73"/>
      <c r="Q33" s="73"/>
    </row>
    <row r="34" spans="1:17" x14ac:dyDescent="0.25">
      <c r="A34" s="5" t="s">
        <v>176</v>
      </c>
      <c r="B34" s="7" t="s">
        <v>100</v>
      </c>
      <c r="C34" s="55">
        <v>6.7290077581382111</v>
      </c>
      <c r="D34" s="55">
        <v>-42.011201299999996</v>
      </c>
      <c r="E34" s="55">
        <v>-3.2472910000000001</v>
      </c>
      <c r="F34" s="6" t="s">
        <v>17</v>
      </c>
      <c r="G34" s="52"/>
      <c r="K34" s="52"/>
      <c r="L34" s="52">
        <f t="shared" si="1"/>
        <v>0</v>
      </c>
      <c r="M34" s="52">
        <f t="shared" si="2"/>
        <v>0</v>
      </c>
      <c r="N34" s="52">
        <f t="shared" si="3"/>
        <v>0</v>
      </c>
      <c r="O34" s="73"/>
      <c r="P34" s="73"/>
      <c r="Q34" s="73"/>
    </row>
    <row r="35" spans="1:17" x14ac:dyDescent="0.25">
      <c r="A35" s="21" t="s">
        <v>182</v>
      </c>
      <c r="B35" s="22" t="s">
        <v>91</v>
      </c>
      <c r="C35" s="54">
        <v>5.9620741527439032</v>
      </c>
      <c r="D35" s="54">
        <v>-100.33502774999999</v>
      </c>
      <c r="E35" s="54">
        <v>-4.1149475000000004</v>
      </c>
      <c r="F35" s="8" t="s">
        <v>17</v>
      </c>
      <c r="G35" s="52"/>
      <c r="K35" s="52"/>
      <c r="L35" s="52">
        <f t="shared" si="1"/>
        <v>0</v>
      </c>
      <c r="M35" s="52">
        <f t="shared" si="2"/>
        <v>0</v>
      </c>
      <c r="N35" s="52">
        <f t="shared" si="3"/>
        <v>0</v>
      </c>
      <c r="O35" s="73"/>
      <c r="P35" s="73"/>
      <c r="Q35" s="73"/>
    </row>
    <row r="36" spans="1:17" x14ac:dyDescent="0.25">
      <c r="A36" s="5" t="s">
        <v>183</v>
      </c>
      <c r="B36" s="7" t="s">
        <v>108</v>
      </c>
      <c r="C36" s="55">
        <v>5.4571070800813004</v>
      </c>
      <c r="D36" s="55">
        <v>-19.555865000000001</v>
      </c>
      <c r="E36" s="55">
        <v>-3.4913810000000001</v>
      </c>
      <c r="F36" s="6" t="s">
        <v>155</v>
      </c>
      <c r="G36" s="52"/>
      <c r="K36" s="52"/>
      <c r="L36" s="52">
        <f t="shared" si="1"/>
        <v>0</v>
      </c>
      <c r="M36" s="52">
        <f t="shared" si="2"/>
        <v>0</v>
      </c>
      <c r="N36" s="52">
        <f t="shared" si="3"/>
        <v>0</v>
      </c>
      <c r="O36" s="73"/>
      <c r="P36" s="73"/>
      <c r="Q36" s="73"/>
    </row>
    <row r="37" spans="1:17" x14ac:dyDescent="0.25">
      <c r="A37" s="21" t="s">
        <v>181</v>
      </c>
      <c r="B37" s="22" t="s">
        <v>89</v>
      </c>
      <c r="C37" s="54">
        <v>4.8890166790833334</v>
      </c>
      <c r="D37" s="54">
        <v>-116.05012122400001</v>
      </c>
      <c r="E37" s="54">
        <v>-4.9024229999999998</v>
      </c>
      <c r="F37" s="8" t="s">
        <v>155</v>
      </c>
      <c r="G37" s="52"/>
      <c r="K37" s="52"/>
      <c r="L37" s="52">
        <f t="shared" si="1"/>
        <v>0</v>
      </c>
      <c r="M37" s="52">
        <f t="shared" si="2"/>
        <v>0</v>
      </c>
      <c r="N37" s="52">
        <f t="shared" si="3"/>
        <v>0</v>
      </c>
      <c r="O37" s="73"/>
      <c r="P37" s="73"/>
      <c r="Q37" s="73"/>
    </row>
    <row r="38" spans="1:17" x14ac:dyDescent="0.25">
      <c r="A38" s="5" t="s">
        <v>264</v>
      </c>
      <c r="B38" s="7" t="s">
        <v>261</v>
      </c>
      <c r="C38" s="55">
        <v>4.6955147482520321</v>
      </c>
      <c r="D38" s="55">
        <v>60.918579000000001</v>
      </c>
      <c r="E38" s="55">
        <v>0</v>
      </c>
      <c r="F38" s="6" t="s">
        <v>156</v>
      </c>
      <c r="G38" s="52"/>
      <c r="K38" s="52"/>
      <c r="L38" s="52">
        <f t="shared" si="1"/>
        <v>0</v>
      </c>
      <c r="M38" s="52">
        <f t="shared" si="2"/>
        <v>0</v>
      </c>
      <c r="N38" s="52">
        <f t="shared" si="3"/>
        <v>0</v>
      </c>
      <c r="O38" s="73"/>
      <c r="P38" s="73"/>
      <c r="Q38" s="73"/>
    </row>
    <row r="39" spans="1:17" x14ac:dyDescent="0.25">
      <c r="A39" s="21" t="s">
        <v>184</v>
      </c>
      <c r="B39" s="22" t="s">
        <v>241</v>
      </c>
      <c r="C39" s="54">
        <v>4.5128896146341466</v>
      </c>
      <c r="D39" s="54">
        <v>-61.496524000000001</v>
      </c>
      <c r="E39" s="54">
        <v>-3.4039195000000002</v>
      </c>
      <c r="F39" s="8" t="s">
        <v>155</v>
      </c>
      <c r="G39" s="52"/>
      <c r="K39" s="52"/>
      <c r="L39" s="52">
        <f t="shared" si="1"/>
        <v>0</v>
      </c>
      <c r="M39" s="52">
        <f t="shared" si="2"/>
        <v>0</v>
      </c>
      <c r="N39" s="52">
        <f t="shared" si="3"/>
        <v>0</v>
      </c>
      <c r="O39" s="73"/>
      <c r="P39" s="73"/>
      <c r="Q39" s="73"/>
    </row>
    <row r="40" spans="1:17" x14ac:dyDescent="0.25">
      <c r="A40" s="5" t="s">
        <v>187</v>
      </c>
      <c r="B40" s="7" t="s">
        <v>121</v>
      </c>
      <c r="C40" s="55">
        <v>4.0555177823170743</v>
      </c>
      <c r="D40" s="55">
        <v>44.977432</v>
      </c>
      <c r="E40" s="55">
        <v>-0.76674399999999998</v>
      </c>
      <c r="F40" s="6" t="s">
        <v>155</v>
      </c>
      <c r="G40" s="52"/>
      <c r="K40" s="52"/>
      <c r="L40" s="52">
        <f t="shared" si="1"/>
        <v>0</v>
      </c>
      <c r="M40" s="52">
        <f t="shared" si="2"/>
        <v>0</v>
      </c>
      <c r="N40" s="52">
        <f t="shared" si="3"/>
        <v>0</v>
      </c>
      <c r="O40" s="73"/>
      <c r="P40" s="73"/>
      <c r="Q40" s="73"/>
    </row>
    <row r="41" spans="1:17" x14ac:dyDescent="0.25">
      <c r="A41" s="21" t="s">
        <v>189</v>
      </c>
      <c r="B41" s="22" t="s">
        <v>113</v>
      </c>
      <c r="C41" s="54">
        <v>3.6934828517886182</v>
      </c>
      <c r="D41" s="54">
        <v>-37.240174799999998</v>
      </c>
      <c r="E41" s="54">
        <v>-2.4839764999999998</v>
      </c>
      <c r="F41" s="8" t="s">
        <v>154</v>
      </c>
      <c r="G41" s="52"/>
      <c r="K41" s="52"/>
      <c r="L41" s="52">
        <f t="shared" si="1"/>
        <v>0</v>
      </c>
      <c r="M41" s="52">
        <f t="shared" si="2"/>
        <v>0</v>
      </c>
      <c r="N41" s="52">
        <f t="shared" si="3"/>
        <v>0</v>
      </c>
      <c r="O41" s="73"/>
      <c r="P41" s="73"/>
      <c r="Q41" s="73"/>
    </row>
    <row r="42" spans="1:17" x14ac:dyDescent="0.25">
      <c r="A42" s="5" t="s">
        <v>200</v>
      </c>
      <c r="B42" s="7" t="s">
        <v>106</v>
      </c>
      <c r="C42" s="55">
        <v>3.4270475160162599</v>
      </c>
      <c r="D42" s="55">
        <v>-65.225896000000006</v>
      </c>
      <c r="E42" s="55">
        <v>-19.710973500000001</v>
      </c>
      <c r="F42" s="6" t="s">
        <v>11</v>
      </c>
      <c r="G42" s="52"/>
      <c r="K42" s="52"/>
      <c r="L42" s="52">
        <f t="shared" si="1"/>
        <v>0</v>
      </c>
      <c r="M42" s="52">
        <f t="shared" si="2"/>
        <v>0</v>
      </c>
      <c r="N42" s="52">
        <f t="shared" si="3"/>
        <v>0</v>
      </c>
      <c r="O42" s="73"/>
      <c r="P42" s="73"/>
      <c r="Q42" s="73"/>
    </row>
    <row r="43" spans="1:17" x14ac:dyDescent="0.25">
      <c r="A43" s="21" t="s">
        <v>260</v>
      </c>
      <c r="B43" s="22" t="s">
        <v>101</v>
      </c>
      <c r="C43" s="54">
        <v>3.3523482126829269</v>
      </c>
      <c r="D43" s="54">
        <v>-21.227871499999999</v>
      </c>
      <c r="E43" s="54">
        <v>1.2667124999999999</v>
      </c>
      <c r="F43" s="8" t="s">
        <v>17</v>
      </c>
      <c r="G43" s="52"/>
      <c r="K43" s="52"/>
      <c r="L43" s="52">
        <f t="shared" si="1"/>
        <v>0</v>
      </c>
      <c r="M43" s="52">
        <f t="shared" si="2"/>
        <v>0</v>
      </c>
      <c r="N43" s="52">
        <f t="shared" si="3"/>
        <v>0</v>
      </c>
      <c r="O43" s="73"/>
      <c r="P43" s="73"/>
      <c r="Q43" s="73"/>
    </row>
    <row r="44" spans="1:17" x14ac:dyDescent="0.25">
      <c r="A44" s="5" t="s">
        <v>188</v>
      </c>
      <c r="B44" s="7" t="s">
        <v>109</v>
      </c>
      <c r="C44" s="55">
        <v>3.0310552813008131</v>
      </c>
      <c r="D44" s="55">
        <v>-19.475804499999999</v>
      </c>
      <c r="E44" s="55">
        <v>-5.1295E-2</v>
      </c>
      <c r="F44" s="6" t="s">
        <v>155</v>
      </c>
      <c r="G44" s="52"/>
      <c r="K44" s="52"/>
      <c r="L44" s="52">
        <f t="shared" si="1"/>
        <v>0</v>
      </c>
      <c r="M44" s="52">
        <f t="shared" si="2"/>
        <v>0</v>
      </c>
      <c r="N44" s="52">
        <f t="shared" si="3"/>
        <v>0</v>
      </c>
      <c r="O44" s="73"/>
      <c r="P44" s="73"/>
      <c r="Q44" s="73"/>
    </row>
    <row r="45" spans="1:17" x14ac:dyDescent="0.25">
      <c r="A45" s="21" t="s">
        <v>199</v>
      </c>
      <c r="B45" s="22" t="s">
        <v>102</v>
      </c>
      <c r="C45" s="54">
        <v>2.9281360173577227</v>
      </c>
      <c r="D45" s="54">
        <v>-45.031673099999999</v>
      </c>
      <c r="E45" s="54">
        <v>0.9661845</v>
      </c>
      <c r="F45" s="8" t="s">
        <v>15</v>
      </c>
      <c r="G45" s="52"/>
      <c r="K45" s="52"/>
      <c r="L45" s="52">
        <f t="shared" si="1"/>
        <v>0</v>
      </c>
      <c r="M45" s="52">
        <f t="shared" si="2"/>
        <v>0</v>
      </c>
      <c r="N45" s="52">
        <f t="shared" si="3"/>
        <v>0</v>
      </c>
      <c r="O45" s="73"/>
      <c r="P45" s="73"/>
      <c r="Q45" s="73"/>
    </row>
    <row r="46" spans="1:17" x14ac:dyDescent="0.25">
      <c r="A46" s="5" t="s">
        <v>219</v>
      </c>
      <c r="B46" s="7" t="s">
        <v>130</v>
      </c>
      <c r="C46" s="55">
        <v>2.79560219593496</v>
      </c>
      <c r="D46" s="55">
        <v>7.6449600000000011</v>
      </c>
      <c r="E46" s="55">
        <v>-2.9140085</v>
      </c>
      <c r="F46" s="6" t="s">
        <v>14</v>
      </c>
      <c r="G46" s="52"/>
      <c r="K46" s="52"/>
      <c r="L46" s="52">
        <f t="shared" si="1"/>
        <v>0</v>
      </c>
      <c r="M46" s="52">
        <f t="shared" si="2"/>
        <v>0</v>
      </c>
      <c r="N46" s="52">
        <f t="shared" si="3"/>
        <v>0</v>
      </c>
      <c r="O46" s="73"/>
      <c r="P46" s="73"/>
      <c r="Q46" s="73"/>
    </row>
    <row r="47" spans="1:17" x14ac:dyDescent="0.25">
      <c r="A47" s="21" t="s">
        <v>197</v>
      </c>
      <c r="B47" s="22" t="s">
        <v>119</v>
      </c>
      <c r="C47" s="54">
        <v>2.7624041333333329</v>
      </c>
      <c r="D47" s="54">
        <v>-45.289687000000001</v>
      </c>
      <c r="E47" s="54">
        <v>-1.430393</v>
      </c>
      <c r="F47" s="8" t="s">
        <v>17</v>
      </c>
      <c r="G47" s="52"/>
      <c r="K47" s="52"/>
      <c r="L47" s="52">
        <f t="shared" si="1"/>
        <v>0</v>
      </c>
      <c r="M47" s="52">
        <f t="shared" si="2"/>
        <v>0</v>
      </c>
      <c r="N47" s="52">
        <f t="shared" si="3"/>
        <v>0</v>
      </c>
      <c r="O47" s="73"/>
      <c r="P47" s="73"/>
      <c r="Q47" s="73"/>
    </row>
    <row r="48" spans="1:17" x14ac:dyDescent="0.25">
      <c r="A48" s="5" t="s">
        <v>208</v>
      </c>
      <c r="B48" s="7" t="s">
        <v>127</v>
      </c>
      <c r="C48" s="55">
        <v>2.7360313228455277</v>
      </c>
      <c r="D48" s="55">
        <v>18.78566</v>
      </c>
      <c r="E48" s="55">
        <v>2.4373490000000002</v>
      </c>
      <c r="F48" s="6" t="s">
        <v>157</v>
      </c>
      <c r="G48" s="52"/>
      <c r="K48" s="52"/>
      <c r="L48" s="52">
        <f t="shared" si="1"/>
        <v>0</v>
      </c>
      <c r="M48" s="52">
        <f t="shared" si="2"/>
        <v>0</v>
      </c>
      <c r="N48" s="52">
        <f t="shared" si="3"/>
        <v>0</v>
      </c>
      <c r="O48" s="73"/>
      <c r="P48" s="73"/>
      <c r="Q48" s="73"/>
    </row>
    <row r="49" spans="1:17" x14ac:dyDescent="0.25">
      <c r="A49" s="21" t="s">
        <v>193</v>
      </c>
      <c r="B49" s="22" t="s">
        <v>105</v>
      </c>
      <c r="C49" s="54">
        <v>2.735666859065041</v>
      </c>
      <c r="D49" s="54">
        <v>-28.681147070000002</v>
      </c>
      <c r="E49" s="54">
        <v>-1.7842255</v>
      </c>
      <c r="F49" s="8" t="s">
        <v>17</v>
      </c>
      <c r="G49" s="52"/>
      <c r="K49" s="52"/>
      <c r="L49" s="52">
        <f t="shared" si="1"/>
        <v>0</v>
      </c>
      <c r="M49" s="52">
        <f t="shared" si="2"/>
        <v>0</v>
      </c>
      <c r="N49" s="52">
        <f t="shared" si="3"/>
        <v>0</v>
      </c>
      <c r="O49" s="73"/>
      <c r="P49" s="73"/>
      <c r="Q49" s="73"/>
    </row>
    <row r="50" spans="1:17" x14ac:dyDescent="0.25">
      <c r="A50" s="5" t="s">
        <v>209</v>
      </c>
      <c r="B50" s="7" t="s">
        <v>129</v>
      </c>
      <c r="C50" s="55">
        <v>2.7274812808536582</v>
      </c>
      <c r="D50" s="55">
        <v>-4.7143625</v>
      </c>
      <c r="E50" s="55">
        <v>-1.2114294999999999</v>
      </c>
      <c r="F50" s="6" t="s">
        <v>16</v>
      </c>
      <c r="G50" s="52"/>
      <c r="K50" s="52"/>
      <c r="L50" s="52">
        <f t="shared" si="1"/>
        <v>0</v>
      </c>
      <c r="M50" s="52">
        <f t="shared" si="2"/>
        <v>0</v>
      </c>
      <c r="N50" s="52">
        <f t="shared" si="3"/>
        <v>0</v>
      </c>
      <c r="O50" s="73"/>
      <c r="P50" s="73"/>
      <c r="Q50" s="73"/>
    </row>
    <row r="51" spans="1:17" x14ac:dyDescent="0.25">
      <c r="A51" s="21" t="s">
        <v>190</v>
      </c>
      <c r="B51" s="22" t="s">
        <v>95</v>
      </c>
      <c r="C51" s="54">
        <v>2.480818255020325</v>
      </c>
      <c r="D51" s="54">
        <v>-58.851490299999995</v>
      </c>
      <c r="E51" s="54">
        <v>-1.3775685</v>
      </c>
      <c r="F51" s="8" t="s">
        <v>17</v>
      </c>
      <c r="G51" s="52"/>
      <c r="K51" s="52"/>
      <c r="L51" s="52">
        <f t="shared" si="1"/>
        <v>0</v>
      </c>
      <c r="M51" s="52">
        <f t="shared" si="2"/>
        <v>0</v>
      </c>
      <c r="N51" s="52">
        <f t="shared" si="3"/>
        <v>0</v>
      </c>
      <c r="O51" s="73"/>
      <c r="P51" s="73"/>
      <c r="Q51" s="73"/>
    </row>
    <row r="52" spans="1:17" x14ac:dyDescent="0.25">
      <c r="A52" s="5" t="s">
        <v>202</v>
      </c>
      <c r="B52" s="7" t="s">
        <v>90</v>
      </c>
      <c r="C52" s="55">
        <v>2.4517312349593499</v>
      </c>
      <c r="D52" s="55">
        <v>-14.792256999999999</v>
      </c>
      <c r="E52" s="55">
        <v>-0.57216599999999995</v>
      </c>
      <c r="F52" s="6" t="s">
        <v>11</v>
      </c>
      <c r="G52" s="52"/>
      <c r="K52" s="52"/>
      <c r="L52" s="52">
        <f t="shared" si="1"/>
        <v>0</v>
      </c>
      <c r="M52" s="52">
        <f t="shared" si="2"/>
        <v>0</v>
      </c>
      <c r="N52" s="52">
        <f t="shared" si="3"/>
        <v>0</v>
      </c>
      <c r="O52" s="73"/>
      <c r="P52" s="73"/>
      <c r="Q52" s="73"/>
    </row>
    <row r="53" spans="1:17" x14ac:dyDescent="0.25">
      <c r="A53" s="21" t="s">
        <v>198</v>
      </c>
      <c r="B53" s="22" t="s">
        <v>57</v>
      </c>
      <c r="C53" s="54">
        <v>2.4428634421106912</v>
      </c>
      <c r="D53" s="54">
        <v>-8.4200653004999992</v>
      </c>
      <c r="E53" s="54">
        <v>0.24756479449999999</v>
      </c>
      <c r="F53" s="8" t="s">
        <v>11</v>
      </c>
      <c r="G53" s="52"/>
      <c r="K53" s="52"/>
      <c r="L53" s="52">
        <f t="shared" si="1"/>
        <v>0</v>
      </c>
      <c r="M53" s="52">
        <f t="shared" si="2"/>
        <v>0</v>
      </c>
      <c r="N53" s="52">
        <f t="shared" si="3"/>
        <v>0</v>
      </c>
      <c r="O53" s="73"/>
      <c r="P53" s="73"/>
      <c r="Q53" s="73"/>
    </row>
    <row r="54" spans="1:17" x14ac:dyDescent="0.25">
      <c r="A54" s="5" t="s">
        <v>204</v>
      </c>
      <c r="B54" s="7" t="s">
        <v>110</v>
      </c>
      <c r="C54" s="55">
        <v>2.4192007061788621</v>
      </c>
      <c r="D54" s="55">
        <v>30.792974999999998</v>
      </c>
      <c r="E54" s="55">
        <v>7.2856500000000005E-2</v>
      </c>
      <c r="F54" s="6" t="s">
        <v>13</v>
      </c>
      <c r="G54" s="52"/>
      <c r="K54" s="52"/>
      <c r="L54" s="52">
        <f t="shared" si="1"/>
        <v>0</v>
      </c>
      <c r="M54" s="52">
        <f t="shared" si="2"/>
        <v>0</v>
      </c>
      <c r="N54" s="52">
        <f t="shared" si="3"/>
        <v>0</v>
      </c>
      <c r="O54" s="73"/>
      <c r="P54" s="73"/>
      <c r="Q54" s="73"/>
    </row>
    <row r="55" spans="1:17" x14ac:dyDescent="0.25">
      <c r="A55" s="21" t="s">
        <v>201</v>
      </c>
      <c r="B55" s="22" t="s">
        <v>116</v>
      </c>
      <c r="C55" s="54">
        <v>2.4063541963951622</v>
      </c>
      <c r="D55" s="54">
        <v>2.0670247933000008</v>
      </c>
      <c r="E55" s="54">
        <v>3.1712175838999999</v>
      </c>
      <c r="F55" s="8" t="s">
        <v>17</v>
      </c>
      <c r="G55" s="52"/>
      <c r="K55" s="52"/>
      <c r="L55" s="52">
        <f t="shared" si="1"/>
        <v>0</v>
      </c>
      <c r="M55" s="52">
        <f t="shared" si="2"/>
        <v>0</v>
      </c>
      <c r="N55" s="52">
        <f t="shared" si="3"/>
        <v>0</v>
      </c>
      <c r="O55" s="73"/>
      <c r="P55" s="73"/>
      <c r="Q55" s="73"/>
    </row>
    <row r="56" spans="1:17" x14ac:dyDescent="0.25">
      <c r="A56" s="5" t="s">
        <v>192</v>
      </c>
      <c r="B56" s="7" t="s">
        <v>115</v>
      </c>
      <c r="C56" s="55">
        <v>2.392974167857723</v>
      </c>
      <c r="D56" s="55">
        <v>-9.3330380000000002</v>
      </c>
      <c r="E56" s="55">
        <v>-0.42905899999999986</v>
      </c>
      <c r="F56" s="6" t="s">
        <v>17</v>
      </c>
      <c r="G56" s="52"/>
      <c r="K56" s="52"/>
      <c r="L56" s="52">
        <f t="shared" si="1"/>
        <v>0</v>
      </c>
      <c r="M56" s="52">
        <f t="shared" si="2"/>
        <v>0</v>
      </c>
      <c r="N56" s="52">
        <f t="shared" si="3"/>
        <v>0</v>
      </c>
      <c r="O56" s="73"/>
      <c r="P56" s="73"/>
      <c r="Q56" s="73"/>
    </row>
    <row r="57" spans="1:17" x14ac:dyDescent="0.25">
      <c r="A57" s="21" t="s">
        <v>186</v>
      </c>
      <c r="B57" s="22" t="s">
        <v>94</v>
      </c>
      <c r="C57" s="54">
        <v>2.290208388211382</v>
      </c>
      <c r="D57" s="54">
        <v>7.0235649999999996</v>
      </c>
      <c r="E57" s="54">
        <v>-0.158112</v>
      </c>
      <c r="F57" s="8" t="s">
        <v>14</v>
      </c>
      <c r="G57" s="52"/>
      <c r="K57" s="52"/>
      <c r="L57" s="52">
        <f t="shared" si="1"/>
        <v>0</v>
      </c>
      <c r="M57" s="52">
        <f t="shared" si="2"/>
        <v>0</v>
      </c>
      <c r="N57" s="52">
        <f t="shared" si="3"/>
        <v>0</v>
      </c>
      <c r="O57" s="73"/>
      <c r="P57" s="73"/>
      <c r="Q57" s="73"/>
    </row>
    <row r="58" spans="1:17" x14ac:dyDescent="0.25">
      <c r="A58" s="5" t="s">
        <v>185</v>
      </c>
      <c r="B58" s="7" t="s">
        <v>118</v>
      </c>
      <c r="C58" s="55">
        <v>2.0993364715447163</v>
      </c>
      <c r="D58" s="55">
        <v>-0.71561149999999973</v>
      </c>
      <c r="E58" s="55">
        <v>0.56989699999999999</v>
      </c>
      <c r="F58" s="6" t="s">
        <v>156</v>
      </c>
      <c r="G58" s="52"/>
      <c r="K58" s="52"/>
      <c r="L58" s="52">
        <f t="shared" si="1"/>
        <v>0</v>
      </c>
      <c r="M58" s="52">
        <f t="shared" si="2"/>
        <v>0</v>
      </c>
      <c r="N58" s="52">
        <f t="shared" si="3"/>
        <v>0</v>
      </c>
      <c r="O58" s="73"/>
      <c r="P58" s="73"/>
      <c r="Q58" s="73"/>
    </row>
    <row r="59" spans="1:17" x14ac:dyDescent="0.25">
      <c r="A59" s="21" t="s">
        <v>233</v>
      </c>
      <c r="B59" s="22" t="s">
        <v>148</v>
      </c>
      <c r="C59" s="54">
        <v>2.075102629569106</v>
      </c>
      <c r="D59" s="54">
        <v>-4.4319487999999998</v>
      </c>
      <c r="E59" s="54">
        <v>3.687599999999994E-3</v>
      </c>
      <c r="F59" s="8" t="s">
        <v>16</v>
      </c>
      <c r="G59" s="52"/>
      <c r="K59" s="52"/>
      <c r="L59" s="52">
        <f t="shared" si="1"/>
        <v>0</v>
      </c>
      <c r="M59" s="52">
        <f t="shared" si="2"/>
        <v>0</v>
      </c>
      <c r="N59" s="52">
        <f t="shared" si="3"/>
        <v>0</v>
      </c>
      <c r="O59" s="73"/>
      <c r="P59" s="73"/>
      <c r="Q59" s="73"/>
    </row>
    <row r="60" spans="1:17" x14ac:dyDescent="0.25">
      <c r="A60" s="5" t="s">
        <v>191</v>
      </c>
      <c r="B60" s="7" t="s">
        <v>103</v>
      </c>
      <c r="C60" s="55">
        <v>1.885024702845528</v>
      </c>
      <c r="D60" s="55">
        <v>-1.4588978000000001</v>
      </c>
      <c r="E60" s="55">
        <v>-6.7680399999999988E-2</v>
      </c>
      <c r="F60" s="6" t="s">
        <v>156</v>
      </c>
      <c r="G60" s="52"/>
      <c r="K60" s="52"/>
      <c r="L60" s="52">
        <f t="shared" si="1"/>
        <v>0</v>
      </c>
      <c r="M60" s="52">
        <f t="shared" si="2"/>
        <v>0</v>
      </c>
      <c r="N60" s="52">
        <f t="shared" si="3"/>
        <v>0</v>
      </c>
      <c r="O60" s="73"/>
      <c r="P60" s="73"/>
      <c r="Q60" s="73"/>
    </row>
    <row r="61" spans="1:17" x14ac:dyDescent="0.25">
      <c r="A61" s="21" t="s">
        <v>217</v>
      </c>
      <c r="B61" s="22" t="s">
        <v>96</v>
      </c>
      <c r="C61" s="54">
        <v>1.7862591999999999</v>
      </c>
      <c r="D61" s="54">
        <v>-7.3879735000000002</v>
      </c>
      <c r="E61" s="54">
        <v>0.74869200000000002</v>
      </c>
      <c r="F61" s="8" t="s">
        <v>11</v>
      </c>
      <c r="G61" s="52"/>
      <c r="K61" s="52"/>
      <c r="L61" s="52">
        <f t="shared" si="1"/>
        <v>0</v>
      </c>
      <c r="M61" s="52">
        <f t="shared" si="2"/>
        <v>0</v>
      </c>
      <c r="N61" s="52">
        <f t="shared" si="3"/>
        <v>0</v>
      </c>
      <c r="O61" s="73"/>
      <c r="P61" s="73"/>
      <c r="Q61" s="73"/>
    </row>
    <row r="62" spans="1:17" x14ac:dyDescent="0.25">
      <c r="A62" s="5" t="s">
        <v>195</v>
      </c>
      <c r="B62" s="7" t="s">
        <v>117</v>
      </c>
      <c r="C62" s="55">
        <v>1.755004412845528</v>
      </c>
      <c r="D62" s="55">
        <v>-48.312159999999999</v>
      </c>
      <c r="E62" s="55">
        <v>-2.2481550000000001</v>
      </c>
      <c r="F62" s="6" t="s">
        <v>17</v>
      </c>
      <c r="G62" s="52"/>
      <c r="K62" s="52"/>
      <c r="L62" s="52">
        <f t="shared" si="1"/>
        <v>0</v>
      </c>
      <c r="M62" s="52">
        <f t="shared" si="2"/>
        <v>0</v>
      </c>
      <c r="N62" s="52">
        <f t="shared" si="3"/>
        <v>0</v>
      </c>
      <c r="O62" s="73"/>
      <c r="P62" s="73"/>
      <c r="Q62" s="73"/>
    </row>
    <row r="63" spans="1:17" x14ac:dyDescent="0.25">
      <c r="A63" s="21" t="s">
        <v>216</v>
      </c>
      <c r="B63" s="22" t="s">
        <v>112</v>
      </c>
      <c r="C63" s="54">
        <v>1.7490419304878051</v>
      </c>
      <c r="D63" s="54">
        <v>-90.2651355</v>
      </c>
      <c r="E63" s="54">
        <v>-1.6462909999999999</v>
      </c>
      <c r="F63" s="8" t="s">
        <v>157</v>
      </c>
      <c r="G63" s="52"/>
      <c r="K63" s="52"/>
      <c r="L63" s="52">
        <f t="shared" si="1"/>
        <v>0</v>
      </c>
      <c r="M63" s="52">
        <f t="shared" si="2"/>
        <v>0</v>
      </c>
      <c r="N63" s="52">
        <f t="shared" si="3"/>
        <v>0</v>
      </c>
      <c r="O63" s="73"/>
      <c r="P63" s="73"/>
      <c r="Q63" s="73"/>
    </row>
    <row r="64" spans="1:17" x14ac:dyDescent="0.25">
      <c r="A64" s="5" t="s">
        <v>196</v>
      </c>
      <c r="B64" s="7" t="s">
        <v>114</v>
      </c>
      <c r="C64" s="55">
        <v>1.60756960987065</v>
      </c>
      <c r="D64" s="55">
        <v>-9.0530922346100002</v>
      </c>
      <c r="E64" s="55">
        <v>3.5935326580000003E-2</v>
      </c>
      <c r="F64" s="6" t="s">
        <v>10</v>
      </c>
      <c r="G64" s="52"/>
      <c r="K64" s="52"/>
      <c r="L64" s="52">
        <f t="shared" si="1"/>
        <v>0</v>
      </c>
      <c r="M64" s="52">
        <f t="shared" si="2"/>
        <v>0</v>
      </c>
      <c r="N64" s="52">
        <f t="shared" si="3"/>
        <v>0</v>
      </c>
      <c r="O64" s="73"/>
      <c r="P64" s="73"/>
      <c r="Q64" s="73"/>
    </row>
    <row r="65" spans="1:17" x14ac:dyDescent="0.25">
      <c r="A65" s="21" t="s">
        <v>206</v>
      </c>
      <c r="B65" s="22" t="s">
        <v>111</v>
      </c>
      <c r="C65" s="54">
        <v>1.5812616146341461</v>
      </c>
      <c r="D65" s="54">
        <v>1.6948970000000001</v>
      </c>
      <c r="E65" s="54">
        <v>-0.42361700000000002</v>
      </c>
      <c r="F65" s="8" t="s">
        <v>11</v>
      </c>
      <c r="G65" s="52"/>
      <c r="K65" s="52"/>
      <c r="L65" s="52">
        <f t="shared" si="1"/>
        <v>0</v>
      </c>
      <c r="M65" s="52">
        <f t="shared" si="2"/>
        <v>0</v>
      </c>
      <c r="N65" s="52">
        <f t="shared" si="3"/>
        <v>0</v>
      </c>
      <c r="O65" s="73"/>
      <c r="P65" s="73"/>
      <c r="Q65" s="73"/>
    </row>
    <row r="66" spans="1:17" x14ac:dyDescent="0.25">
      <c r="A66" s="5" t="s">
        <v>265</v>
      </c>
      <c r="B66" s="7" t="s">
        <v>262</v>
      </c>
      <c r="C66" s="55">
        <v>1.561721274390244</v>
      </c>
      <c r="D66" s="55">
        <v>55.098126999999998</v>
      </c>
      <c r="E66" s="55">
        <v>0</v>
      </c>
      <c r="F66" s="6" t="s">
        <v>13</v>
      </c>
      <c r="G66" s="52"/>
      <c r="K66" s="52"/>
      <c r="L66" s="52">
        <f t="shared" si="1"/>
        <v>0</v>
      </c>
      <c r="M66" s="52">
        <f t="shared" si="2"/>
        <v>0</v>
      </c>
      <c r="N66" s="52">
        <f t="shared" si="3"/>
        <v>0</v>
      </c>
      <c r="O66" s="73"/>
      <c r="P66" s="73"/>
      <c r="Q66" s="73"/>
    </row>
    <row r="67" spans="1:17" x14ac:dyDescent="0.25">
      <c r="A67" s="21" t="s">
        <v>222</v>
      </c>
      <c r="B67" s="22" t="s">
        <v>128</v>
      </c>
      <c r="C67" s="54">
        <v>1.2608251805291459</v>
      </c>
      <c r="D67" s="54">
        <v>-5.5819179810900001</v>
      </c>
      <c r="E67" s="54">
        <v>2.5300936634300002</v>
      </c>
      <c r="F67" s="8" t="s">
        <v>17</v>
      </c>
      <c r="G67" s="52"/>
      <c r="K67" s="52"/>
      <c r="L67" s="52">
        <f t="shared" ref="L67:L101" si="4">H67/1000000</f>
        <v>0</v>
      </c>
      <c r="M67" s="52">
        <f t="shared" ref="M67:M101" si="5">I67/1000000</f>
        <v>0</v>
      </c>
      <c r="N67" s="52">
        <f t="shared" ref="N67:N101" si="6">J67/1000000</f>
        <v>0</v>
      </c>
      <c r="O67" s="73"/>
      <c r="P67" s="73"/>
      <c r="Q67" s="73"/>
    </row>
    <row r="68" spans="1:17" x14ac:dyDescent="0.25">
      <c r="A68" s="5" t="s">
        <v>212</v>
      </c>
      <c r="B68" s="7" t="s">
        <v>125</v>
      </c>
      <c r="C68" s="55">
        <v>1.230919539186992</v>
      </c>
      <c r="D68" s="55">
        <v>-25.449681999999999</v>
      </c>
      <c r="E68" s="55">
        <v>-2.0895790000000001</v>
      </c>
      <c r="F68" s="6" t="s">
        <v>17</v>
      </c>
      <c r="G68" s="52"/>
      <c r="K68" s="52"/>
      <c r="L68" s="52">
        <f t="shared" si="4"/>
        <v>0</v>
      </c>
      <c r="M68" s="52">
        <f t="shared" si="5"/>
        <v>0</v>
      </c>
      <c r="N68" s="52">
        <f t="shared" si="6"/>
        <v>0</v>
      </c>
      <c r="O68" s="73"/>
      <c r="P68" s="73"/>
      <c r="Q68" s="73"/>
    </row>
    <row r="69" spans="1:17" x14ac:dyDescent="0.25">
      <c r="A69" s="21" t="s">
        <v>207</v>
      </c>
      <c r="B69" s="22" t="s">
        <v>126</v>
      </c>
      <c r="C69" s="54">
        <v>1.1682347662601629</v>
      </c>
      <c r="D69" s="54">
        <v>5.0545549999999997</v>
      </c>
      <c r="E69" s="54">
        <v>0.117215</v>
      </c>
      <c r="F69" s="8" t="s">
        <v>154</v>
      </c>
      <c r="G69" s="52"/>
      <c r="K69" s="52"/>
      <c r="L69" s="52">
        <f t="shared" si="4"/>
        <v>0</v>
      </c>
      <c r="M69" s="52">
        <f t="shared" si="5"/>
        <v>0</v>
      </c>
      <c r="N69" s="52">
        <f t="shared" si="6"/>
        <v>0</v>
      </c>
      <c r="O69" s="73"/>
      <c r="P69" s="73"/>
      <c r="Q69" s="73"/>
    </row>
    <row r="70" spans="1:17" x14ac:dyDescent="0.25">
      <c r="A70" s="5" t="s">
        <v>218</v>
      </c>
      <c r="B70" s="7" t="s">
        <v>123</v>
      </c>
      <c r="C70" s="55">
        <v>1.1576164857723581</v>
      </c>
      <c r="D70" s="55">
        <v>6.1574704999999996</v>
      </c>
      <c r="E70" s="55">
        <v>2.9849999999999999E-4</v>
      </c>
      <c r="F70" s="6" t="s">
        <v>157</v>
      </c>
      <c r="G70" s="52"/>
      <c r="K70" s="52"/>
      <c r="L70" s="52">
        <f t="shared" si="4"/>
        <v>0</v>
      </c>
      <c r="M70" s="52">
        <f t="shared" si="5"/>
        <v>0</v>
      </c>
      <c r="N70" s="52">
        <f t="shared" si="6"/>
        <v>0</v>
      </c>
      <c r="O70" s="73"/>
      <c r="P70" s="73"/>
      <c r="Q70" s="73"/>
    </row>
    <row r="71" spans="1:17" x14ac:dyDescent="0.25">
      <c r="A71" s="21" t="s">
        <v>211</v>
      </c>
      <c r="B71" s="22" t="s">
        <v>92</v>
      </c>
      <c r="C71" s="54">
        <v>1.1545315857365042</v>
      </c>
      <c r="D71" s="54">
        <v>-1.727183117459999</v>
      </c>
      <c r="E71" s="54">
        <v>2.0321778468899998</v>
      </c>
      <c r="F71" s="8" t="s">
        <v>14</v>
      </c>
      <c r="G71" s="52"/>
      <c r="K71" s="52"/>
      <c r="L71" s="52">
        <f t="shared" si="4"/>
        <v>0</v>
      </c>
      <c r="M71" s="52">
        <f t="shared" si="5"/>
        <v>0</v>
      </c>
      <c r="N71" s="52">
        <f t="shared" si="6"/>
        <v>0</v>
      </c>
      <c r="O71" s="73"/>
      <c r="P71" s="73"/>
      <c r="Q71" s="73"/>
    </row>
    <row r="72" spans="1:17" x14ac:dyDescent="0.25">
      <c r="A72" s="5" t="s">
        <v>255</v>
      </c>
      <c r="B72" s="7" t="s">
        <v>253</v>
      </c>
      <c r="C72" s="55">
        <v>1.1377567910569111</v>
      </c>
      <c r="D72" s="55">
        <v>12.833268199999999</v>
      </c>
      <c r="E72" s="55">
        <v>-3.5005605000000002</v>
      </c>
      <c r="F72" s="6" t="s">
        <v>14</v>
      </c>
      <c r="G72" s="52"/>
      <c r="K72" s="52"/>
      <c r="L72" s="52">
        <f t="shared" si="4"/>
        <v>0</v>
      </c>
      <c r="M72" s="52">
        <f t="shared" si="5"/>
        <v>0</v>
      </c>
      <c r="N72" s="52">
        <f t="shared" si="6"/>
        <v>0</v>
      </c>
      <c r="O72" s="73"/>
      <c r="P72" s="73"/>
      <c r="Q72" s="73"/>
    </row>
    <row r="73" spans="1:17" x14ac:dyDescent="0.25">
      <c r="A73" s="21" t="s">
        <v>194</v>
      </c>
      <c r="B73" s="22" t="s">
        <v>146</v>
      </c>
      <c r="C73" s="54">
        <v>1.0969135296747972</v>
      </c>
      <c r="D73" s="54">
        <v>-0.32400370000000017</v>
      </c>
      <c r="E73" s="54">
        <v>-9.5138900000000012E-2</v>
      </c>
      <c r="F73" s="8" t="s">
        <v>14</v>
      </c>
      <c r="G73" s="52"/>
      <c r="K73" s="52"/>
      <c r="L73" s="52">
        <f t="shared" si="4"/>
        <v>0</v>
      </c>
      <c r="M73" s="52">
        <f t="shared" si="5"/>
        <v>0</v>
      </c>
      <c r="N73" s="52">
        <f t="shared" si="6"/>
        <v>0</v>
      </c>
      <c r="O73" s="73"/>
      <c r="P73" s="73"/>
      <c r="Q73" s="73"/>
    </row>
    <row r="74" spans="1:17" x14ac:dyDescent="0.25">
      <c r="A74" s="5" t="s">
        <v>238</v>
      </c>
      <c r="B74" s="7" t="s">
        <v>239</v>
      </c>
      <c r="C74" s="55">
        <v>1.044337240243902</v>
      </c>
      <c r="D74" s="55">
        <v>3.5272855000000001</v>
      </c>
      <c r="E74" s="55">
        <v>-0.1012999</v>
      </c>
      <c r="F74" s="6" t="s">
        <v>156</v>
      </c>
      <c r="G74" s="52"/>
      <c r="K74" s="52"/>
      <c r="L74" s="52">
        <f t="shared" si="4"/>
        <v>0</v>
      </c>
      <c r="M74" s="52">
        <f t="shared" si="5"/>
        <v>0</v>
      </c>
      <c r="N74" s="52">
        <f t="shared" si="6"/>
        <v>0</v>
      </c>
      <c r="O74" s="73"/>
      <c r="P74" s="73"/>
      <c r="Q74" s="73"/>
    </row>
    <row r="75" spans="1:17" x14ac:dyDescent="0.25">
      <c r="A75" s="21" t="s">
        <v>226</v>
      </c>
      <c r="B75" s="22" t="s">
        <v>142</v>
      </c>
      <c r="C75" s="54">
        <v>1.015610755691057</v>
      </c>
      <c r="D75" s="54">
        <v>-11.385173</v>
      </c>
      <c r="E75" s="54">
        <v>-0.34357749999999998</v>
      </c>
      <c r="F75" s="8" t="s">
        <v>155</v>
      </c>
      <c r="G75" s="52"/>
      <c r="K75" s="52"/>
      <c r="L75" s="52">
        <f t="shared" si="4"/>
        <v>0</v>
      </c>
      <c r="M75" s="52">
        <f t="shared" si="5"/>
        <v>0</v>
      </c>
      <c r="N75" s="52">
        <f t="shared" si="6"/>
        <v>0</v>
      </c>
      <c r="O75" s="73"/>
      <c r="P75" s="73"/>
      <c r="Q75" s="73"/>
    </row>
    <row r="76" spans="1:17" x14ac:dyDescent="0.25">
      <c r="A76" s="5" t="s">
        <v>230</v>
      </c>
      <c r="B76" s="7" t="s">
        <v>144</v>
      </c>
      <c r="C76" s="55">
        <v>0.99791336432926836</v>
      </c>
      <c r="D76" s="55">
        <v>-0.959511</v>
      </c>
      <c r="E76" s="55">
        <v>-0.34733399999999998</v>
      </c>
      <c r="F76" s="6" t="s">
        <v>155</v>
      </c>
      <c r="G76" s="52"/>
      <c r="K76" s="52"/>
      <c r="L76" s="52">
        <f t="shared" si="4"/>
        <v>0</v>
      </c>
      <c r="M76" s="52">
        <f t="shared" si="5"/>
        <v>0</v>
      </c>
      <c r="N76" s="52">
        <f t="shared" si="6"/>
        <v>0</v>
      </c>
      <c r="O76" s="73"/>
      <c r="P76" s="73"/>
      <c r="Q76" s="73"/>
    </row>
    <row r="77" spans="1:17" x14ac:dyDescent="0.25">
      <c r="A77" s="21" t="s">
        <v>224</v>
      </c>
      <c r="B77" s="22" t="s">
        <v>124</v>
      </c>
      <c r="C77" s="54">
        <v>0.99712002016260159</v>
      </c>
      <c r="D77" s="54">
        <v>-2.8405445</v>
      </c>
      <c r="E77" s="54">
        <v>-0.96496999999999999</v>
      </c>
      <c r="F77" s="8" t="s">
        <v>17</v>
      </c>
      <c r="G77" s="52"/>
      <c r="K77" s="52"/>
      <c r="L77" s="52">
        <f t="shared" si="4"/>
        <v>0</v>
      </c>
      <c r="M77" s="52">
        <f t="shared" si="5"/>
        <v>0</v>
      </c>
      <c r="N77" s="52">
        <f t="shared" si="6"/>
        <v>0</v>
      </c>
      <c r="O77" s="73"/>
      <c r="P77" s="73"/>
      <c r="Q77" s="73"/>
    </row>
    <row r="78" spans="1:17" x14ac:dyDescent="0.25">
      <c r="A78" s="5" t="s">
        <v>214</v>
      </c>
      <c r="B78" s="7" t="s">
        <v>93</v>
      </c>
      <c r="C78" s="55">
        <v>0.97931004436138214</v>
      </c>
      <c r="D78" s="55">
        <v>-11.116128489560001</v>
      </c>
      <c r="E78" s="55">
        <v>-0.30103944555000001</v>
      </c>
      <c r="F78" s="6" t="s">
        <v>17</v>
      </c>
      <c r="G78" s="52"/>
      <c r="K78" s="52"/>
      <c r="L78" s="52">
        <f t="shared" si="4"/>
        <v>0</v>
      </c>
      <c r="M78" s="52">
        <f t="shared" si="5"/>
        <v>0</v>
      </c>
      <c r="N78" s="52">
        <f t="shared" si="6"/>
        <v>0</v>
      </c>
      <c r="O78" s="73"/>
      <c r="P78" s="73"/>
      <c r="Q78" s="73"/>
    </row>
    <row r="79" spans="1:17" x14ac:dyDescent="0.25">
      <c r="A79" s="21" t="s">
        <v>203</v>
      </c>
      <c r="B79" s="22" t="s">
        <v>140</v>
      </c>
      <c r="C79" s="54">
        <v>0.96582259756097555</v>
      </c>
      <c r="D79" s="54">
        <v>0.44072870000000003</v>
      </c>
      <c r="E79" s="54">
        <v>-0.1331552</v>
      </c>
      <c r="F79" s="8" t="s">
        <v>157</v>
      </c>
      <c r="G79" s="52"/>
      <c r="K79" s="52"/>
      <c r="L79" s="52">
        <f t="shared" si="4"/>
        <v>0</v>
      </c>
      <c r="M79" s="52">
        <f t="shared" si="5"/>
        <v>0</v>
      </c>
      <c r="N79" s="52">
        <f t="shared" si="6"/>
        <v>0</v>
      </c>
      <c r="O79" s="73"/>
      <c r="P79" s="73"/>
      <c r="Q79" s="73"/>
    </row>
    <row r="80" spans="1:17" x14ac:dyDescent="0.25">
      <c r="A80" s="5" t="s">
        <v>251</v>
      </c>
      <c r="B80" s="7" t="s">
        <v>252</v>
      </c>
      <c r="C80" s="55">
        <v>0.94562380386178857</v>
      </c>
      <c r="D80" s="55">
        <v>0.58508899999999997</v>
      </c>
      <c r="E80" s="55">
        <v>-6.9249999999999997E-4</v>
      </c>
      <c r="F80" s="6" t="s">
        <v>15</v>
      </c>
      <c r="G80" s="52"/>
      <c r="K80" s="52"/>
      <c r="L80" s="52">
        <f t="shared" si="4"/>
        <v>0</v>
      </c>
      <c r="M80" s="52">
        <f t="shared" si="5"/>
        <v>0</v>
      </c>
      <c r="N80" s="52">
        <f t="shared" si="6"/>
        <v>0</v>
      </c>
      <c r="O80" s="73"/>
      <c r="P80" s="73"/>
      <c r="Q80" s="73"/>
    </row>
    <row r="81" spans="1:17" x14ac:dyDescent="0.25">
      <c r="A81" s="21" t="s">
        <v>215</v>
      </c>
      <c r="B81" s="22" t="s">
        <v>135</v>
      </c>
      <c r="C81" s="54">
        <v>0.93145817169490241</v>
      </c>
      <c r="D81" s="54">
        <v>0.12877975177999909</v>
      </c>
      <c r="E81" s="54">
        <v>-0.71438474480000003</v>
      </c>
      <c r="F81" s="8" t="s">
        <v>17</v>
      </c>
      <c r="G81" s="52"/>
      <c r="K81" s="52"/>
      <c r="L81" s="52">
        <f t="shared" si="4"/>
        <v>0</v>
      </c>
      <c r="M81" s="52">
        <f t="shared" si="5"/>
        <v>0</v>
      </c>
      <c r="N81" s="52">
        <f t="shared" si="6"/>
        <v>0</v>
      </c>
      <c r="O81" s="73"/>
      <c r="P81" s="73"/>
      <c r="Q81" s="73"/>
    </row>
    <row r="82" spans="1:17" x14ac:dyDescent="0.25">
      <c r="A82" s="5" t="s">
        <v>229</v>
      </c>
      <c r="B82" s="7" t="s">
        <v>153</v>
      </c>
      <c r="C82" s="55">
        <v>0.8507323</v>
      </c>
      <c r="D82" s="55">
        <v>3.3383248999999999</v>
      </c>
      <c r="E82" s="55">
        <v>-1.3275299999999999E-2</v>
      </c>
      <c r="F82" s="6" t="s">
        <v>14</v>
      </c>
      <c r="G82" s="52"/>
      <c r="K82" s="52"/>
      <c r="L82" s="52">
        <f t="shared" si="4"/>
        <v>0</v>
      </c>
      <c r="M82" s="52">
        <f t="shared" si="5"/>
        <v>0</v>
      </c>
      <c r="N82" s="52">
        <f t="shared" si="6"/>
        <v>0</v>
      </c>
      <c r="O82" s="73"/>
      <c r="P82" s="73"/>
      <c r="Q82" s="73"/>
    </row>
    <row r="83" spans="1:17" x14ac:dyDescent="0.25">
      <c r="A83" s="21" t="s">
        <v>266</v>
      </c>
      <c r="B83" s="22" t="s">
        <v>263</v>
      </c>
      <c r="C83" s="54">
        <v>0.80573919308943087</v>
      </c>
      <c r="D83" s="54">
        <v>21.168229</v>
      </c>
      <c r="E83" s="54">
        <v>0</v>
      </c>
      <c r="F83" s="8" t="s">
        <v>155</v>
      </c>
      <c r="G83" s="52"/>
      <c r="K83" s="52"/>
      <c r="L83" s="52">
        <f t="shared" si="4"/>
        <v>0</v>
      </c>
      <c r="M83" s="52">
        <f t="shared" si="5"/>
        <v>0</v>
      </c>
      <c r="N83" s="52">
        <f t="shared" si="6"/>
        <v>0</v>
      </c>
      <c r="O83" s="73"/>
      <c r="P83" s="73"/>
      <c r="Q83" s="73"/>
    </row>
    <row r="84" spans="1:17" x14ac:dyDescent="0.25">
      <c r="A84" s="5" t="s">
        <v>227</v>
      </c>
      <c r="B84" s="7" t="s">
        <v>120</v>
      </c>
      <c r="C84" s="55">
        <v>0.79605782439024397</v>
      </c>
      <c r="D84" s="55">
        <v>-2.4980587000000001</v>
      </c>
      <c r="E84" s="55">
        <v>-0.24711460000000002</v>
      </c>
      <c r="F84" s="6" t="s">
        <v>156</v>
      </c>
      <c r="G84" s="52"/>
      <c r="K84" s="52"/>
      <c r="L84" s="52">
        <f t="shared" si="4"/>
        <v>0</v>
      </c>
      <c r="M84" s="52">
        <f t="shared" si="5"/>
        <v>0</v>
      </c>
      <c r="N84" s="52">
        <f t="shared" si="6"/>
        <v>0</v>
      </c>
      <c r="O84" s="73"/>
      <c r="P84" s="73"/>
      <c r="Q84" s="73"/>
    </row>
    <row r="85" spans="1:17" x14ac:dyDescent="0.25">
      <c r="A85" s="21" t="s">
        <v>223</v>
      </c>
      <c r="B85" s="22" t="s">
        <v>132</v>
      </c>
      <c r="C85" s="54">
        <v>0.76923189934959357</v>
      </c>
      <c r="D85" s="54">
        <v>-14.490712</v>
      </c>
      <c r="E85" s="54">
        <v>-1.853888</v>
      </c>
      <c r="F85" s="8" t="s">
        <v>17</v>
      </c>
      <c r="G85" s="52"/>
      <c r="K85" s="52"/>
      <c r="L85" s="52">
        <f t="shared" si="4"/>
        <v>0</v>
      </c>
      <c r="M85" s="52">
        <f t="shared" si="5"/>
        <v>0</v>
      </c>
      <c r="N85" s="52">
        <f t="shared" si="6"/>
        <v>0</v>
      </c>
      <c r="O85" s="73"/>
      <c r="P85" s="73"/>
      <c r="Q85" s="73"/>
    </row>
    <row r="86" spans="1:17" x14ac:dyDescent="0.25">
      <c r="A86" s="5" t="s">
        <v>213</v>
      </c>
      <c r="B86" s="7" t="s">
        <v>131</v>
      </c>
      <c r="C86" s="55">
        <v>0.76746729430894312</v>
      </c>
      <c r="D86" s="55">
        <v>-15.750173</v>
      </c>
      <c r="E86" s="55">
        <v>-2.2050204999999998</v>
      </c>
      <c r="F86" s="6" t="s">
        <v>17</v>
      </c>
      <c r="G86" s="52"/>
      <c r="K86" s="52"/>
      <c r="L86" s="52">
        <f t="shared" si="4"/>
        <v>0</v>
      </c>
      <c r="M86" s="52">
        <f t="shared" si="5"/>
        <v>0</v>
      </c>
      <c r="N86" s="52">
        <f t="shared" si="6"/>
        <v>0</v>
      </c>
      <c r="O86" s="73"/>
      <c r="P86" s="73"/>
      <c r="Q86" s="73"/>
    </row>
    <row r="87" spans="1:17" x14ac:dyDescent="0.25">
      <c r="A87" s="21" t="s">
        <v>231</v>
      </c>
      <c r="B87" s="22" t="s">
        <v>151</v>
      </c>
      <c r="C87" s="54">
        <v>0.7669086167479674</v>
      </c>
      <c r="D87" s="54">
        <v>-16.348192999999998</v>
      </c>
      <c r="E87" s="54">
        <v>-1.6009100000000001</v>
      </c>
      <c r="F87" s="8" t="s">
        <v>157</v>
      </c>
      <c r="G87" s="52"/>
      <c r="K87" s="52"/>
      <c r="L87" s="52">
        <f t="shared" si="4"/>
        <v>0</v>
      </c>
      <c r="M87" s="52">
        <f t="shared" si="5"/>
        <v>0</v>
      </c>
      <c r="N87" s="52">
        <f t="shared" si="6"/>
        <v>0</v>
      </c>
      <c r="O87" s="73"/>
      <c r="P87" s="73"/>
      <c r="Q87" s="73"/>
    </row>
    <row r="88" spans="1:17" x14ac:dyDescent="0.25">
      <c r="A88" s="5" t="s">
        <v>221</v>
      </c>
      <c r="B88" s="7" t="s">
        <v>141</v>
      </c>
      <c r="C88" s="55">
        <v>0.74326485894308947</v>
      </c>
      <c r="D88" s="55">
        <v>-0.72405300000000028</v>
      </c>
      <c r="E88" s="55">
        <v>-0.87524550000000012</v>
      </c>
      <c r="F88" s="6" t="s">
        <v>17</v>
      </c>
      <c r="G88" s="52"/>
      <c r="K88" s="52"/>
      <c r="L88" s="52">
        <f t="shared" si="4"/>
        <v>0</v>
      </c>
      <c r="M88" s="52">
        <f t="shared" si="5"/>
        <v>0</v>
      </c>
      <c r="N88" s="52">
        <f t="shared" si="6"/>
        <v>0</v>
      </c>
      <c r="O88" s="73"/>
      <c r="P88" s="73"/>
      <c r="Q88" s="73"/>
    </row>
    <row r="89" spans="1:17" x14ac:dyDescent="0.25">
      <c r="A89" s="21" t="s">
        <v>254</v>
      </c>
      <c r="B89" s="22" t="s">
        <v>149</v>
      </c>
      <c r="C89" s="54">
        <v>0.72983799512195124</v>
      </c>
      <c r="D89" s="54">
        <v>0.85028400000000004</v>
      </c>
      <c r="E89" s="54">
        <v>-4.5114999999999999E-3</v>
      </c>
      <c r="F89" s="8" t="s">
        <v>14</v>
      </c>
      <c r="G89" s="52"/>
      <c r="K89" s="52"/>
      <c r="L89" s="52">
        <f t="shared" si="4"/>
        <v>0</v>
      </c>
      <c r="M89" s="52">
        <f t="shared" si="5"/>
        <v>0</v>
      </c>
      <c r="N89" s="52">
        <f t="shared" si="6"/>
        <v>0</v>
      </c>
      <c r="O89" s="73"/>
      <c r="P89" s="73"/>
      <c r="Q89" s="73"/>
    </row>
    <row r="90" spans="1:17" x14ac:dyDescent="0.25">
      <c r="A90" s="5" t="s">
        <v>210</v>
      </c>
      <c r="B90" s="7" t="s">
        <v>147</v>
      </c>
      <c r="C90" s="55">
        <v>0.72622640406504069</v>
      </c>
      <c r="D90" s="55">
        <v>-0.38002829999999999</v>
      </c>
      <c r="E90" s="55">
        <v>-1.23956E-2</v>
      </c>
      <c r="F90" s="6" t="s">
        <v>14</v>
      </c>
      <c r="G90" s="52"/>
      <c r="K90" s="52"/>
      <c r="L90" s="52">
        <f t="shared" si="4"/>
        <v>0</v>
      </c>
      <c r="M90" s="52">
        <f t="shared" si="5"/>
        <v>0</v>
      </c>
      <c r="N90" s="52">
        <f t="shared" si="6"/>
        <v>0</v>
      </c>
      <c r="O90" s="73"/>
      <c r="P90" s="73"/>
      <c r="Q90" s="73"/>
    </row>
    <row r="91" spans="1:17" x14ac:dyDescent="0.25">
      <c r="A91" s="21" t="s">
        <v>220</v>
      </c>
      <c r="B91" s="22" t="s">
        <v>122</v>
      </c>
      <c r="C91" s="54">
        <v>0.70786734766410575</v>
      </c>
      <c r="D91" s="54">
        <v>4.8548484688000011</v>
      </c>
      <c r="E91" s="54">
        <v>-0.20482246797000001</v>
      </c>
      <c r="F91" s="8" t="s">
        <v>17</v>
      </c>
      <c r="G91" s="52"/>
      <c r="K91" s="52"/>
      <c r="L91" s="52">
        <f t="shared" si="4"/>
        <v>0</v>
      </c>
      <c r="M91" s="52">
        <f t="shared" si="5"/>
        <v>0</v>
      </c>
      <c r="N91" s="52">
        <f t="shared" si="6"/>
        <v>0</v>
      </c>
      <c r="O91" s="73"/>
      <c r="P91" s="73"/>
      <c r="Q91" s="73"/>
    </row>
    <row r="92" spans="1:17" x14ac:dyDescent="0.25">
      <c r="A92" s="5" t="s">
        <v>205</v>
      </c>
      <c r="B92" s="7" t="s">
        <v>133</v>
      </c>
      <c r="C92" s="55">
        <v>0.68484350894308943</v>
      </c>
      <c r="D92" s="55">
        <v>-3.9715980000000002</v>
      </c>
      <c r="E92" s="55">
        <v>5.6892499999999999E-2</v>
      </c>
      <c r="F92" s="6" t="s">
        <v>11</v>
      </c>
      <c r="G92" s="52"/>
      <c r="K92" s="52"/>
      <c r="L92" s="52">
        <f t="shared" si="4"/>
        <v>0</v>
      </c>
      <c r="M92" s="52">
        <f t="shared" si="5"/>
        <v>0</v>
      </c>
      <c r="N92" s="52">
        <f t="shared" si="6"/>
        <v>0</v>
      </c>
      <c r="O92" s="73"/>
      <c r="P92" s="73"/>
      <c r="Q92" s="73"/>
    </row>
    <row r="93" spans="1:17" x14ac:dyDescent="0.25">
      <c r="A93" s="21" t="s">
        <v>249</v>
      </c>
      <c r="B93" s="22" t="s">
        <v>250</v>
      </c>
      <c r="C93" s="54">
        <v>0.62553448577235771</v>
      </c>
      <c r="D93" s="54">
        <v>-5.7283499999999998</v>
      </c>
      <c r="E93" s="54">
        <v>0.99815750000000003</v>
      </c>
      <c r="F93" s="8" t="s">
        <v>16</v>
      </c>
      <c r="G93" s="52"/>
      <c r="K93" s="52"/>
      <c r="L93" s="52">
        <f t="shared" si="4"/>
        <v>0</v>
      </c>
      <c r="M93" s="52">
        <f t="shared" si="5"/>
        <v>0</v>
      </c>
      <c r="N93" s="52">
        <f t="shared" si="6"/>
        <v>0</v>
      </c>
      <c r="O93" s="73"/>
      <c r="P93" s="73"/>
      <c r="Q93" s="73"/>
    </row>
    <row r="94" spans="1:17" x14ac:dyDescent="0.25">
      <c r="A94" s="5" t="s">
        <v>244</v>
      </c>
      <c r="B94" s="7" t="s">
        <v>243</v>
      </c>
      <c r="C94" s="55">
        <v>0.61517978429999998</v>
      </c>
      <c r="D94" s="55">
        <v>-7.6847060000000003</v>
      </c>
      <c r="E94" s="55">
        <v>-9.8319500000000004E-2</v>
      </c>
      <c r="F94" s="6" t="s">
        <v>14</v>
      </c>
      <c r="G94" s="52"/>
      <c r="K94" s="52"/>
      <c r="L94" s="52">
        <f t="shared" si="4"/>
        <v>0</v>
      </c>
      <c r="M94" s="52">
        <f t="shared" si="5"/>
        <v>0</v>
      </c>
      <c r="N94" s="52">
        <f t="shared" si="6"/>
        <v>0</v>
      </c>
      <c r="O94" s="73"/>
      <c r="P94" s="73"/>
      <c r="Q94" s="73"/>
    </row>
    <row r="95" spans="1:17" x14ac:dyDescent="0.25">
      <c r="A95" s="21" t="s">
        <v>234</v>
      </c>
      <c r="B95" s="22" t="s">
        <v>152</v>
      </c>
      <c r="C95" s="54">
        <v>0.59246489634146349</v>
      </c>
      <c r="D95" s="54">
        <v>14.26566</v>
      </c>
      <c r="E95" s="54">
        <v>-0.60994400000000004</v>
      </c>
      <c r="F95" s="8" t="s">
        <v>14</v>
      </c>
      <c r="G95" s="52"/>
      <c r="K95" s="52"/>
      <c r="L95" s="52">
        <f t="shared" si="4"/>
        <v>0</v>
      </c>
      <c r="M95" s="52">
        <f t="shared" si="5"/>
        <v>0</v>
      </c>
      <c r="N95" s="52">
        <f t="shared" si="6"/>
        <v>0</v>
      </c>
      <c r="O95" s="73"/>
      <c r="P95" s="73"/>
      <c r="Q95" s="73"/>
    </row>
    <row r="96" spans="1:17" x14ac:dyDescent="0.25">
      <c r="A96" s="5" t="s">
        <v>247</v>
      </c>
      <c r="B96" s="7" t="s">
        <v>248</v>
      </c>
      <c r="C96" s="55">
        <v>0.53849201422764237</v>
      </c>
      <c r="D96" s="55">
        <v>-8.0481405000000006</v>
      </c>
      <c r="E96" s="55">
        <v>-0.12983349999999999</v>
      </c>
      <c r="F96" s="6" t="s">
        <v>17</v>
      </c>
      <c r="G96" s="52"/>
      <c r="K96" s="52"/>
      <c r="L96" s="52">
        <f t="shared" si="4"/>
        <v>0</v>
      </c>
      <c r="M96" s="52">
        <f t="shared" si="5"/>
        <v>0</v>
      </c>
      <c r="N96" s="52">
        <f t="shared" si="6"/>
        <v>0</v>
      </c>
      <c r="O96" s="73"/>
      <c r="P96" s="73"/>
      <c r="Q96" s="73"/>
    </row>
    <row r="97" spans="1:17" x14ac:dyDescent="0.25">
      <c r="A97" s="21" t="s">
        <v>225</v>
      </c>
      <c r="B97" s="22" t="s">
        <v>86</v>
      </c>
      <c r="C97" s="54">
        <v>0.47123375609756096</v>
      </c>
      <c r="D97" s="54">
        <v>-0.1085945</v>
      </c>
      <c r="E97" s="54">
        <v>0.45079649999999999</v>
      </c>
      <c r="F97" s="8" t="s">
        <v>11</v>
      </c>
      <c r="G97" s="52"/>
      <c r="K97" s="52"/>
      <c r="L97" s="52">
        <f t="shared" si="4"/>
        <v>0</v>
      </c>
      <c r="M97" s="52">
        <f t="shared" si="5"/>
        <v>0</v>
      </c>
      <c r="N97" s="52">
        <f t="shared" si="6"/>
        <v>0</v>
      </c>
      <c r="O97" s="73"/>
      <c r="P97" s="73"/>
      <c r="Q97" s="73"/>
    </row>
    <row r="98" spans="1:17" x14ac:dyDescent="0.25">
      <c r="A98" s="5" t="s">
        <v>232</v>
      </c>
      <c r="B98" s="7" t="s">
        <v>134</v>
      </c>
      <c r="C98" s="55">
        <v>0.46982904959349603</v>
      </c>
      <c r="D98" s="55">
        <v>-11.916454</v>
      </c>
      <c r="E98" s="55">
        <v>-0.88676449999999996</v>
      </c>
      <c r="F98" s="6" t="s">
        <v>11</v>
      </c>
      <c r="G98" s="52"/>
      <c r="K98" s="52"/>
      <c r="L98" s="52">
        <f t="shared" si="4"/>
        <v>0</v>
      </c>
      <c r="M98" s="52">
        <f t="shared" si="5"/>
        <v>0</v>
      </c>
      <c r="N98" s="52">
        <f t="shared" si="6"/>
        <v>0</v>
      </c>
      <c r="O98" s="73"/>
      <c r="P98" s="73"/>
      <c r="Q98" s="73"/>
    </row>
    <row r="99" spans="1:17" x14ac:dyDescent="0.25">
      <c r="A99" s="21" t="s">
        <v>258</v>
      </c>
      <c r="B99" s="22" t="s">
        <v>259</v>
      </c>
      <c r="C99" s="54">
        <v>0.44687831707317066</v>
      </c>
      <c r="D99" s="54">
        <v>10.725284</v>
      </c>
      <c r="E99" s="54">
        <v>-0.15679899999999999</v>
      </c>
      <c r="F99" s="8" t="s">
        <v>11</v>
      </c>
      <c r="G99" s="52"/>
      <c r="K99" s="52"/>
      <c r="L99" s="52">
        <f t="shared" si="4"/>
        <v>0</v>
      </c>
      <c r="M99" s="52">
        <f t="shared" si="5"/>
        <v>0</v>
      </c>
      <c r="N99" s="52">
        <f t="shared" si="6"/>
        <v>0</v>
      </c>
      <c r="O99" s="73"/>
      <c r="P99" s="73"/>
      <c r="Q99" s="73"/>
    </row>
    <row r="100" spans="1:17" x14ac:dyDescent="0.25">
      <c r="A100" s="5" t="s">
        <v>228</v>
      </c>
      <c r="B100" s="7" t="s">
        <v>150</v>
      </c>
      <c r="C100" s="55">
        <v>0.42968977967479666</v>
      </c>
      <c r="D100" s="55">
        <v>-1.9464220000000001</v>
      </c>
      <c r="E100" s="55">
        <v>-0.21048549999999999</v>
      </c>
      <c r="F100" s="6" t="s">
        <v>14</v>
      </c>
      <c r="G100" s="52"/>
      <c r="K100" s="52"/>
      <c r="L100" s="52">
        <f t="shared" si="4"/>
        <v>0</v>
      </c>
      <c r="M100" s="52">
        <f t="shared" si="5"/>
        <v>0</v>
      </c>
      <c r="N100" s="52">
        <f t="shared" si="6"/>
        <v>0</v>
      </c>
      <c r="O100" s="73"/>
      <c r="P100" s="73"/>
      <c r="Q100" s="73"/>
    </row>
    <row r="101" spans="1:17" x14ac:dyDescent="0.25">
      <c r="A101" s="75" t="s">
        <v>267</v>
      </c>
      <c r="B101" s="76" t="s">
        <v>268</v>
      </c>
      <c r="C101" s="77">
        <v>0.42026532627723584</v>
      </c>
      <c r="D101" s="77">
        <v>2.3506106362000021</v>
      </c>
      <c r="E101" s="77">
        <v>5.7000702599999994E-2</v>
      </c>
      <c r="F101" s="9" t="s">
        <v>10</v>
      </c>
      <c r="G101" s="52"/>
      <c r="K101" s="52"/>
      <c r="L101" s="52">
        <f t="shared" si="4"/>
        <v>0</v>
      </c>
      <c r="M101" s="52">
        <f t="shared" si="5"/>
        <v>0</v>
      </c>
      <c r="N101" s="52">
        <f t="shared" si="6"/>
        <v>0</v>
      </c>
      <c r="O101" s="73"/>
      <c r="P101" s="73"/>
      <c r="Q101" s="73"/>
    </row>
    <row r="102" spans="1:17" x14ac:dyDescent="0.25">
      <c r="A102" s="45"/>
      <c r="B102" s="10"/>
      <c r="C102" s="10"/>
      <c r="D102" s="10"/>
      <c r="E102" s="10"/>
      <c r="F102" s="46"/>
    </row>
    <row r="105" spans="1:17" x14ac:dyDescent="0.25">
      <c r="A105" s="11" t="s">
        <v>80</v>
      </c>
    </row>
    <row r="106" spans="1:17" x14ac:dyDescent="0.25">
      <c r="A106" s="11" t="s">
        <v>138</v>
      </c>
    </row>
    <row r="107" spans="1:17" x14ac:dyDescent="0.25">
      <c r="A107" s="11" t="s">
        <v>137</v>
      </c>
    </row>
    <row r="108" spans="1:17" x14ac:dyDescent="0.25">
      <c r="A108" s="11" t="s">
        <v>143</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7 B76 B7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8878CE94-C454-4A04-B437-5603374FB01F}">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2024-12-23T01:57:31Z</dcterms:modified>
</cp:coreProperties>
</file>