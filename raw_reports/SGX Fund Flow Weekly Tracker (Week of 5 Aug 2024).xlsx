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C:\Terence\Fund Flow\"/>
    </mc:Choice>
  </mc:AlternateContent>
  <xr:revisionPtr revIDLastSave="0" documentId="13_ncr:1_{1F4DA3C9-1890-4799-93DF-4F211E3E17C7}" xr6:coauthVersionLast="47" xr6:coauthVersionMax="47" xr10:uidLastSave="{00000000-0000-0000-0000-000000000000}"/>
  <bookViews>
    <workbookView xWindow="-25290" yWindow="-16170" windowWidth="25440" windowHeight="1539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6" i="3" l="1"/>
  <c r="D32" i="4" l="1"/>
  <c r="C32" i="4"/>
  <c r="A1" i="5" l="1"/>
  <c r="A1" i="4" l="1"/>
  <c r="C18" i="1" l="1"/>
  <c r="F18" i="1" s="1"/>
  <c r="F5" i="1"/>
</calcChain>
</file>

<file path=xl/sharedStrings.xml><?xml version="1.0" encoding="utf-8"?>
<sst xmlns="http://schemas.openxmlformats.org/spreadsheetml/2006/main" count="517" uniqueCount="282">
  <si>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</si>
  <si>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</si>
  <si>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</si>
  <si>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</si>
  <si>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</si>
  <si>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</si>
  <si>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</si>
  <si>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</si>
  <si>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</si>
  <si>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</si>
  <si>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</si>
  <si>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</si>
  <si>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</si>
  <si>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</si>
  <si>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</si>
  <si>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</si>
  <si>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</si>
  <si>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</si>
  <si>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</si>
  <si>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</si>
  <si>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</si>
  <si>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</si>
  <si>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</si>
  <si>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</si>
  <si>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</si>
  <si>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</si>
  <si>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</si>
  <si>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</si>
  <si>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</si>
  <si>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</si>
  <si>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</si>
  <si>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</si>
  <si>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</si>
  <si>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</si>
  <si>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</si>
  <si>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</si>
  <si>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</si>
  <si>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</si>
  <si>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</si>
  <si>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</si>
  <si>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</si>
  <si>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</si>
  <si>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</si>
  <si>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</si>
  <si>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</si>
  <si>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</si>
  <si>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</si>
  <si>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</si>
  <si>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</si>
  <si>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</si>
  <si>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</si>
  <si>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</si>
  <si>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</si>
  <si>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</si>
  <si>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</si>
  <si>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</si>
  <si>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</si>
  <si>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</si>
  <si>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</si>
  <si>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</si>
  <si>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</si>
  <si>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</si>
  <si>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</si>
  <si>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</si>
  <si>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</si>
  <si>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</si>
  <si>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</si>
  <si>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</si>
  <si>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</si>
  <si>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</si>
  <si>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</si>
  <si>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</si>
  <si>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</si>
  <si>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</si>
  <si>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</si>
  <si>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</si>
  <si>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</si>
  <si>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</si>
  <si>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</si>
  <si>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</si>
  <si>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</si>
  <si>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</si>
  <si>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</si>
  <si>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</si>
  <si>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</si>
  <si>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</si>
  <si>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</si>
  <si>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</si>
  <si>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</si>
  <si>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</si>
  <si>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</si>
  <si>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</si>
  <si>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</si>
  <si>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</si>
  <si>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</si>
  <si>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</si>
  <si>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</si>
  <si>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</si>
  <si>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</si>
  <si>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</si>
  <si>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</si>
  <si>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</si>
  <si>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</si>
  <si>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</si>
  <si>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</si>
  <si>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</si>
  <si>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</si>
  <si>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</si>
  <si>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</si>
  <si>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</si>
  <si>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</si>
  <si>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</si>
  <si>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</si>
  <si>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</si>
  <si>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</si>
  <si>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</si>
  <si>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</si>
  <si>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</si>
  <si>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</si>
  <si>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</si>
  <si>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</si>
  <si>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</si>
  <si>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</si>
  <si>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</si>
  <si>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</si>
  <si>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</si>
  <si>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</si>
  <si>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</si>
  <si>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</si>
  <si>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</si>
  <si>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</si>
  <si>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</si>
  <si>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</si>
  <si>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</si>
  <si>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</si>
  <si>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</si>
  <si>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</si>
  <si>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</si>
  <si>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</si>
  <si>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</si>
  <si>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</si>
  <si>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</si>
  <si>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</si>
  <si>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</si>
  <si>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</si>
  <si>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</si>
  <si>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</si>
  <si>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</si>
  <si>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</si>
  <si>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</si>
  <si>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</si>
  <si>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</si>
  <si>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</si>
  <si>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</si>
  <si>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</si>
  <si>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</si>
  <si>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</si>
  <si>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</si>
  <si>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</si>
  <si>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</si>
  <si>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</si>
  <si>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</si>
  <si>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</si>
  <si>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</si>
  <si>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</si>
  <si>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</si>
  <si>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</si>
  <si>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</si>
  <si>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</si>
  <si>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</si>
  <si>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</si>
  <si>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</si>
  <si>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</si>
  <si>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</si>
  <si>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</si>
  <si>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</si>
  <si>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</si>
  <si>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</si>
  <si>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</si>
  <si>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</si>
  <si>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</si>
  <si>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</si>
  <si>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</si>
  <si>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</si>
  <si>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</si>
  <si>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</si>
  <si>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</si>
  <si>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</si>
  <si>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</si>
  <si>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</si>
  <si>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</si>
  <si>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</si>
  <si>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</si>
  <si>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</si>
  <si>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</si>
  <si>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</si>
  <si>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</si>
  <si>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</si>
  <si>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</si>
  <si>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</si>
  <si>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</si>
  <si>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</si>
  <si>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</si>
  <si>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</si>
  <si>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</si>
  <si>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</si>
  <si>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</si>
  <si>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</si>
  <si>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</si>
  <si>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</si>
  <si>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</si>
  <si>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</si>
  <si>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</si>
  <si>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</si>
  <si>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</si>
  <si>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</si>
  <si>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</si>
  <si>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</si>
  <si>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</si>
  <si>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</si>
  <si>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</si>
  <si>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</si>
  <si>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</si>
  <si>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</si>
  <si>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</si>
  <si>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</si>
  <si>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</si>
  <si>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</si>
  <si>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</si>
  <si>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</si>
  <si>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</si>
  <si>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</si>
  <si>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</si>
  <si>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</si>
  <si>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</si>
  <si>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</si>
  <si>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</si>
  <si>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</si>
  <si>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</si>
  <si>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</si>
  <si>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</si>
  <si>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</si>
  <si>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</si>
  <si>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</si>
  <si>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</si>
  <si>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</si>
  <si>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</si>
  <si>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</si>
  <si>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</si>
  <si>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</si>
  <si>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</si>
  <si>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</si>
  <si>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</si>
  <si>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</si>
  <si>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</si>
  <si>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</si>
  <si>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558</t>
  </si>
  <si>
    <t>Valuetronics</t>
  </si>
  <si>
    <t>BN2</t>
  </si>
  <si>
    <t>Mapletree Pan Asia Commercial Trust</t>
  </si>
  <si>
    <t>XZL</t>
  </si>
  <si>
    <t>ARA HTrust USD</t>
  </si>
  <si>
    <t>1MZ</t>
  </si>
  <si>
    <t>NamCheong</t>
  </si>
  <si>
    <t>S7P</t>
  </si>
  <si>
    <t>Soilbuild Const</t>
  </si>
  <si>
    <t>sgx.com/research</t>
  </si>
  <si>
    <t>Keppel DC REIT</t>
  </si>
  <si>
    <t>Week of 5 August 2024</t>
  </si>
  <si>
    <t xml:space="preserve">Wilmar International </t>
  </si>
  <si>
    <t xml:space="preserve">Genting Singapore </t>
  </si>
  <si>
    <t xml:space="preserve">Venture Corporation </t>
  </si>
  <si>
    <t xml:space="preserve">Sembcorp Industries </t>
  </si>
  <si>
    <t xml:space="preserve">Golden Agri-Resources </t>
  </si>
  <si>
    <t xml:space="preserve">Sheng Siong Group </t>
  </si>
  <si>
    <t xml:space="preserve">CapitaLand Investment </t>
  </si>
  <si>
    <t>CapitaLand Ascott Trust</t>
  </si>
  <si>
    <r>
      <t xml:space="preserve">Institutional investors net </t>
    </r>
    <r>
      <rPr>
        <b/>
        <sz val="11"/>
        <rFont val="Arial"/>
        <family val="2"/>
      </rPr>
      <t>sell</t>
    </r>
    <r>
      <rPr>
        <sz val="11"/>
        <rFont val="Arial"/>
        <family val="2"/>
      </rPr>
      <t xml:space="preserve"> (-S$506.3m) vs. (-S$127.5m) a week ago</t>
    </r>
  </si>
  <si>
    <t>Seatrium (from 7 May 2024)</t>
  </si>
  <si>
    <r>
      <t xml:space="preserve">Retail investors net </t>
    </r>
    <r>
      <rPr>
        <b/>
        <sz val="11"/>
        <rFont val="Arial"/>
        <family val="2"/>
      </rPr>
      <t>buy</t>
    </r>
    <r>
      <rPr>
        <sz val="11"/>
        <rFont val="Arial"/>
        <family val="2"/>
      </rPr>
      <t xml:space="preserve"> (+S$839.7m) vs. (+S$503.6m) a week ago</t>
    </r>
  </si>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</sst>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13.77734375" style="2" customWidth="1"/>
    <col min="9" max="9" width="17" style="40"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268</v>
      </c>
    </row>
    <row r="2" spans="1:13" x14ac:dyDescent="0.25">
      <c r="A2" s="73" t="s">
        <v>277</v>
      </c>
      <c r="I2" s="51"/>
    </row>
    <row r="3" spans="1:13" x14ac:dyDescent="0.25">
      <c r="A3" s="73" t="s">
        <v>279</v>
      </c>
      <c r="I3" s="51"/>
    </row>
    <row r="5" spans="1:13" ht="29.25" customHeight="1" x14ac:dyDescent="0.25">
      <c r="A5" s="3" t="s">
        <v>0</v>
      </c>
      <c r="B5" s="3" t="s">
        <v>1</v>
      </c>
      <c r="C5" s="4" t="s">
        <v>268</v>
      </c>
      <c r="D5" s="63" t="s">
        <v>2</v>
      </c>
      <c r="E5" s="63" t="s">
        <v>1</v>
      </c>
      <c r="F5" s="64" t="str">
        <f>+C5</f>
        <v>Week of 5 August 2024</v>
      </c>
    </row>
    <row r="6" spans="1:13" ht="14.4" x14ac:dyDescent="0.3">
      <c r="A6" s="34" t="s">
        <v>49</v>
      </c>
      <c r="B6" s="66" t="s">
        <v>47</v>
      </c>
      <c r="C6" s="78">
        <v>46.721085700000003</v>
      </c>
      <c r="D6" s="34" t="s">
        <v>26</v>
      </c>
      <c r="E6" s="66" t="s">
        <v>21</v>
      </c>
      <c r="F6" s="6">
        <v>-324.75333599999999</v>
      </c>
      <c r="K6" s="44"/>
      <c r="L6"/>
      <c r="M6"/>
    </row>
    <row r="7" spans="1:13" ht="14.4" x14ac:dyDescent="0.3">
      <c r="A7" s="35" t="s">
        <v>29</v>
      </c>
      <c r="B7" s="10" t="s">
        <v>24</v>
      </c>
      <c r="C7" s="8">
        <v>31.051034000000001</v>
      </c>
      <c r="D7" s="35" t="s">
        <v>27</v>
      </c>
      <c r="E7" s="10" t="s">
        <v>22</v>
      </c>
      <c r="F7" s="8">
        <v>-103.83754500000001</v>
      </c>
      <c r="K7" s="44"/>
      <c r="L7"/>
      <c r="M7"/>
    </row>
    <row r="8" spans="1:13" ht="14.4" x14ac:dyDescent="0.3">
      <c r="A8" s="36" t="s">
        <v>61</v>
      </c>
      <c r="B8" s="66" t="s">
        <v>53</v>
      </c>
      <c r="C8" s="6">
        <v>10.301216999999999</v>
      </c>
      <c r="D8" s="36" t="s">
        <v>28</v>
      </c>
      <c r="E8" s="66" t="s">
        <v>23</v>
      </c>
      <c r="F8" s="6">
        <v>-69.829350000000005</v>
      </c>
      <c r="K8" s="44"/>
      <c r="L8"/>
      <c r="M8"/>
    </row>
    <row r="9" spans="1:13" ht="14.4" x14ac:dyDescent="0.3">
      <c r="A9" s="35" t="s">
        <v>269</v>
      </c>
      <c r="B9" s="10" t="s">
        <v>41</v>
      </c>
      <c r="C9" s="8">
        <v>7.8357700000000001</v>
      </c>
      <c r="D9" s="35" t="s">
        <v>33</v>
      </c>
      <c r="E9" s="10" t="s">
        <v>31</v>
      </c>
      <c r="F9" s="8">
        <v>-55.807400000000001</v>
      </c>
      <c r="K9" s="44"/>
      <c r="L9"/>
      <c r="M9"/>
    </row>
    <row r="10" spans="1:13" ht="14.4" x14ac:dyDescent="0.3">
      <c r="A10" s="36" t="s">
        <v>267</v>
      </c>
      <c r="B10" s="66" t="s">
        <v>76</v>
      </c>
      <c r="C10" s="6">
        <v>7.6129049999999996</v>
      </c>
      <c r="D10" s="36" t="s">
        <v>148</v>
      </c>
      <c r="E10" s="66" t="s">
        <v>32</v>
      </c>
      <c r="F10" s="6">
        <v>-28.783753999999998</v>
      </c>
      <c r="K10" s="44"/>
      <c r="L10"/>
      <c r="M10"/>
    </row>
    <row r="11" spans="1:13" ht="14.4" x14ac:dyDescent="0.3">
      <c r="A11" s="35" t="s">
        <v>272</v>
      </c>
      <c r="B11" s="10" t="s">
        <v>42</v>
      </c>
      <c r="C11" s="8">
        <v>7.0438919999999996</v>
      </c>
      <c r="D11" s="35" t="s">
        <v>77</v>
      </c>
      <c r="E11" s="10" t="s">
        <v>56</v>
      </c>
      <c r="F11" s="8">
        <v>-20.805461999999999</v>
      </c>
      <c r="K11" s="44"/>
      <c r="L11"/>
      <c r="M11"/>
    </row>
    <row r="12" spans="1:13" ht="14.4" x14ac:dyDescent="0.3">
      <c r="A12" s="36" t="s">
        <v>139</v>
      </c>
      <c r="B12" s="66" t="s">
        <v>105</v>
      </c>
      <c r="C12" s="6">
        <v>6.7596379999999998</v>
      </c>
      <c r="D12" s="36" t="s">
        <v>275</v>
      </c>
      <c r="E12" s="66" t="s">
        <v>83</v>
      </c>
      <c r="F12" s="6">
        <v>-11.249032</v>
      </c>
      <c r="K12" s="44"/>
      <c r="L12"/>
      <c r="M12"/>
    </row>
    <row r="13" spans="1:13" ht="14.4" x14ac:dyDescent="0.3">
      <c r="A13" s="35" t="s">
        <v>87</v>
      </c>
      <c r="B13" s="10" t="s">
        <v>25</v>
      </c>
      <c r="C13" s="8">
        <v>6.2430320000000004</v>
      </c>
      <c r="D13" s="35" t="s">
        <v>273</v>
      </c>
      <c r="E13" s="10" t="s">
        <v>107</v>
      </c>
      <c r="F13" s="8">
        <v>-9.5499535000000009</v>
      </c>
      <c r="K13" s="44"/>
      <c r="L13"/>
      <c r="M13"/>
    </row>
    <row r="14" spans="1:13" ht="14.4" x14ac:dyDescent="0.3">
      <c r="A14" s="36" t="s">
        <v>274</v>
      </c>
      <c r="B14" s="66" t="s">
        <v>90</v>
      </c>
      <c r="C14" s="6">
        <v>5.6469310000000004</v>
      </c>
      <c r="D14" s="36" t="s">
        <v>142</v>
      </c>
      <c r="E14" s="66" t="s">
        <v>253</v>
      </c>
      <c r="F14" s="6">
        <v>-9.3811719999999994</v>
      </c>
      <c r="K14" s="44"/>
      <c r="L14"/>
      <c r="M14"/>
    </row>
    <row r="15" spans="1:13" ht="14.4" x14ac:dyDescent="0.3">
      <c r="A15" s="37" t="s">
        <v>64</v>
      </c>
      <c r="B15" s="33" t="s">
        <v>55</v>
      </c>
      <c r="C15" s="9">
        <v>5.4846216095000004</v>
      </c>
      <c r="D15" s="37" t="s">
        <v>276</v>
      </c>
      <c r="E15" s="33" t="s">
        <v>91</v>
      </c>
      <c r="F15" s="9">
        <v>-6.8911005000000003</v>
      </c>
      <c r="K15" s="44"/>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5 August 2024</v>
      </c>
      <c r="D18" s="65" t="s">
        <v>4</v>
      </c>
      <c r="E18" s="63" t="s">
        <v>1</v>
      </c>
      <c r="F18" s="64" t="str">
        <f>+C18</f>
        <v>Week of 5 August 2024</v>
      </c>
    </row>
    <row r="19" spans="1:9" x14ac:dyDescent="0.25">
      <c r="A19" s="60" t="s">
        <v>26</v>
      </c>
      <c r="B19" s="66" t="s">
        <v>21</v>
      </c>
      <c r="C19" s="6">
        <v>395.842893</v>
      </c>
      <c r="D19" s="34" t="s">
        <v>49</v>
      </c>
      <c r="E19" s="66" t="s">
        <v>47</v>
      </c>
      <c r="F19" s="6">
        <v>-53.043441999999999</v>
      </c>
      <c r="I19" s="2"/>
    </row>
    <row r="20" spans="1:9" x14ac:dyDescent="0.25">
      <c r="A20" s="35" t="s">
        <v>27</v>
      </c>
      <c r="B20" s="10" t="s">
        <v>22</v>
      </c>
      <c r="C20" s="8">
        <v>170.112334</v>
      </c>
      <c r="D20" s="35" t="s">
        <v>29</v>
      </c>
      <c r="E20" s="10" t="s">
        <v>24</v>
      </c>
      <c r="F20" s="8">
        <v>-18.997693000000002</v>
      </c>
      <c r="I20" s="2"/>
    </row>
    <row r="21" spans="1:9" x14ac:dyDescent="0.25">
      <c r="A21" s="36" t="s">
        <v>28</v>
      </c>
      <c r="B21" s="66" t="s">
        <v>23</v>
      </c>
      <c r="C21" s="6">
        <v>154.70252500000001</v>
      </c>
      <c r="D21" s="36" t="s">
        <v>272</v>
      </c>
      <c r="E21" s="66" t="s">
        <v>42</v>
      </c>
      <c r="F21" s="6">
        <v>-11.543592</v>
      </c>
      <c r="I21" s="2"/>
    </row>
    <row r="22" spans="1:9" x14ac:dyDescent="0.25">
      <c r="A22" s="35" t="s">
        <v>33</v>
      </c>
      <c r="B22" s="10" t="s">
        <v>31</v>
      </c>
      <c r="C22" s="8">
        <v>69.715659000000002</v>
      </c>
      <c r="D22" s="35" t="s">
        <v>267</v>
      </c>
      <c r="E22" s="10" t="s">
        <v>76</v>
      </c>
      <c r="F22" s="8">
        <v>-8.9558870000000006</v>
      </c>
      <c r="I22" s="2"/>
    </row>
    <row r="23" spans="1:9" x14ac:dyDescent="0.25">
      <c r="A23" s="36" t="s">
        <v>148</v>
      </c>
      <c r="B23" s="66" t="s">
        <v>32</v>
      </c>
      <c r="C23" s="6">
        <v>41.809640999999999</v>
      </c>
      <c r="D23" s="36" t="s">
        <v>60</v>
      </c>
      <c r="E23" s="66" t="s">
        <v>51</v>
      </c>
      <c r="F23" s="6">
        <v>-7.0839425</v>
      </c>
      <c r="I23" s="2"/>
    </row>
    <row r="24" spans="1:9" x14ac:dyDescent="0.25">
      <c r="A24" s="35" t="s">
        <v>275</v>
      </c>
      <c r="B24" s="10" t="s">
        <v>83</v>
      </c>
      <c r="C24" s="8">
        <v>20.998587000000001</v>
      </c>
      <c r="D24" s="35" t="s">
        <v>139</v>
      </c>
      <c r="E24" s="10" t="s">
        <v>105</v>
      </c>
      <c r="F24" s="8">
        <v>-5.6688210000000003</v>
      </c>
      <c r="I24" s="2"/>
    </row>
    <row r="25" spans="1:9" x14ac:dyDescent="0.25">
      <c r="A25" s="36" t="s">
        <v>61</v>
      </c>
      <c r="B25" s="66" t="s">
        <v>53</v>
      </c>
      <c r="C25" s="6">
        <v>17.894449999999999</v>
      </c>
      <c r="D25" s="36" t="s">
        <v>274</v>
      </c>
      <c r="E25" s="66" t="s">
        <v>90</v>
      </c>
      <c r="F25" s="6">
        <v>-5.5913409999999999</v>
      </c>
      <c r="I25" s="2"/>
    </row>
    <row r="26" spans="1:9" x14ac:dyDescent="0.25">
      <c r="A26" s="35" t="s">
        <v>270</v>
      </c>
      <c r="B26" s="10" t="s">
        <v>35</v>
      </c>
      <c r="C26" s="8">
        <v>11.638472</v>
      </c>
      <c r="D26" s="35" t="s">
        <v>64</v>
      </c>
      <c r="E26" s="10" t="s">
        <v>55</v>
      </c>
      <c r="F26" s="8">
        <v>-4.3909406331000014</v>
      </c>
      <c r="I26" s="2"/>
    </row>
    <row r="27" spans="1:9" x14ac:dyDescent="0.25">
      <c r="A27" s="36" t="s">
        <v>271</v>
      </c>
      <c r="B27" s="66" t="s">
        <v>43</v>
      </c>
      <c r="C27" s="6">
        <v>10.954287819999999</v>
      </c>
      <c r="D27" s="36" t="s">
        <v>62</v>
      </c>
      <c r="E27" s="66" t="s">
        <v>52</v>
      </c>
      <c r="F27" s="6">
        <v>-4.2283484104000006</v>
      </c>
      <c r="I27" s="2"/>
    </row>
    <row r="28" spans="1:9" x14ac:dyDescent="0.25">
      <c r="A28" s="37" t="s">
        <v>142</v>
      </c>
      <c r="B28" s="33" t="s">
        <v>253</v>
      </c>
      <c r="C28" s="9">
        <v>10.509008</v>
      </c>
      <c r="D28" s="37" t="s">
        <v>209</v>
      </c>
      <c r="E28" s="33" t="s">
        <v>128</v>
      </c>
      <c r="F28" s="9">
        <v>-4.1319330000000001</v>
      </c>
      <c r="I28" s="2"/>
    </row>
    <row r="29" spans="1:9" x14ac:dyDescent="0.25">
      <c r="A29" s="10"/>
      <c r="B29" s="10"/>
      <c r="C29" s="10"/>
      <c r="D29" s="10"/>
      <c r="E29" s="10"/>
      <c r="F29" s="10"/>
    </row>
    <row r="30" spans="1:9" ht="14.4" x14ac:dyDescent="0.3">
      <c r="A30" s="11" t="s">
        <v>242</v>
      </c>
      <c r="B30" s="11"/>
      <c r="C30" s="10"/>
      <c r="D30" s="10"/>
      <c r="E30" s="10"/>
      <c r="F30" s="10"/>
    </row>
    <row r="31" spans="1:9" ht="14.4" x14ac:dyDescent="0.3">
      <c r="A31" s="11" t="s">
        <v>80</v>
      </c>
      <c r="B31" s="11"/>
      <c r="C31" s="10"/>
      <c r="D31" s="10"/>
      <c r="E31" s="10"/>
      <c r="F31" s="10"/>
    </row>
    <row r="32" spans="1:9" ht="14.4" x14ac:dyDescent="0.3">
      <c r="A32" s="11" t="s">
        <v>245</v>
      </c>
      <c r="B32" s="11"/>
      <c r="C32" s="10"/>
      <c r="D32" s="10"/>
      <c r="E32" s="10"/>
      <c r="F32" s="10"/>
    </row>
    <row r="33" spans="1:9" ht="14.4" x14ac:dyDescent="0.3">
      <c r="A33" s="11" t="s">
        <v>6</v>
      </c>
      <c r="B33" s="11"/>
      <c r="C33" s="10"/>
      <c r="D33" s="10"/>
      <c r="E33" s="10"/>
      <c r="F33" s="10"/>
    </row>
    <row r="34" spans="1:9" ht="14.4" x14ac:dyDescent="0.3">
      <c r="A34" s="84" t="s">
        <v>73</v>
      </c>
      <c r="B34" s="11"/>
      <c r="C34" s="10"/>
      <c r="D34" s="10"/>
      <c r="E34" s="10"/>
      <c r="F34" s="10"/>
      <c r="G34" s="70"/>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281</v>
      </c>
      <c r="B38" s="24"/>
      <c r="C38" s="25"/>
      <c r="D38" s="25"/>
      <c r="E38" s="24"/>
      <c r="F38" s="24"/>
      <c r="I38" s="38"/>
    </row>
    <row r="39" spans="1:9" s="30" customFormat="1" ht="19.350000000000001" customHeight="1" x14ac:dyDescent="0.3">
      <c r="A39" s="27" t="s">
        <v>266</v>
      </c>
      <c r="B39" s="28"/>
      <c r="C39" s="29"/>
      <c r="D39" s="29"/>
      <c r="E39" s="28"/>
      <c r="F39" s="28"/>
      <c r="I39" s="41"/>
    </row>
    <row r="40" spans="1:9" ht="169.35" customHeight="1" x14ac:dyDescent="0.25">
      <c r="A40" s="86" t="s">
        <v>280</v>
      </c>
      <c r="B40" s="86"/>
      <c r="C40" s="86"/>
      <c r="D40" s="86"/>
      <c r="E40" s="86"/>
      <c r="F40" s="86"/>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4 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0" width="7.77734375" style="2" bestFit="1" customWidth="1"/>
    <col min="11" max="11" width="7.5546875" style="2" bestFit="1" customWidth="1"/>
    <col min="12" max="12" width="13.77734375" style="2" customWidth="1"/>
    <col min="13" max="13" width="7.77734375" style="2" customWidth="1"/>
    <col min="14" max="14" width="8.5546875" style="2" customWidth="1"/>
    <col min="15" max="16384" width="9.44140625" style="2"/>
  </cols>
  <sheetData>
    <row r="1" spans="1:15" ht="17.25" customHeight="1" x14ac:dyDescent="0.25">
      <c r="A1" s="87" t="s">
        <v>7</v>
      </c>
      <c r="B1" s="13"/>
      <c r="C1" s="89" t="s">
        <v>8</v>
      </c>
      <c r="D1" s="90"/>
      <c r="E1" s="90"/>
      <c r="F1" s="90"/>
      <c r="G1" s="90"/>
      <c r="H1" s="90"/>
      <c r="I1" s="90"/>
      <c r="J1" s="90"/>
      <c r="K1" s="90"/>
      <c r="L1" s="90"/>
      <c r="M1" s="90"/>
      <c r="N1" s="91"/>
    </row>
    <row r="2" spans="1:15" ht="55.2" x14ac:dyDescent="0.25">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5">
        <v>-153.62206578225999</v>
      </c>
      <c r="B3" s="75">
        <v>45488</v>
      </c>
      <c r="C3" s="15">
        <v>-27.822206012429994</v>
      </c>
      <c r="D3" s="15">
        <v>2.0334955075999996</v>
      </c>
      <c r="E3" s="15">
        <v>-2.0661626999999996</v>
      </c>
      <c r="F3" s="15">
        <v>-192.36861659999997</v>
      </c>
      <c r="G3" s="15">
        <v>-4.3496357530000012</v>
      </c>
      <c r="H3" s="15">
        <v>-25.238259962449991</v>
      </c>
      <c r="I3" s="15">
        <v>0.38508069999999994</v>
      </c>
      <c r="J3" s="15">
        <v>4.0620914660000009</v>
      </c>
      <c r="K3" s="15">
        <v>34.561046372020009</v>
      </c>
      <c r="L3" s="15">
        <v>-3.8849596000000015</v>
      </c>
      <c r="M3" s="15">
        <v>73.940990999999983</v>
      </c>
      <c r="N3" s="15">
        <v>-12.874930200000001</v>
      </c>
    </row>
    <row r="4" spans="1:15" x14ac:dyDescent="0.25">
      <c r="A4" s="45">
        <v>-136.69141146371004</v>
      </c>
      <c r="B4" s="12">
        <v>45495</v>
      </c>
      <c r="C4" s="74">
        <v>-5.6095738448200025</v>
      </c>
      <c r="D4" s="74">
        <v>-0.97205089889999985</v>
      </c>
      <c r="E4" s="74">
        <v>0.89287859999999986</v>
      </c>
      <c r="F4" s="74">
        <v>-104.51397170000001</v>
      </c>
      <c r="G4" s="74">
        <v>1.4100003288999996</v>
      </c>
      <c r="H4" s="74">
        <v>-53.396645931339997</v>
      </c>
      <c r="I4" s="74">
        <v>0.22897719999999983</v>
      </c>
      <c r="J4" s="74">
        <v>-3.9418626370000012</v>
      </c>
      <c r="K4" s="74">
        <v>-11.955028680550003</v>
      </c>
      <c r="L4" s="74">
        <v>-16.087274799999996</v>
      </c>
      <c r="M4" s="74">
        <v>60.850640600000006</v>
      </c>
      <c r="N4" s="74">
        <v>-3.5974997000000002</v>
      </c>
    </row>
    <row r="5" spans="1:15" x14ac:dyDescent="0.25">
      <c r="A5" s="45">
        <v>-127.51125879571001</v>
      </c>
      <c r="B5" s="75">
        <v>45502</v>
      </c>
      <c r="C5" s="15">
        <v>5.2135717218400019</v>
      </c>
      <c r="D5" s="15">
        <v>14.764867886399998</v>
      </c>
      <c r="E5" s="15">
        <v>9.0200000000001564E-3</v>
      </c>
      <c r="F5" s="15">
        <v>-32.010962800000016</v>
      </c>
      <c r="G5" s="15">
        <v>-13.921220560800002</v>
      </c>
      <c r="H5" s="15">
        <v>-210.62431696634002</v>
      </c>
      <c r="I5" s="15">
        <v>-1.785858199999999</v>
      </c>
      <c r="J5" s="15">
        <v>-8.9083078711999981</v>
      </c>
      <c r="K5" s="15">
        <v>44.366546994389992</v>
      </c>
      <c r="L5" s="15">
        <v>-2.5861827999999965</v>
      </c>
      <c r="M5" s="15">
        <v>72.726658300000011</v>
      </c>
      <c r="N5" s="15">
        <v>5.2449254999999999</v>
      </c>
    </row>
    <row r="6" spans="1:15" ht="14.4" x14ac:dyDescent="0.3">
      <c r="A6" s="45">
        <f>SUM(C6:N6)</f>
        <v>-506.25353028582003</v>
      </c>
      <c r="B6" s="12">
        <v>45509</v>
      </c>
      <c r="C6" s="79">
        <v>4.5670054776799978</v>
      </c>
      <c r="D6" s="79">
        <v>5.4689225080000003</v>
      </c>
      <c r="E6" s="79">
        <v>2.3745446000000001</v>
      </c>
      <c r="F6" s="79">
        <v>-476.04945180000004</v>
      </c>
      <c r="G6" s="79">
        <v>1.0682410246</v>
      </c>
      <c r="H6" s="79">
        <v>-66.253364496999964</v>
      </c>
      <c r="I6" s="79">
        <v>-0.57500629999999986</v>
      </c>
      <c r="J6" s="79">
        <v>10.100826009499999</v>
      </c>
      <c r="K6" s="79">
        <v>-31.417167388599992</v>
      </c>
      <c r="L6" s="79">
        <v>-11.010071419999999</v>
      </c>
      <c r="M6" s="79">
        <v>48.403126300000004</v>
      </c>
      <c r="N6" s="79">
        <v>7.0688652000000003</v>
      </c>
      <c r="O6"/>
    </row>
    <row r="7" spans="1:15" ht="14.4" x14ac:dyDescent="0.3">
      <c r="A7" s="72"/>
      <c r="B7" s="59"/>
      <c r="C7" s="76"/>
      <c r="D7" s="76"/>
      <c r="E7" s="76"/>
      <c r="F7" s="76"/>
      <c r="G7" s="76"/>
      <c r="H7" s="76"/>
      <c r="I7" s="76"/>
      <c r="J7" s="76"/>
      <c r="K7" s="76"/>
      <c r="L7" s="76"/>
      <c r="M7" s="76"/>
      <c r="N7" s="76"/>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71"/>
      <c r="D13" s="71"/>
      <c r="E13" s="71"/>
      <c r="F13" s="71"/>
      <c r="G13" s="71"/>
      <c r="H13" s="71"/>
      <c r="I13" s="71"/>
      <c r="J13" s="71"/>
      <c r="K13" s="71"/>
      <c r="L13" s="71"/>
      <c r="M13" s="71"/>
      <c r="N13" s="71"/>
    </row>
    <row r="14" spans="1:15" ht="14.4" x14ac:dyDescent="0.3">
      <c r="B14" s="50"/>
      <c r="C14" s="50"/>
      <c r="D14" s="50"/>
      <c r="E14" s="50"/>
      <c r="F14" s="50"/>
      <c r="G14" s="50"/>
      <c r="H14" s="50"/>
      <c r="I14" s="50"/>
      <c r="J14" s="50"/>
      <c r="K14" s="50"/>
      <c r="L14" s="50"/>
      <c r="M14" s="50"/>
      <c r="N14"/>
      <c r="O14" s="43"/>
    </row>
    <row r="15" spans="1:15" ht="14.4" x14ac:dyDescent="0.3">
      <c r="C15" s="50"/>
      <c r="D15" s="50"/>
      <c r="E15" s="50"/>
      <c r="F15" s="50"/>
      <c r="G15" s="50"/>
      <c r="H15" s="50"/>
      <c r="I15" s="50"/>
      <c r="J15" s="50"/>
      <c r="K15" s="50"/>
      <c r="L15" s="50"/>
      <c r="M15" s="50"/>
      <c r="N15" s="50"/>
      <c r="O15" s="50"/>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77734375" style="2" bestFit="1" customWidth="1"/>
    <col min="12" max="12" width="13.77734375" style="2" customWidth="1"/>
    <col min="13" max="13" width="7.77734375" style="2" bestFit="1" customWidth="1"/>
    <col min="14" max="14" width="8.5546875" style="2" bestFit="1" customWidth="1"/>
    <col min="15" max="16384" width="9.44140625" style="2"/>
  </cols>
  <sheetData>
    <row r="1" spans="1:18" ht="17.25" customHeight="1" x14ac:dyDescent="0.25">
      <c r="A1" s="87" t="s">
        <v>7</v>
      </c>
      <c r="B1" s="13"/>
      <c r="C1" s="89" t="s">
        <v>8</v>
      </c>
      <c r="D1" s="90"/>
      <c r="E1" s="90"/>
      <c r="F1" s="90"/>
      <c r="G1" s="90"/>
      <c r="H1" s="90"/>
      <c r="I1" s="90"/>
      <c r="J1" s="90"/>
      <c r="K1" s="90"/>
      <c r="L1" s="90"/>
      <c r="M1" s="90"/>
      <c r="N1" s="91"/>
    </row>
    <row r="2" spans="1:18" ht="55.2" x14ac:dyDescent="0.25">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8">
        <v>201.82952500305996</v>
      </c>
      <c r="B3" s="67">
        <v>45488</v>
      </c>
      <c r="C3" s="58">
        <v>30.073531687340001</v>
      </c>
      <c r="D3" s="58">
        <v>6.1826122556000023</v>
      </c>
      <c r="E3" s="58">
        <v>1.3063474999999998</v>
      </c>
      <c r="F3" s="58">
        <v>166.58562619999998</v>
      </c>
      <c r="G3" s="58">
        <v>2.2952164048000006</v>
      </c>
      <c r="H3" s="58">
        <v>22.609072742299997</v>
      </c>
      <c r="I3" s="58">
        <v>-9.0779000000000123E-2</v>
      </c>
      <c r="J3" s="58">
        <v>4.7306607539000014</v>
      </c>
      <c r="K3" s="58">
        <v>6.9281559120001002E-2</v>
      </c>
      <c r="L3" s="58">
        <v>16.372587799999998</v>
      </c>
      <c r="M3" s="58">
        <v>-69.416030599999999</v>
      </c>
      <c r="N3" s="58">
        <v>21.111397700000001</v>
      </c>
      <c r="P3" s="14"/>
    </row>
    <row r="4" spans="1:18" x14ac:dyDescent="0.25">
      <c r="A4" s="68">
        <v>250.64253237871006</v>
      </c>
      <c r="B4" s="69">
        <v>45495</v>
      </c>
      <c r="C4" s="52">
        <v>8.3656409533100025</v>
      </c>
      <c r="D4" s="52">
        <v>-0.64847146810000122</v>
      </c>
      <c r="E4" s="52">
        <v>-2.3825824000000004</v>
      </c>
      <c r="F4" s="52">
        <v>158.97830500000001</v>
      </c>
      <c r="G4" s="52">
        <v>-0.1481467102</v>
      </c>
      <c r="H4" s="52">
        <v>68.207145502350016</v>
      </c>
      <c r="I4" s="52">
        <v>0.65884489999999984</v>
      </c>
      <c r="J4" s="52">
        <v>5.0145872054000007</v>
      </c>
      <c r="K4" s="52">
        <v>45.313619995950006</v>
      </c>
      <c r="L4" s="52">
        <v>21.082762600000009</v>
      </c>
      <c r="M4" s="52">
        <v>-54.371192600000001</v>
      </c>
      <c r="N4" s="52">
        <v>0.57201939999999996</v>
      </c>
      <c r="P4" s="14"/>
    </row>
    <row r="5" spans="1:18" x14ac:dyDescent="0.25">
      <c r="A5" s="68">
        <v>503.62216377405986</v>
      </c>
      <c r="B5" s="67">
        <v>45502</v>
      </c>
      <c r="C5" s="58">
        <v>3.9504230100600006</v>
      </c>
      <c r="D5" s="58">
        <v>-14.204406622899999</v>
      </c>
      <c r="E5" s="58">
        <v>1.2499300999999998</v>
      </c>
      <c r="F5" s="58">
        <v>246.41389330000004</v>
      </c>
      <c r="G5" s="58">
        <v>21.306596942100004</v>
      </c>
      <c r="H5" s="58">
        <v>342.43103366738984</v>
      </c>
      <c r="I5" s="58">
        <v>0.58449230000000019</v>
      </c>
      <c r="J5" s="58">
        <v>2.1462974546999991</v>
      </c>
      <c r="K5" s="58">
        <v>-40.626373577290011</v>
      </c>
      <c r="L5" s="58">
        <v>6.1823695000000001</v>
      </c>
      <c r="M5" s="58">
        <v>-63.808999299999996</v>
      </c>
      <c r="N5" s="58">
        <v>-2.0030929999999998</v>
      </c>
      <c r="P5" s="14"/>
    </row>
    <row r="6" spans="1:18" x14ac:dyDescent="0.25">
      <c r="A6" s="68">
        <f>SUM(C6:N6)</f>
        <v>839.71894678689989</v>
      </c>
      <c r="B6" s="12">
        <v>45509</v>
      </c>
      <c r="C6" s="79">
        <v>5.3254437821800007</v>
      </c>
      <c r="D6" s="79">
        <v>2.1072866076000016</v>
      </c>
      <c r="E6" s="79">
        <v>-3.7045155999999997</v>
      </c>
      <c r="F6" s="79">
        <v>721.87922589999982</v>
      </c>
      <c r="G6" s="79">
        <v>0.53415042759999998</v>
      </c>
      <c r="H6" s="79">
        <v>129.00472842987003</v>
      </c>
      <c r="I6" s="79">
        <v>2.2580516000000004</v>
      </c>
      <c r="J6" s="79">
        <v>-3.6082378331000005</v>
      </c>
      <c r="K6" s="79">
        <v>31.464044952749997</v>
      </c>
      <c r="L6" s="79">
        <v>21.398568019999999</v>
      </c>
      <c r="M6" s="79">
        <v>-55.371682800000002</v>
      </c>
      <c r="N6" s="79">
        <v>-11.568116700000001</v>
      </c>
      <c r="P6" s="14"/>
    </row>
    <row r="7" spans="1:18" ht="14.4" x14ac:dyDescent="0.3">
      <c r="A7" s="72"/>
      <c r="B7" s="53"/>
      <c r="C7" s="76"/>
      <c r="D7" s="76"/>
      <c r="E7" s="76"/>
      <c r="F7" s="76"/>
      <c r="G7" s="76"/>
      <c r="H7" s="76"/>
      <c r="I7" s="76"/>
      <c r="J7" s="76"/>
      <c r="K7" s="76"/>
      <c r="L7" s="76"/>
      <c r="M7" s="76"/>
      <c r="N7" s="76"/>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50"/>
      <c r="D12" s="50"/>
      <c r="E12" s="50"/>
      <c r="F12" s="50"/>
      <c r="G12" s="50"/>
      <c r="H12" s="50"/>
      <c r="I12" s="50"/>
      <c r="J12" s="50"/>
      <c r="K12" s="50"/>
      <c r="L12" s="50"/>
      <c r="M12" s="50"/>
      <c r="N12" s="50"/>
    </row>
    <row r="13" spans="1:18" ht="14.4" x14ac:dyDescent="0.3">
      <c r="B13"/>
      <c r="C13" s="50"/>
      <c r="D13" s="50"/>
      <c r="E13" s="50"/>
      <c r="F13" s="50"/>
      <c r="G13" s="50"/>
      <c r="H13" s="50"/>
      <c r="I13" s="50"/>
      <c r="J13" s="50"/>
      <c r="K13" s="50"/>
      <c r="L13" s="50"/>
      <c r="M13" s="50"/>
      <c r="N13" s="50"/>
      <c r="O13" s="43"/>
      <c r="P13"/>
      <c r="Q13"/>
      <c r="R13"/>
    </row>
    <row r="14" spans="1:18" ht="14.4" x14ac:dyDescent="0.3">
      <c r="C14"/>
      <c r="D14"/>
      <c r="E14"/>
      <c r="F14"/>
      <c r="G14"/>
      <c r="H14"/>
      <c r="I14"/>
      <c r="J14"/>
      <c r="K14"/>
      <c r="L14"/>
      <c r="M14"/>
      <c r="N14"/>
      <c r="O14"/>
      <c r="P14"/>
      <c r="Q14"/>
      <c r="R14"/>
    </row>
    <row r="15" spans="1:18" ht="14.4" x14ac:dyDescent="0.3">
      <c r="C15" s="50"/>
      <c r="D15" s="50"/>
      <c r="E15" s="50"/>
      <c r="F15" s="50"/>
      <c r="G15" s="50"/>
      <c r="H15" s="50"/>
      <c r="I15" s="50"/>
      <c r="J15" s="50"/>
      <c r="K15" s="50"/>
      <c r="L15" s="50"/>
      <c r="M15" s="50"/>
      <c r="N15" s="50"/>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7" width="12.77734375" customWidth="1"/>
    <col min="8" max="8" width="15.77734375" customWidth="1"/>
    <col min="12" max="12" width="16" customWidth="1"/>
  </cols>
  <sheetData>
    <row r="1" spans="1:5" ht="55.2" x14ac:dyDescent="0.3">
      <c r="A1" s="32" t="str">
        <f>CONCATENATE("STI Constituents - ",'Weekly Top 10'!$C$5)</f>
        <v>STI Constituents - Week of 5 August 2024</v>
      </c>
      <c r="B1" s="16" t="s">
        <v>1</v>
      </c>
      <c r="C1" s="17" t="s">
        <v>71</v>
      </c>
      <c r="D1" s="17" t="s">
        <v>72</v>
      </c>
    </row>
    <row r="2" spans="1:5" x14ac:dyDescent="0.3">
      <c r="A2" s="18" t="s">
        <v>87</v>
      </c>
      <c r="B2" s="19" t="s">
        <v>25</v>
      </c>
      <c r="C2" s="20">
        <v>6.2430320000000004</v>
      </c>
      <c r="D2" s="20">
        <v>1.835493</v>
      </c>
      <c r="E2" s="38"/>
    </row>
    <row r="3" spans="1:5" x14ac:dyDescent="0.3">
      <c r="A3" s="21" t="s">
        <v>77</v>
      </c>
      <c r="B3" s="22" t="s">
        <v>56</v>
      </c>
      <c r="C3" s="8">
        <v>-20.805461999999999</v>
      </c>
      <c r="D3" s="8">
        <v>4.4394210000000003</v>
      </c>
      <c r="E3" s="38"/>
    </row>
    <row r="4" spans="1:5" x14ac:dyDescent="0.3">
      <c r="A4" s="5" t="s">
        <v>84</v>
      </c>
      <c r="B4" s="7" t="s">
        <v>83</v>
      </c>
      <c r="C4" s="6">
        <v>-11.249032</v>
      </c>
      <c r="D4" s="6">
        <v>20.998587000000001</v>
      </c>
      <c r="E4" s="38"/>
    </row>
    <row r="5" spans="1:5" x14ac:dyDescent="0.3">
      <c r="A5" s="21" t="s">
        <v>63</v>
      </c>
      <c r="B5" s="22" t="s">
        <v>54</v>
      </c>
      <c r="C5" s="8">
        <v>1.8005500000000001</v>
      </c>
      <c r="D5" s="8">
        <v>1.297925</v>
      </c>
      <c r="E5" s="38"/>
    </row>
    <row r="6" spans="1:5" x14ac:dyDescent="0.3">
      <c r="A6" s="5" t="s">
        <v>26</v>
      </c>
      <c r="B6" s="7" t="s">
        <v>21</v>
      </c>
      <c r="C6" s="6">
        <v>-324.75333599999999</v>
      </c>
      <c r="D6" s="6">
        <v>395.842893</v>
      </c>
      <c r="E6" s="38"/>
    </row>
    <row r="7" spans="1:5" x14ac:dyDescent="0.3">
      <c r="A7" s="21" t="s">
        <v>85</v>
      </c>
      <c r="B7" s="22" t="s">
        <v>57</v>
      </c>
      <c r="C7" s="8">
        <v>0.213804508</v>
      </c>
      <c r="D7" s="8">
        <v>0.20898740760000001</v>
      </c>
      <c r="E7" s="38"/>
    </row>
    <row r="8" spans="1:5" x14ac:dyDescent="0.3">
      <c r="A8" s="5" t="s">
        <v>246</v>
      </c>
      <c r="B8" s="7" t="s">
        <v>108</v>
      </c>
      <c r="C8" s="6">
        <v>1.1473679999999999</v>
      </c>
      <c r="D8" s="6">
        <v>-2.535628</v>
      </c>
      <c r="E8" s="38"/>
    </row>
    <row r="9" spans="1:5" x14ac:dyDescent="0.3">
      <c r="A9" s="21" t="s">
        <v>79</v>
      </c>
      <c r="B9" s="22" t="s">
        <v>78</v>
      </c>
      <c r="C9" s="8">
        <v>-5.21135E-2</v>
      </c>
      <c r="D9" s="8">
        <v>-0.68476499999999996</v>
      </c>
      <c r="E9" s="38"/>
    </row>
    <row r="10" spans="1:5" x14ac:dyDescent="0.3">
      <c r="A10" s="5" t="s">
        <v>36</v>
      </c>
      <c r="B10" s="7" t="s">
        <v>35</v>
      </c>
      <c r="C10" s="6">
        <v>-2.0020465000000001</v>
      </c>
      <c r="D10" s="6">
        <v>11.638472</v>
      </c>
      <c r="E10" s="38"/>
    </row>
    <row r="11" spans="1:5" x14ac:dyDescent="0.3">
      <c r="A11" s="21" t="s">
        <v>64</v>
      </c>
      <c r="B11" s="22" t="s">
        <v>55</v>
      </c>
      <c r="C11" s="8">
        <v>5.4846216095000004</v>
      </c>
      <c r="D11" s="8">
        <v>-4.3909406331000014</v>
      </c>
      <c r="E11" s="38"/>
    </row>
    <row r="12" spans="1:5" x14ac:dyDescent="0.3">
      <c r="A12" s="5" t="s">
        <v>50</v>
      </c>
      <c r="B12" s="7" t="s">
        <v>48</v>
      </c>
      <c r="C12" s="6">
        <v>3.3902169999999998</v>
      </c>
      <c r="D12" s="6">
        <v>-3.6899630000000001</v>
      </c>
      <c r="E12" s="38"/>
    </row>
    <row r="13" spans="1:5" x14ac:dyDescent="0.3">
      <c r="A13" s="21" t="s">
        <v>62</v>
      </c>
      <c r="B13" s="22" t="s">
        <v>52</v>
      </c>
      <c r="C13" s="8">
        <v>0.1711686374999965</v>
      </c>
      <c r="D13" s="8">
        <v>-4.2283484104000006</v>
      </c>
      <c r="E13" s="38"/>
    </row>
    <row r="14" spans="1:5" x14ac:dyDescent="0.3">
      <c r="A14" s="5" t="s">
        <v>148</v>
      </c>
      <c r="B14" s="7" t="s">
        <v>32</v>
      </c>
      <c r="C14" s="6">
        <v>-28.783753999999998</v>
      </c>
      <c r="D14" s="6">
        <v>41.809640999999999</v>
      </c>
      <c r="E14" s="38"/>
    </row>
    <row r="15" spans="1:5" x14ac:dyDescent="0.3">
      <c r="A15" s="21" t="s">
        <v>75</v>
      </c>
      <c r="B15" s="22" t="s">
        <v>74</v>
      </c>
      <c r="C15" s="8">
        <v>-6.3385319999999998</v>
      </c>
      <c r="D15" s="8">
        <v>0.101996</v>
      </c>
      <c r="E15" s="38"/>
    </row>
    <row r="16" spans="1:5" x14ac:dyDescent="0.3">
      <c r="A16" s="5" t="s">
        <v>40</v>
      </c>
      <c r="B16" s="7" t="s">
        <v>38</v>
      </c>
      <c r="C16" s="6">
        <v>-4.2626109999999997</v>
      </c>
      <c r="D16" s="6">
        <v>6.6654580000000001</v>
      </c>
      <c r="E16" s="38"/>
    </row>
    <row r="17" spans="1:5" x14ac:dyDescent="0.3">
      <c r="A17" s="21" t="s">
        <v>259</v>
      </c>
      <c r="B17" s="22" t="s">
        <v>58</v>
      </c>
      <c r="C17" s="8">
        <v>0.230402</v>
      </c>
      <c r="D17" s="8">
        <v>6.5468060000000001</v>
      </c>
      <c r="E17" s="38"/>
    </row>
    <row r="18" spans="1:5" x14ac:dyDescent="0.3">
      <c r="A18" s="5" t="s">
        <v>27</v>
      </c>
      <c r="B18" s="7" t="s">
        <v>22</v>
      </c>
      <c r="C18" s="6">
        <v>-103.83754500000001</v>
      </c>
      <c r="D18" s="6">
        <v>170.112334</v>
      </c>
      <c r="E18" s="38"/>
    </row>
    <row r="19" spans="1:5" x14ac:dyDescent="0.3">
      <c r="A19" s="21" t="s">
        <v>34</v>
      </c>
      <c r="B19" s="22" t="s">
        <v>30</v>
      </c>
      <c r="C19" s="8">
        <v>4.267137</v>
      </c>
      <c r="D19" s="8">
        <v>-2.7988309999999998</v>
      </c>
      <c r="E19" s="38"/>
    </row>
    <row r="20" spans="1:5" x14ac:dyDescent="0.3">
      <c r="A20" s="5" t="s">
        <v>142</v>
      </c>
      <c r="B20" s="7" t="s">
        <v>253</v>
      </c>
      <c r="C20" s="6">
        <v>-9.3811719999999994</v>
      </c>
      <c r="D20" s="6">
        <v>10.509008</v>
      </c>
      <c r="E20" s="38"/>
    </row>
    <row r="21" spans="1:5" x14ac:dyDescent="0.3">
      <c r="A21" s="21" t="s">
        <v>45</v>
      </c>
      <c r="B21" s="22" t="s">
        <v>42</v>
      </c>
      <c r="C21" s="8">
        <v>7.0438919999999996</v>
      </c>
      <c r="D21" s="8">
        <v>-11.543592</v>
      </c>
      <c r="E21" s="38"/>
    </row>
    <row r="22" spans="1:5" x14ac:dyDescent="0.3">
      <c r="A22" s="5" t="s">
        <v>33</v>
      </c>
      <c r="B22" s="7" t="s">
        <v>31</v>
      </c>
      <c r="C22" s="6">
        <v>-55.807400000000001</v>
      </c>
      <c r="D22" s="6">
        <v>69.715659000000002</v>
      </c>
      <c r="E22" s="38"/>
    </row>
    <row r="23" spans="1:5" x14ac:dyDescent="0.3">
      <c r="A23" s="21" t="s">
        <v>29</v>
      </c>
      <c r="B23" s="22" t="s">
        <v>24</v>
      </c>
      <c r="C23" s="8">
        <v>31.051034000000001</v>
      </c>
      <c r="D23" s="8">
        <v>-18.997693000000002</v>
      </c>
      <c r="E23" s="38"/>
    </row>
    <row r="24" spans="1:5" x14ac:dyDescent="0.3">
      <c r="A24" s="5" t="s">
        <v>39</v>
      </c>
      <c r="B24" s="7" t="s">
        <v>37</v>
      </c>
      <c r="C24" s="6">
        <v>3.1972079999999998</v>
      </c>
      <c r="D24" s="6">
        <v>0.402808</v>
      </c>
      <c r="E24" s="38"/>
    </row>
    <row r="25" spans="1:5" x14ac:dyDescent="0.3">
      <c r="A25" s="21" t="s">
        <v>49</v>
      </c>
      <c r="B25" s="22" t="s">
        <v>47</v>
      </c>
      <c r="C25" s="8">
        <v>46.721085700000003</v>
      </c>
      <c r="D25" s="8">
        <v>-53.043441999999999</v>
      </c>
      <c r="E25" s="38"/>
    </row>
    <row r="26" spans="1:5" x14ac:dyDescent="0.3">
      <c r="A26" s="5" t="s">
        <v>60</v>
      </c>
      <c r="B26" s="7" t="s">
        <v>51</v>
      </c>
      <c r="C26" s="6">
        <v>1.4571585</v>
      </c>
      <c r="D26" s="6">
        <v>-7.0839425</v>
      </c>
      <c r="E26" s="38"/>
    </row>
    <row r="27" spans="1:5" x14ac:dyDescent="0.3">
      <c r="A27" s="21" t="s">
        <v>28</v>
      </c>
      <c r="B27" s="22" t="s">
        <v>23</v>
      </c>
      <c r="C27" s="8">
        <v>-69.829350000000005</v>
      </c>
      <c r="D27" s="8">
        <v>154.70252500000001</v>
      </c>
      <c r="E27" s="38"/>
    </row>
    <row r="28" spans="1:5" x14ac:dyDescent="0.3">
      <c r="A28" s="5" t="s">
        <v>65</v>
      </c>
      <c r="B28" s="7" t="s">
        <v>59</v>
      </c>
      <c r="C28" s="6">
        <v>3.4272879999999999</v>
      </c>
      <c r="D28" s="6">
        <v>-2.2217889999999998</v>
      </c>
      <c r="E28" s="38"/>
    </row>
    <row r="29" spans="1:5" x14ac:dyDescent="0.3">
      <c r="A29" s="21" t="s">
        <v>46</v>
      </c>
      <c r="B29" s="22" t="s">
        <v>43</v>
      </c>
      <c r="C29" s="8">
        <v>-3.5569048200000002</v>
      </c>
      <c r="D29" s="8">
        <v>10.954287819999999</v>
      </c>
      <c r="E29" s="38"/>
    </row>
    <row r="30" spans="1:5" x14ac:dyDescent="0.3">
      <c r="A30" s="5" t="s">
        <v>44</v>
      </c>
      <c r="B30" s="7" t="s">
        <v>41</v>
      </c>
      <c r="C30" s="6">
        <v>7.8357700000000001</v>
      </c>
      <c r="D30" s="6">
        <v>6.495844</v>
      </c>
      <c r="E30" s="38"/>
    </row>
    <row r="31" spans="1:5" ht="15" thickBot="1" x14ac:dyDescent="0.35">
      <c r="A31" s="21" t="s">
        <v>61</v>
      </c>
      <c r="B31" s="22" t="s">
        <v>53</v>
      </c>
      <c r="C31" s="8">
        <v>10.301216999999999</v>
      </c>
      <c r="D31" s="8">
        <v>17.894449999999999</v>
      </c>
      <c r="E31" s="38"/>
    </row>
    <row r="32" spans="1:5" ht="21" customHeight="1" thickBot="1" x14ac:dyDescent="0.35">
      <c r="A32" s="92" t="s">
        <v>66</v>
      </c>
      <c r="B32" s="93"/>
      <c r="C32" s="61">
        <f>SUM(C2:C31)</f>
        <v>-506.67630486500008</v>
      </c>
      <c r="D32" s="62">
        <f>SUM(D2:D31)</f>
        <v>820.9536606841001</v>
      </c>
    </row>
    <row r="34" spans="1:5" x14ac:dyDescent="0.3">
      <c r="A34" s="11" t="s">
        <v>67</v>
      </c>
      <c r="B34" s="49"/>
      <c r="C34" s="49"/>
      <c r="D34" s="49"/>
      <c r="E34" s="49"/>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21875" customWidth="1"/>
    <col min="10" max="10" width="23.77734375" customWidth="1"/>
    <col min="11" max="11" width="20.77734375" customWidth="1"/>
    <col min="12" max="13" width="16.77734375"/>
  </cols>
  <sheetData>
    <row r="1" spans="1:17" ht="41.4" x14ac:dyDescent="0.3">
      <c r="A1" s="32" t="str">
        <f>CONCATENATE("100 Most Traded Stocks YTD - ",'Weekly Top 10'!$C$5)</f>
        <v>100 Most Traded Stocks YTD - Week of 5 August 2024</v>
      </c>
      <c r="B1" s="16" t="s">
        <v>1</v>
      </c>
      <c r="C1" s="48" t="s">
        <v>98</v>
      </c>
      <c r="D1" s="17" t="s">
        <v>97</v>
      </c>
      <c r="E1" s="17" t="s">
        <v>99</v>
      </c>
      <c r="F1" s="17" t="s">
        <v>100</v>
      </c>
      <c r="G1" s="54"/>
      <c r="H1" s="83"/>
      <c r="I1" s="83"/>
      <c r="J1" s="83"/>
      <c r="K1" s="83"/>
      <c r="L1" s="83"/>
      <c r="M1" s="83"/>
    </row>
    <row r="2" spans="1:17" x14ac:dyDescent="0.3">
      <c r="A2" s="18" t="s">
        <v>26</v>
      </c>
      <c r="B2" s="19" t="s">
        <v>21</v>
      </c>
      <c r="C2" s="55">
        <v>155.82185248427629</v>
      </c>
      <c r="D2" s="55">
        <v>-542.62171970000009</v>
      </c>
      <c r="E2" s="55">
        <v>-363.43622199999999</v>
      </c>
      <c r="F2" s="20" t="s">
        <v>13</v>
      </c>
      <c r="G2" s="54"/>
      <c r="O2" s="77"/>
      <c r="P2" s="77"/>
      <c r="Q2" s="77"/>
    </row>
    <row r="3" spans="1:17" x14ac:dyDescent="0.3">
      <c r="A3" s="21" t="s">
        <v>28</v>
      </c>
      <c r="B3" s="22" t="s">
        <v>23</v>
      </c>
      <c r="C3" s="56">
        <v>86.708706335993412</v>
      </c>
      <c r="D3" s="56">
        <v>401.36375780000003</v>
      </c>
      <c r="E3" s="56">
        <v>-80.722745000000003</v>
      </c>
      <c r="F3" s="8" t="s">
        <v>13</v>
      </c>
      <c r="G3" s="54"/>
      <c r="O3" s="77"/>
      <c r="P3" s="77"/>
      <c r="Q3" s="77"/>
    </row>
    <row r="4" spans="1:17" x14ac:dyDescent="0.3">
      <c r="A4" s="5" t="s">
        <v>49</v>
      </c>
      <c r="B4" s="7" t="s">
        <v>47</v>
      </c>
      <c r="C4" s="57">
        <v>85.656752386697363</v>
      </c>
      <c r="D4" s="57">
        <v>559.15459910000004</v>
      </c>
      <c r="E4" s="57">
        <v>54.0604315</v>
      </c>
      <c r="F4" s="6" t="s">
        <v>157</v>
      </c>
      <c r="G4" s="54"/>
      <c r="O4" s="77"/>
      <c r="P4" s="77"/>
      <c r="Q4" s="77"/>
    </row>
    <row r="5" spans="1:17" x14ac:dyDescent="0.3">
      <c r="A5" s="21" t="s">
        <v>161</v>
      </c>
      <c r="B5" s="22" t="s">
        <v>22</v>
      </c>
      <c r="C5" s="56">
        <v>76.751871627217099</v>
      </c>
      <c r="D5" s="56">
        <v>172.14567009999999</v>
      </c>
      <c r="E5" s="56">
        <v>-93.384557000000001</v>
      </c>
      <c r="F5" s="8" t="s">
        <v>13</v>
      </c>
      <c r="G5" s="54"/>
      <c r="O5" s="77"/>
      <c r="P5" s="77"/>
      <c r="Q5" s="77"/>
    </row>
    <row r="6" spans="1:17" x14ac:dyDescent="0.3">
      <c r="A6" s="5" t="s">
        <v>278</v>
      </c>
      <c r="B6" s="7" t="s">
        <v>253</v>
      </c>
      <c r="C6" s="56">
        <v>67.152001632121227</v>
      </c>
      <c r="D6" s="57">
        <v>-281.18599999999998</v>
      </c>
      <c r="E6" s="57">
        <v>-40.077886999999997</v>
      </c>
      <c r="F6" s="6" t="s">
        <v>14</v>
      </c>
      <c r="G6" s="54"/>
      <c r="O6" s="77"/>
      <c r="P6" s="77"/>
      <c r="Q6" s="77"/>
    </row>
    <row r="7" spans="1:17" x14ac:dyDescent="0.3">
      <c r="A7" s="21" t="s">
        <v>164</v>
      </c>
      <c r="B7" s="22" t="s">
        <v>53</v>
      </c>
      <c r="C7" s="56">
        <v>44.130258340578941</v>
      </c>
      <c r="D7" s="56">
        <v>138.84924080000002</v>
      </c>
      <c r="E7" s="56">
        <v>-4.0934530000000002</v>
      </c>
      <c r="F7" s="8" t="s">
        <v>14</v>
      </c>
      <c r="G7" s="54"/>
      <c r="O7" s="77"/>
      <c r="P7" s="77"/>
      <c r="Q7" s="77"/>
    </row>
    <row r="8" spans="1:17" x14ac:dyDescent="0.3">
      <c r="A8" s="5" t="s">
        <v>162</v>
      </c>
      <c r="B8" s="7" t="s">
        <v>56</v>
      </c>
      <c r="C8" s="57">
        <v>43.349797913684213</v>
      </c>
      <c r="D8" s="57">
        <v>-27.515764000000001</v>
      </c>
      <c r="E8" s="57">
        <v>-10.524558000000001</v>
      </c>
      <c r="F8" s="6" t="s">
        <v>17</v>
      </c>
      <c r="G8" s="54"/>
      <c r="O8" s="77"/>
      <c r="P8" s="77"/>
      <c r="Q8" s="77"/>
    </row>
    <row r="9" spans="1:17" x14ac:dyDescent="0.3">
      <c r="A9" s="21" t="s">
        <v>33</v>
      </c>
      <c r="B9" s="22" t="s">
        <v>31</v>
      </c>
      <c r="C9" s="56">
        <v>39.933363703618426</v>
      </c>
      <c r="D9" s="56">
        <v>-533.91057899999998</v>
      </c>
      <c r="E9" s="56">
        <v>-85.794950999999998</v>
      </c>
      <c r="F9" s="8" t="s">
        <v>14</v>
      </c>
      <c r="G9" s="54"/>
      <c r="O9" s="77"/>
      <c r="P9" s="77"/>
      <c r="Q9" s="77"/>
    </row>
    <row r="10" spans="1:17" x14ac:dyDescent="0.3">
      <c r="A10" s="5" t="s">
        <v>163</v>
      </c>
      <c r="B10" s="7" t="s">
        <v>25</v>
      </c>
      <c r="C10" s="57">
        <v>34.173004729144736</v>
      </c>
      <c r="D10" s="57">
        <v>-134.60117099999999</v>
      </c>
      <c r="E10" s="57">
        <v>7.9590860000000001</v>
      </c>
      <c r="F10" s="6" t="s">
        <v>17</v>
      </c>
      <c r="G10" s="54"/>
      <c r="O10" s="77"/>
      <c r="P10" s="77"/>
      <c r="Q10" s="77"/>
    </row>
    <row r="11" spans="1:17" x14ac:dyDescent="0.3">
      <c r="A11" s="21" t="s">
        <v>166</v>
      </c>
      <c r="B11" s="22" t="s">
        <v>38</v>
      </c>
      <c r="C11" s="56">
        <v>33.541561719078949</v>
      </c>
      <c r="D11" s="56">
        <v>-250.16329500000001</v>
      </c>
      <c r="E11" s="56">
        <v>-0.287383</v>
      </c>
      <c r="F11" s="8" t="s">
        <v>17</v>
      </c>
      <c r="G11" s="54"/>
      <c r="O11" s="77"/>
      <c r="P11" s="77"/>
      <c r="Q11" s="77"/>
    </row>
    <row r="12" spans="1:17" x14ac:dyDescent="0.3">
      <c r="A12" s="5" t="s">
        <v>167</v>
      </c>
      <c r="B12" s="7" t="s">
        <v>35</v>
      </c>
      <c r="C12" s="57">
        <v>26.567302335177629</v>
      </c>
      <c r="D12" s="57">
        <v>-144.71252050000001</v>
      </c>
      <c r="E12" s="57">
        <v>-3.5207700000000002</v>
      </c>
      <c r="F12" s="6" t="s">
        <v>10</v>
      </c>
      <c r="G12" s="54"/>
      <c r="O12" s="77"/>
      <c r="P12" s="77"/>
      <c r="Q12" s="77"/>
    </row>
    <row r="13" spans="1:17" x14ac:dyDescent="0.3">
      <c r="A13" s="21" t="s">
        <v>165</v>
      </c>
      <c r="B13" s="22" t="s">
        <v>83</v>
      </c>
      <c r="C13" s="56">
        <v>25.824637431374999</v>
      </c>
      <c r="D13" s="56">
        <v>-126.672498</v>
      </c>
      <c r="E13" s="56">
        <v>-9.9469159999999999</v>
      </c>
      <c r="F13" s="8" t="s">
        <v>13</v>
      </c>
      <c r="G13" s="54"/>
      <c r="O13" s="77"/>
      <c r="P13" s="77"/>
      <c r="Q13" s="77"/>
    </row>
    <row r="14" spans="1:17" x14ac:dyDescent="0.3">
      <c r="A14" s="5" t="s">
        <v>148</v>
      </c>
      <c r="B14" s="7" t="s">
        <v>32</v>
      </c>
      <c r="C14" s="57">
        <v>24.609341557440793</v>
      </c>
      <c r="D14" s="57">
        <v>-81.006304</v>
      </c>
      <c r="E14" s="57">
        <v>-42.178248000000004</v>
      </c>
      <c r="F14" s="6" t="s">
        <v>14</v>
      </c>
      <c r="G14" s="54"/>
      <c r="O14" s="77"/>
      <c r="P14" s="77"/>
      <c r="Q14" s="77"/>
    </row>
    <row r="15" spans="1:17" x14ac:dyDescent="0.3">
      <c r="A15" s="21" t="s">
        <v>173</v>
      </c>
      <c r="B15" s="22" t="s">
        <v>58</v>
      </c>
      <c r="C15" s="56">
        <v>22.549353419605271</v>
      </c>
      <c r="D15" s="56">
        <v>-155.48620399999999</v>
      </c>
      <c r="E15" s="56">
        <v>2.6481940000000002</v>
      </c>
      <c r="F15" s="8" t="s">
        <v>17</v>
      </c>
      <c r="G15" s="54"/>
      <c r="O15" s="77"/>
      <c r="P15" s="77"/>
      <c r="Q15" s="77"/>
    </row>
    <row r="16" spans="1:17" x14ac:dyDescent="0.3">
      <c r="A16" s="5" t="s">
        <v>175</v>
      </c>
      <c r="B16" s="7" t="s">
        <v>48</v>
      </c>
      <c r="C16" s="57">
        <v>21.357326012039472</v>
      </c>
      <c r="D16" s="57">
        <v>-99.103007000000005</v>
      </c>
      <c r="E16" s="57">
        <v>3.2480159999999998</v>
      </c>
      <c r="F16" s="6" t="s">
        <v>10</v>
      </c>
      <c r="G16" s="54"/>
      <c r="O16" s="77"/>
      <c r="P16" s="77"/>
      <c r="Q16" s="77"/>
    </row>
    <row r="17" spans="1:17" x14ac:dyDescent="0.3">
      <c r="A17" s="21" t="s">
        <v>177</v>
      </c>
      <c r="B17" s="22" t="s">
        <v>54</v>
      </c>
      <c r="C17" s="56">
        <v>18.51486498256579</v>
      </c>
      <c r="D17" s="56">
        <v>-219.6921566</v>
      </c>
      <c r="E17" s="56">
        <v>3.931467</v>
      </c>
      <c r="F17" s="8" t="s">
        <v>16</v>
      </c>
      <c r="G17" s="54"/>
      <c r="O17" s="77"/>
      <c r="P17" s="77"/>
      <c r="Q17" s="77"/>
    </row>
    <row r="18" spans="1:17" x14ac:dyDescent="0.3">
      <c r="A18" s="5" t="s">
        <v>39</v>
      </c>
      <c r="B18" s="7" t="s">
        <v>37</v>
      </c>
      <c r="C18" s="57">
        <v>17.640912826842101</v>
      </c>
      <c r="D18" s="57">
        <v>156.830544</v>
      </c>
      <c r="E18" s="57">
        <v>1.612136</v>
      </c>
      <c r="F18" s="6" t="s">
        <v>14</v>
      </c>
      <c r="G18" s="54"/>
      <c r="O18" s="77"/>
      <c r="P18" s="77"/>
      <c r="Q18" s="77"/>
    </row>
    <row r="19" spans="1:17" x14ac:dyDescent="0.3">
      <c r="A19" s="21" t="s">
        <v>171</v>
      </c>
      <c r="B19" s="22" t="s">
        <v>42</v>
      </c>
      <c r="C19" s="56">
        <v>17.40720151315789</v>
      </c>
      <c r="D19" s="56">
        <v>-46.184981799999996</v>
      </c>
      <c r="E19" s="56">
        <v>5.9576770000000003</v>
      </c>
      <c r="F19" s="8" t="s">
        <v>19</v>
      </c>
      <c r="G19" s="54"/>
      <c r="O19" s="77"/>
      <c r="P19" s="77"/>
      <c r="Q19" s="77"/>
    </row>
    <row r="20" spans="1:17" x14ac:dyDescent="0.3">
      <c r="A20" s="5" t="s">
        <v>29</v>
      </c>
      <c r="B20" s="7" t="s">
        <v>24</v>
      </c>
      <c r="C20" s="57">
        <v>17.345202991184209</v>
      </c>
      <c r="D20" s="57">
        <v>23.0364</v>
      </c>
      <c r="E20" s="57">
        <v>33.379317999999998</v>
      </c>
      <c r="F20" s="6" t="s">
        <v>13</v>
      </c>
      <c r="G20" s="54"/>
      <c r="O20" s="77"/>
      <c r="P20" s="77"/>
      <c r="Q20" s="77"/>
    </row>
    <row r="21" spans="1:17" x14ac:dyDescent="0.3">
      <c r="A21" s="21" t="s">
        <v>170</v>
      </c>
      <c r="B21" s="22" t="s">
        <v>41</v>
      </c>
      <c r="C21" s="56">
        <v>17.09199431132237</v>
      </c>
      <c r="D21" s="56">
        <v>-54.932822000000002</v>
      </c>
      <c r="E21" s="56">
        <v>12.425045000000001</v>
      </c>
      <c r="F21" s="8" t="s">
        <v>11</v>
      </c>
      <c r="G21" s="54"/>
      <c r="O21" s="77"/>
      <c r="P21" s="77"/>
      <c r="Q21" s="77"/>
    </row>
    <row r="22" spans="1:17" x14ac:dyDescent="0.3">
      <c r="A22" s="5" t="s">
        <v>174</v>
      </c>
      <c r="B22" s="7" t="s">
        <v>51</v>
      </c>
      <c r="C22" s="57">
        <v>16.881286637500001</v>
      </c>
      <c r="D22" s="57">
        <v>59.232192000000005</v>
      </c>
      <c r="E22" s="57">
        <v>3.5562689999999999</v>
      </c>
      <c r="F22" s="6" t="s">
        <v>11</v>
      </c>
      <c r="G22" s="54"/>
      <c r="O22" s="77"/>
      <c r="P22" s="77"/>
      <c r="Q22" s="77"/>
    </row>
    <row r="23" spans="1:17" x14ac:dyDescent="0.3">
      <c r="A23" s="21" t="s">
        <v>169</v>
      </c>
      <c r="B23" s="22" t="s">
        <v>52</v>
      </c>
      <c r="C23" s="56">
        <v>14.848855480519131</v>
      </c>
      <c r="D23" s="56">
        <v>4.3784310885499975</v>
      </c>
      <c r="E23" s="56">
        <v>1.0277951535000001</v>
      </c>
      <c r="F23" s="8" t="s">
        <v>14</v>
      </c>
      <c r="G23" s="54"/>
      <c r="O23" s="77"/>
      <c r="P23" s="77"/>
      <c r="Q23" s="77"/>
    </row>
    <row r="24" spans="1:17" x14ac:dyDescent="0.3">
      <c r="A24" s="5" t="s">
        <v>172</v>
      </c>
      <c r="B24" s="7" t="s">
        <v>74</v>
      </c>
      <c r="C24" s="57">
        <v>13.87375254828947</v>
      </c>
      <c r="D24" s="57">
        <v>-100.611341</v>
      </c>
      <c r="E24" s="57">
        <v>-12.179169</v>
      </c>
      <c r="F24" s="6" t="s">
        <v>17</v>
      </c>
      <c r="G24" s="54"/>
      <c r="O24" s="77"/>
      <c r="P24" s="77"/>
      <c r="Q24" s="77"/>
    </row>
    <row r="25" spans="1:17" x14ac:dyDescent="0.3">
      <c r="A25" s="21" t="s">
        <v>34</v>
      </c>
      <c r="B25" s="22" t="s">
        <v>30</v>
      </c>
      <c r="C25" s="56">
        <v>13.071791289473682</v>
      </c>
      <c r="D25" s="56">
        <v>99.400640999999993</v>
      </c>
      <c r="E25" s="56">
        <v>9.3857180000000007</v>
      </c>
      <c r="F25" s="8" t="s">
        <v>14</v>
      </c>
      <c r="G25" s="54"/>
      <c r="O25" s="77"/>
      <c r="P25" s="77"/>
      <c r="Q25" s="77"/>
    </row>
    <row r="26" spans="1:17" x14ac:dyDescent="0.3">
      <c r="A26" s="5" t="s">
        <v>176</v>
      </c>
      <c r="B26" s="7" t="s">
        <v>59</v>
      </c>
      <c r="C26" s="57">
        <v>12.417713083947369</v>
      </c>
      <c r="D26" s="57">
        <v>-115.622308</v>
      </c>
      <c r="E26" s="57">
        <v>3.97716</v>
      </c>
      <c r="F26" s="6" t="s">
        <v>16</v>
      </c>
      <c r="G26" s="54"/>
      <c r="O26" s="77"/>
      <c r="P26" s="77"/>
      <c r="Q26" s="77"/>
    </row>
    <row r="27" spans="1:17" x14ac:dyDescent="0.3">
      <c r="A27" s="21" t="s">
        <v>181</v>
      </c>
      <c r="B27" s="22" t="s">
        <v>78</v>
      </c>
      <c r="C27" s="56">
        <v>11.18575238585526</v>
      </c>
      <c r="D27" s="56">
        <v>-69.7048475</v>
      </c>
      <c r="E27" s="56">
        <v>2.6279764999999999</v>
      </c>
      <c r="F27" s="8" t="s">
        <v>17</v>
      </c>
      <c r="G27" s="54"/>
      <c r="O27" s="77"/>
      <c r="P27" s="77"/>
      <c r="Q27" s="77"/>
    </row>
    <row r="28" spans="1:17" x14ac:dyDescent="0.3">
      <c r="A28" s="5" t="s">
        <v>178</v>
      </c>
      <c r="B28" s="7" t="s">
        <v>43</v>
      </c>
      <c r="C28" s="57">
        <v>10.973103542539469</v>
      </c>
      <c r="D28" s="57">
        <v>95.383077179999987</v>
      </c>
      <c r="E28" s="57">
        <v>-5.2572378200000003</v>
      </c>
      <c r="F28" s="6" t="s">
        <v>158</v>
      </c>
      <c r="G28" s="54"/>
      <c r="O28" s="77"/>
      <c r="P28" s="77"/>
      <c r="Q28" s="77"/>
    </row>
    <row r="29" spans="1:17" x14ac:dyDescent="0.3">
      <c r="A29" s="21" t="s">
        <v>168</v>
      </c>
      <c r="B29" s="22" t="s">
        <v>76</v>
      </c>
      <c r="C29" s="56">
        <v>10.90382905763158</v>
      </c>
      <c r="D29" s="56">
        <v>-19.867951000000001</v>
      </c>
      <c r="E29" s="56">
        <v>10.666512000000001</v>
      </c>
      <c r="F29" s="8" t="s">
        <v>17</v>
      </c>
      <c r="G29" s="54"/>
      <c r="O29" s="77"/>
      <c r="P29" s="77"/>
      <c r="Q29" s="77"/>
    </row>
    <row r="30" spans="1:17" x14ac:dyDescent="0.3">
      <c r="A30" s="5" t="s">
        <v>182</v>
      </c>
      <c r="B30" s="7" t="s">
        <v>55</v>
      </c>
      <c r="C30" s="57">
        <v>8.9092188874002645</v>
      </c>
      <c r="D30" s="57">
        <v>24.250682491900001</v>
      </c>
      <c r="E30" s="57">
        <v>5.1410508575000007</v>
      </c>
      <c r="F30" s="6" t="s">
        <v>16</v>
      </c>
      <c r="G30" s="54"/>
      <c r="O30" s="77"/>
      <c r="P30" s="77"/>
      <c r="Q30" s="77"/>
    </row>
    <row r="31" spans="1:17" x14ac:dyDescent="0.3">
      <c r="A31" s="21" t="s">
        <v>183</v>
      </c>
      <c r="B31" s="22" t="s">
        <v>88</v>
      </c>
      <c r="C31" s="56">
        <v>8.5446487210526314</v>
      </c>
      <c r="D31" s="56">
        <v>8.0583860000000023</v>
      </c>
      <c r="E31" s="56">
        <v>1.586152</v>
      </c>
      <c r="F31" s="8" t="s">
        <v>17</v>
      </c>
      <c r="G31" s="54"/>
      <c r="O31" s="77"/>
      <c r="P31" s="77"/>
      <c r="Q31" s="77"/>
    </row>
    <row r="32" spans="1:17" x14ac:dyDescent="0.3">
      <c r="A32" s="5" t="s">
        <v>139</v>
      </c>
      <c r="B32" s="7" t="s">
        <v>105</v>
      </c>
      <c r="C32" s="57">
        <v>8.0364285605263159</v>
      </c>
      <c r="D32" s="57">
        <v>69.434309999999996</v>
      </c>
      <c r="E32" s="57">
        <v>7.8761580000000002</v>
      </c>
      <c r="F32" s="6" t="s">
        <v>14</v>
      </c>
      <c r="G32" s="54"/>
      <c r="O32" s="77"/>
      <c r="P32" s="77"/>
      <c r="Q32" s="77"/>
    </row>
    <row r="33" spans="1:17" x14ac:dyDescent="0.3">
      <c r="A33" s="21" t="s">
        <v>180</v>
      </c>
      <c r="B33" s="22" t="s">
        <v>108</v>
      </c>
      <c r="C33" s="56">
        <v>6.9256613342105258</v>
      </c>
      <c r="D33" s="56">
        <v>-10.305263999999999</v>
      </c>
      <c r="E33" s="56">
        <v>1.3687370000000001</v>
      </c>
      <c r="F33" s="8" t="s">
        <v>17</v>
      </c>
      <c r="G33" s="54"/>
      <c r="O33" s="77"/>
      <c r="P33" s="77"/>
      <c r="Q33" s="77"/>
    </row>
    <row r="34" spans="1:17" x14ac:dyDescent="0.3">
      <c r="A34" s="5" t="s">
        <v>186</v>
      </c>
      <c r="B34" s="7" t="s">
        <v>109</v>
      </c>
      <c r="C34" s="57">
        <v>6.3768065519736838</v>
      </c>
      <c r="D34" s="57">
        <v>2.5387409999999999</v>
      </c>
      <c r="E34" s="57">
        <v>-1.550654</v>
      </c>
      <c r="F34" s="6" t="s">
        <v>158</v>
      </c>
      <c r="G34" s="54"/>
      <c r="O34" s="77"/>
      <c r="P34" s="77"/>
      <c r="Q34" s="77"/>
    </row>
    <row r="35" spans="1:17" x14ac:dyDescent="0.3">
      <c r="A35" s="21" t="s">
        <v>179</v>
      </c>
      <c r="B35" s="22" t="s">
        <v>101</v>
      </c>
      <c r="C35" s="56">
        <v>6.2010173295526316</v>
      </c>
      <c r="D35" s="56">
        <v>-22.8632445</v>
      </c>
      <c r="E35" s="56">
        <v>-1.9705379999999999</v>
      </c>
      <c r="F35" s="8" t="s">
        <v>17</v>
      </c>
      <c r="G35" s="54"/>
      <c r="O35" s="77"/>
      <c r="P35" s="77"/>
      <c r="Q35" s="77"/>
    </row>
    <row r="36" spans="1:17" x14ac:dyDescent="0.3">
      <c r="A36" s="5" t="s">
        <v>187</v>
      </c>
      <c r="B36" s="7" t="s">
        <v>256</v>
      </c>
      <c r="C36" s="57">
        <v>5.8080003861842107</v>
      </c>
      <c r="D36" s="57">
        <v>-31.818788999999999</v>
      </c>
      <c r="E36" s="57">
        <v>-4.833761</v>
      </c>
      <c r="F36" s="6" t="s">
        <v>158</v>
      </c>
      <c r="G36" s="54"/>
      <c r="O36" s="77"/>
      <c r="P36" s="77"/>
      <c r="Q36" s="77"/>
    </row>
    <row r="37" spans="1:17" x14ac:dyDescent="0.3">
      <c r="A37" s="21" t="s">
        <v>184</v>
      </c>
      <c r="B37" s="22" t="s">
        <v>89</v>
      </c>
      <c r="C37" s="56">
        <v>5.2276718751578946</v>
      </c>
      <c r="D37" s="56">
        <v>-86.69876322399999</v>
      </c>
      <c r="E37" s="56">
        <v>-1.8798189999999999</v>
      </c>
      <c r="F37" s="8" t="s">
        <v>158</v>
      </c>
      <c r="G37" s="54"/>
      <c r="O37" s="77"/>
      <c r="P37" s="77"/>
      <c r="Q37" s="77"/>
    </row>
    <row r="38" spans="1:17" x14ac:dyDescent="0.3">
      <c r="A38" s="5" t="s">
        <v>185</v>
      </c>
      <c r="B38" s="7" t="s">
        <v>91</v>
      </c>
      <c r="C38" s="57">
        <v>5.0772171810855262</v>
      </c>
      <c r="D38" s="57">
        <v>-74.027134500000003</v>
      </c>
      <c r="E38" s="57">
        <v>-6.8133555000000001</v>
      </c>
      <c r="F38" s="6" t="s">
        <v>17</v>
      </c>
      <c r="G38" s="54"/>
      <c r="O38" s="77"/>
      <c r="P38" s="77"/>
      <c r="Q38" s="77"/>
    </row>
    <row r="39" spans="1:17" x14ac:dyDescent="0.3">
      <c r="A39" s="21" t="s">
        <v>209</v>
      </c>
      <c r="B39" s="22" t="s">
        <v>128</v>
      </c>
      <c r="C39" s="56">
        <v>4.222155815131579</v>
      </c>
      <c r="D39" s="56">
        <v>29.8858435</v>
      </c>
      <c r="E39" s="56">
        <v>3.09809</v>
      </c>
      <c r="F39" s="8" t="s">
        <v>159</v>
      </c>
      <c r="G39" s="54"/>
      <c r="O39" s="77"/>
      <c r="P39" s="77"/>
      <c r="Q39" s="77"/>
    </row>
    <row r="40" spans="1:17" x14ac:dyDescent="0.3">
      <c r="A40" s="5" t="s">
        <v>190</v>
      </c>
      <c r="B40" s="7" t="s">
        <v>123</v>
      </c>
      <c r="C40" s="57">
        <v>4.102907522697369</v>
      </c>
      <c r="D40" s="57">
        <v>8.3758630000000007</v>
      </c>
      <c r="E40" s="57">
        <v>-0.96025799999999994</v>
      </c>
      <c r="F40" s="6" t="s">
        <v>158</v>
      </c>
      <c r="G40" s="54"/>
      <c r="O40" s="77"/>
      <c r="P40" s="77"/>
      <c r="Q40" s="77"/>
    </row>
    <row r="41" spans="1:17" x14ac:dyDescent="0.3">
      <c r="A41" s="21" t="s">
        <v>204</v>
      </c>
      <c r="B41" s="22" t="s">
        <v>107</v>
      </c>
      <c r="C41" s="56">
        <v>3.8787249114473683</v>
      </c>
      <c r="D41" s="56">
        <v>-39.151589999999999</v>
      </c>
      <c r="E41" s="56">
        <v>-11.806174499999999</v>
      </c>
      <c r="F41" s="8" t="s">
        <v>11</v>
      </c>
      <c r="G41" s="54"/>
      <c r="O41" s="77"/>
      <c r="P41" s="77"/>
      <c r="Q41" s="77"/>
    </row>
    <row r="42" spans="1:17" x14ac:dyDescent="0.3">
      <c r="A42" s="5" t="s">
        <v>191</v>
      </c>
      <c r="B42" s="7" t="s">
        <v>110</v>
      </c>
      <c r="C42" s="57">
        <v>3.8387211072368421</v>
      </c>
      <c r="D42" s="57">
        <v>-21.489312000000002</v>
      </c>
      <c r="E42" s="57">
        <v>-1.4628505000000001</v>
      </c>
      <c r="F42" s="6" t="s">
        <v>158</v>
      </c>
      <c r="G42" s="54"/>
      <c r="O42" s="77"/>
      <c r="P42" s="77"/>
      <c r="Q42" s="77"/>
    </row>
    <row r="43" spans="1:17" x14ac:dyDescent="0.3">
      <c r="A43" s="21" t="s">
        <v>193</v>
      </c>
      <c r="B43" s="22" t="s">
        <v>115</v>
      </c>
      <c r="C43" s="56">
        <v>3.306780708815789</v>
      </c>
      <c r="D43" s="56">
        <v>-28.222818499999999</v>
      </c>
      <c r="E43" s="56">
        <v>1.0656859999999999</v>
      </c>
      <c r="F43" s="8" t="s">
        <v>157</v>
      </c>
      <c r="G43" s="54"/>
      <c r="O43" s="77"/>
      <c r="P43" s="77"/>
      <c r="Q43" s="77"/>
    </row>
    <row r="44" spans="1:17" x14ac:dyDescent="0.3">
      <c r="A44" s="5" t="s">
        <v>192</v>
      </c>
      <c r="B44" s="7" t="s">
        <v>102</v>
      </c>
      <c r="C44" s="57">
        <v>3.1922135115789469</v>
      </c>
      <c r="D44" s="57">
        <v>-10.6261025</v>
      </c>
      <c r="E44" s="57">
        <v>-0.44958550000000003</v>
      </c>
      <c r="F44" s="6" t="s">
        <v>17</v>
      </c>
      <c r="G44" s="54"/>
      <c r="O44" s="77"/>
      <c r="P44" s="77"/>
      <c r="Q44" s="77"/>
    </row>
    <row r="45" spans="1:17" x14ac:dyDescent="0.3">
      <c r="A45" s="21" t="s">
        <v>189</v>
      </c>
      <c r="B45" s="22" t="s">
        <v>94</v>
      </c>
      <c r="C45" s="56">
        <v>3.114581980263158</v>
      </c>
      <c r="D45" s="56">
        <v>8.4125595000000004</v>
      </c>
      <c r="E45" s="56">
        <v>1.0503864999999999</v>
      </c>
      <c r="F45" s="8" t="s">
        <v>14</v>
      </c>
      <c r="G45" s="54"/>
      <c r="O45" s="77"/>
      <c r="P45" s="77"/>
      <c r="Q45" s="77"/>
    </row>
    <row r="46" spans="1:17" x14ac:dyDescent="0.3">
      <c r="A46" s="5" t="s">
        <v>188</v>
      </c>
      <c r="B46" s="7" t="s">
        <v>120</v>
      </c>
      <c r="C46" s="57">
        <v>2.959744513157895</v>
      </c>
      <c r="D46" s="57">
        <v>5.6955024999999999</v>
      </c>
      <c r="E46" s="57">
        <v>-0.7162170000000001</v>
      </c>
      <c r="F46" s="6" t="s">
        <v>159</v>
      </c>
      <c r="G46" s="54"/>
      <c r="O46" s="77"/>
      <c r="P46" s="77"/>
      <c r="Q46" s="77"/>
    </row>
    <row r="47" spans="1:17" x14ac:dyDescent="0.3">
      <c r="A47" s="21" t="s">
        <v>213</v>
      </c>
      <c r="B47" s="22" t="s">
        <v>130</v>
      </c>
      <c r="C47" s="56">
        <v>2.7753531224999999</v>
      </c>
      <c r="D47" s="56">
        <v>13.119806499999999</v>
      </c>
      <c r="E47" s="56">
        <v>0.35260950000000002</v>
      </c>
      <c r="F47" s="8" t="s">
        <v>160</v>
      </c>
      <c r="G47" s="54"/>
      <c r="O47" s="77"/>
      <c r="P47" s="77"/>
      <c r="Q47" s="77"/>
    </row>
    <row r="48" spans="1:17" x14ac:dyDescent="0.3">
      <c r="A48" s="5" t="s">
        <v>197</v>
      </c>
      <c r="B48" s="7" t="s">
        <v>106</v>
      </c>
      <c r="C48" s="57">
        <v>2.568143091447368</v>
      </c>
      <c r="D48" s="57">
        <v>-18.5152675</v>
      </c>
      <c r="E48" s="85">
        <v>1.1795960000000001</v>
      </c>
      <c r="F48" s="6" t="s">
        <v>17</v>
      </c>
      <c r="G48" s="54"/>
      <c r="O48" s="77"/>
      <c r="P48" s="77"/>
      <c r="Q48" s="77"/>
    </row>
    <row r="49" spans="1:17" x14ac:dyDescent="0.3">
      <c r="A49" s="21" t="s">
        <v>251</v>
      </c>
      <c r="B49" s="22" t="s">
        <v>252</v>
      </c>
      <c r="C49" s="56">
        <v>2.5275225888157902</v>
      </c>
      <c r="D49" s="56">
        <v>55.098126999999998</v>
      </c>
      <c r="E49" s="56">
        <v>0</v>
      </c>
      <c r="F49" s="8" t="s">
        <v>13</v>
      </c>
      <c r="G49" s="54"/>
      <c r="O49" s="77"/>
      <c r="P49" s="77"/>
      <c r="Q49" s="77"/>
    </row>
    <row r="50" spans="1:17" x14ac:dyDescent="0.3">
      <c r="A50" s="5" t="s">
        <v>240</v>
      </c>
      <c r="B50" s="7" t="s">
        <v>151</v>
      </c>
      <c r="C50" s="57">
        <v>2.46375724456579</v>
      </c>
      <c r="D50" s="57">
        <v>4.5536688000000005</v>
      </c>
      <c r="E50" s="57">
        <v>-0.18674479999999999</v>
      </c>
      <c r="F50" s="6" t="s">
        <v>16</v>
      </c>
      <c r="G50" s="54"/>
      <c r="O50" s="77"/>
      <c r="P50" s="77"/>
      <c r="Q50" s="77"/>
    </row>
    <row r="51" spans="1:17" x14ac:dyDescent="0.3">
      <c r="A51" s="21" t="s">
        <v>196</v>
      </c>
      <c r="B51" s="22" t="s">
        <v>117</v>
      </c>
      <c r="C51" s="56">
        <v>2.4527921867302629</v>
      </c>
      <c r="D51" s="56">
        <v>-7.1356890000000011</v>
      </c>
      <c r="E51" s="56">
        <v>-2.315245</v>
      </c>
      <c r="F51" s="8" t="s">
        <v>17</v>
      </c>
      <c r="G51" s="54"/>
      <c r="O51" s="77"/>
      <c r="P51" s="77"/>
      <c r="Q51" s="77"/>
    </row>
    <row r="52" spans="1:17" x14ac:dyDescent="0.3">
      <c r="A52" s="5" t="s">
        <v>203</v>
      </c>
      <c r="B52" s="7" t="s">
        <v>103</v>
      </c>
      <c r="C52" s="57">
        <v>2.382698530065789</v>
      </c>
      <c r="D52" s="57">
        <v>-17.3373925</v>
      </c>
      <c r="E52" s="57">
        <v>-1.2968634999999999</v>
      </c>
      <c r="F52" s="6" t="s">
        <v>15</v>
      </c>
      <c r="G52" s="54"/>
      <c r="O52" s="77"/>
      <c r="P52" s="77"/>
      <c r="Q52" s="77"/>
    </row>
    <row r="53" spans="1:17" x14ac:dyDescent="0.3">
      <c r="A53" s="21" t="s">
        <v>205</v>
      </c>
      <c r="B53" s="22" t="s">
        <v>118</v>
      </c>
      <c r="C53" s="56">
        <v>2.3585211838361189</v>
      </c>
      <c r="D53" s="56">
        <v>5.770791215850001</v>
      </c>
      <c r="E53" s="56">
        <v>1.7628021527</v>
      </c>
      <c r="F53" s="8" t="s">
        <v>17</v>
      </c>
      <c r="G53" s="54"/>
      <c r="O53" s="77"/>
      <c r="P53" s="77"/>
      <c r="Q53" s="77"/>
    </row>
    <row r="54" spans="1:17" x14ac:dyDescent="0.3">
      <c r="A54" s="5" t="s">
        <v>194</v>
      </c>
      <c r="B54" s="7" t="s">
        <v>95</v>
      </c>
      <c r="C54" s="57">
        <v>2.331500599078947</v>
      </c>
      <c r="D54" s="57">
        <v>-54.823359500000002</v>
      </c>
      <c r="E54" s="57">
        <v>-2.7364484999999998</v>
      </c>
      <c r="F54" s="6" t="s">
        <v>17</v>
      </c>
      <c r="G54" s="54"/>
      <c r="O54" s="77"/>
      <c r="P54" s="77"/>
      <c r="Q54" s="77"/>
    </row>
    <row r="55" spans="1:17" x14ac:dyDescent="0.3">
      <c r="A55" s="21" t="s">
        <v>206</v>
      </c>
      <c r="B55" s="22" t="s">
        <v>90</v>
      </c>
      <c r="C55" s="56">
        <v>2.300150367105263</v>
      </c>
      <c r="D55" s="56">
        <v>-32.649766</v>
      </c>
      <c r="E55" s="56">
        <v>6.0661959999999997</v>
      </c>
      <c r="F55" s="8" t="s">
        <v>11</v>
      </c>
      <c r="G55" s="54"/>
      <c r="O55" s="77"/>
      <c r="P55" s="77"/>
      <c r="Q55" s="77"/>
    </row>
    <row r="56" spans="1:17" x14ac:dyDescent="0.3">
      <c r="A56" s="5" t="s">
        <v>201</v>
      </c>
      <c r="B56" s="7" t="s">
        <v>121</v>
      </c>
      <c r="C56" s="57">
        <v>2.1475548309210519</v>
      </c>
      <c r="D56" s="57">
        <v>-29.066700999999998</v>
      </c>
      <c r="E56" s="57">
        <v>-1.109205</v>
      </c>
      <c r="F56" s="6" t="s">
        <v>17</v>
      </c>
      <c r="G56" s="54"/>
      <c r="O56" s="77"/>
      <c r="P56" s="77"/>
      <c r="Q56" s="77"/>
    </row>
    <row r="57" spans="1:17" x14ac:dyDescent="0.3">
      <c r="A57" s="21" t="s">
        <v>202</v>
      </c>
      <c r="B57" s="22" t="s">
        <v>57</v>
      </c>
      <c r="C57" s="56">
        <v>1.9981608614981579</v>
      </c>
      <c r="D57" s="56">
        <v>-17.419552049</v>
      </c>
      <c r="E57" s="56">
        <v>-0.46069498399999997</v>
      </c>
      <c r="F57" s="8" t="s">
        <v>11</v>
      </c>
      <c r="G57" s="54"/>
      <c r="O57" s="77"/>
      <c r="P57" s="77"/>
      <c r="Q57" s="77"/>
    </row>
    <row r="58" spans="1:17" x14ac:dyDescent="0.3">
      <c r="A58" s="5" t="s">
        <v>195</v>
      </c>
      <c r="B58" s="7" t="s">
        <v>104</v>
      </c>
      <c r="C58" s="57">
        <v>1.976020630263158</v>
      </c>
      <c r="D58" s="57">
        <v>-5.5174709999999996</v>
      </c>
      <c r="E58" s="57">
        <v>6.3438400000000006E-2</v>
      </c>
      <c r="F58" s="6" t="s">
        <v>159</v>
      </c>
      <c r="G58" s="54"/>
      <c r="O58" s="77"/>
      <c r="P58" s="77"/>
      <c r="Q58" s="77"/>
    </row>
    <row r="59" spans="1:17" x14ac:dyDescent="0.3">
      <c r="A59" s="21" t="s">
        <v>222</v>
      </c>
      <c r="B59" s="22" t="s">
        <v>96</v>
      </c>
      <c r="C59" s="56">
        <v>1.8749334092105259</v>
      </c>
      <c r="D59" s="56">
        <v>0.50777050000000001</v>
      </c>
      <c r="E59" s="56">
        <v>-0.248973</v>
      </c>
      <c r="F59" s="8" t="s">
        <v>11</v>
      </c>
      <c r="G59" s="54"/>
      <c r="O59" s="77"/>
      <c r="P59" s="77"/>
      <c r="Q59" s="77"/>
    </row>
    <row r="60" spans="1:17" x14ac:dyDescent="0.3">
      <c r="A60" s="5" t="s">
        <v>221</v>
      </c>
      <c r="B60" s="7" t="s">
        <v>113</v>
      </c>
      <c r="C60" s="57">
        <v>1.861173359868421</v>
      </c>
      <c r="D60" s="57">
        <v>-58.973197499999998</v>
      </c>
      <c r="E60" s="57">
        <v>-3.0464889999999998</v>
      </c>
      <c r="F60" s="6" t="s">
        <v>160</v>
      </c>
      <c r="G60" s="54"/>
      <c r="O60" s="77"/>
      <c r="P60" s="77"/>
      <c r="Q60" s="77"/>
    </row>
    <row r="61" spans="1:17" x14ac:dyDescent="0.3">
      <c r="A61" s="21" t="s">
        <v>208</v>
      </c>
      <c r="B61" s="22" t="s">
        <v>111</v>
      </c>
      <c r="C61" s="56">
        <v>1.8366939422368418</v>
      </c>
      <c r="D61" s="56">
        <v>14.6847695</v>
      </c>
      <c r="E61" s="56">
        <v>3.1206659999999999</v>
      </c>
      <c r="F61" s="8" t="s">
        <v>13</v>
      </c>
      <c r="G61" s="54"/>
      <c r="O61" s="77"/>
      <c r="P61" s="77"/>
      <c r="Q61" s="77"/>
    </row>
    <row r="62" spans="1:17" x14ac:dyDescent="0.3">
      <c r="A62" s="5" t="s">
        <v>199</v>
      </c>
      <c r="B62" s="7" t="s">
        <v>119</v>
      </c>
      <c r="C62" s="57">
        <v>1.682865336578947</v>
      </c>
      <c r="D62" s="57">
        <v>-23.968481000000001</v>
      </c>
      <c r="E62" s="57">
        <v>-5.3313065000000002</v>
      </c>
      <c r="F62" s="6" t="s">
        <v>17</v>
      </c>
      <c r="G62" s="54"/>
      <c r="O62" s="77"/>
      <c r="P62" s="77"/>
      <c r="Q62" s="77"/>
    </row>
    <row r="63" spans="1:17" x14ac:dyDescent="0.3">
      <c r="A63" s="21" t="s">
        <v>211</v>
      </c>
      <c r="B63" s="22" t="s">
        <v>112</v>
      </c>
      <c r="C63" s="56">
        <v>1.6741808032894741</v>
      </c>
      <c r="D63" s="56">
        <v>3.3209019999999998</v>
      </c>
      <c r="E63" s="56">
        <v>-0.28717799999999999</v>
      </c>
      <c r="F63" s="8" t="s">
        <v>11</v>
      </c>
      <c r="G63" s="54"/>
      <c r="O63" s="77"/>
      <c r="P63" s="77"/>
      <c r="Q63" s="77"/>
    </row>
    <row r="64" spans="1:17" x14ac:dyDescent="0.3">
      <c r="A64" s="5" t="s">
        <v>224</v>
      </c>
      <c r="B64" s="7" t="s">
        <v>133</v>
      </c>
      <c r="C64" s="57">
        <v>1.655407163157895</v>
      </c>
      <c r="D64" s="57">
        <v>8.640727</v>
      </c>
      <c r="E64" s="57">
        <v>1.2931075000000001</v>
      </c>
      <c r="F64" s="6" t="s">
        <v>14</v>
      </c>
      <c r="G64" s="54"/>
      <c r="O64" s="77"/>
      <c r="P64" s="77"/>
      <c r="Q64" s="77"/>
    </row>
    <row r="65" spans="1:17" x14ac:dyDescent="0.3">
      <c r="A65" s="21" t="s">
        <v>198</v>
      </c>
      <c r="B65" s="22" t="s">
        <v>149</v>
      </c>
      <c r="C65" s="56">
        <v>1.495318290789474</v>
      </c>
      <c r="D65" s="56">
        <v>-1.2203316000000002</v>
      </c>
      <c r="E65" s="56">
        <v>-0.53644690000000006</v>
      </c>
      <c r="F65" s="8" t="s">
        <v>14</v>
      </c>
      <c r="G65" s="54"/>
      <c r="O65" s="77"/>
      <c r="P65" s="77"/>
      <c r="Q65" s="77"/>
    </row>
    <row r="66" spans="1:17" x14ac:dyDescent="0.3">
      <c r="A66" s="5" t="s">
        <v>200</v>
      </c>
      <c r="B66" s="7" t="s">
        <v>116</v>
      </c>
      <c r="C66" s="57">
        <v>1.2867661852544081</v>
      </c>
      <c r="D66" s="57">
        <v>-8.1857879548500012</v>
      </c>
      <c r="E66" s="57">
        <v>-0.87733779552000002</v>
      </c>
      <c r="F66" s="6" t="s">
        <v>10</v>
      </c>
      <c r="G66" s="54"/>
      <c r="O66" s="77"/>
      <c r="P66" s="77"/>
      <c r="Q66" s="77"/>
    </row>
    <row r="67" spans="1:17" x14ac:dyDescent="0.3">
      <c r="A67" s="21" t="s">
        <v>212</v>
      </c>
      <c r="B67" s="22" t="s">
        <v>129</v>
      </c>
      <c r="C67" s="56">
        <v>1.2544664901315792</v>
      </c>
      <c r="D67" s="56">
        <v>16.250561000000001</v>
      </c>
      <c r="E67" s="56">
        <v>1.2901309999999999</v>
      </c>
      <c r="F67" s="8" t="s">
        <v>157</v>
      </c>
      <c r="G67" s="54"/>
      <c r="O67" s="77"/>
      <c r="P67" s="77"/>
      <c r="Q67" s="77"/>
    </row>
    <row r="68" spans="1:17" x14ac:dyDescent="0.3">
      <c r="A68" s="5" t="s">
        <v>237</v>
      </c>
      <c r="B68" s="7" t="s">
        <v>114</v>
      </c>
      <c r="C68" s="57">
        <v>1.223740539473684</v>
      </c>
      <c r="D68" s="57">
        <v>7.594697</v>
      </c>
      <c r="E68" s="57">
        <v>2.6166420000000001</v>
      </c>
      <c r="F68" s="6" t="s">
        <v>10</v>
      </c>
      <c r="G68" s="54"/>
      <c r="O68" s="77"/>
      <c r="P68" s="77"/>
      <c r="Q68" s="77"/>
    </row>
    <row r="69" spans="1:17" x14ac:dyDescent="0.3">
      <c r="A69" s="21" t="s">
        <v>207</v>
      </c>
      <c r="B69" s="22" t="s">
        <v>143</v>
      </c>
      <c r="C69" s="56">
        <v>1.2116423348684211</v>
      </c>
      <c r="D69" s="56">
        <v>-0.831924</v>
      </c>
      <c r="E69" s="56">
        <v>-2.0909000000000001E-2</v>
      </c>
      <c r="F69" s="8" t="s">
        <v>160</v>
      </c>
      <c r="G69" s="54"/>
      <c r="O69" s="77"/>
      <c r="P69" s="77"/>
      <c r="Q69" s="77"/>
    </row>
    <row r="70" spans="1:17" x14ac:dyDescent="0.3">
      <c r="A70" s="5" t="s">
        <v>217</v>
      </c>
      <c r="B70" s="7" t="s">
        <v>127</v>
      </c>
      <c r="C70" s="57">
        <v>1.208978734210526</v>
      </c>
      <c r="D70" s="57">
        <v>-3.1547689999999999</v>
      </c>
      <c r="E70" s="57">
        <v>-0.88074600000000003</v>
      </c>
      <c r="F70" s="6" t="s">
        <v>17</v>
      </c>
      <c r="G70" s="54"/>
      <c r="O70" s="77"/>
      <c r="P70" s="77"/>
      <c r="Q70" s="77"/>
    </row>
    <row r="71" spans="1:17" x14ac:dyDescent="0.3">
      <c r="A71" s="21" t="s">
        <v>219</v>
      </c>
      <c r="B71" s="22" t="s">
        <v>93</v>
      </c>
      <c r="C71" s="56">
        <v>1.18656167998625</v>
      </c>
      <c r="D71" s="56">
        <v>-15.031256734200001</v>
      </c>
      <c r="E71" s="56">
        <v>1.8673475242799999</v>
      </c>
      <c r="F71" s="8" t="s">
        <v>17</v>
      </c>
      <c r="G71" s="54"/>
      <c r="O71" s="77"/>
      <c r="P71" s="77"/>
      <c r="Q71" s="77"/>
    </row>
    <row r="72" spans="1:17" x14ac:dyDescent="0.3">
      <c r="A72" s="5" t="s">
        <v>227</v>
      </c>
      <c r="B72" s="7" t="s">
        <v>131</v>
      </c>
      <c r="C72" s="57">
        <v>1.1134093748177629</v>
      </c>
      <c r="D72" s="57">
        <v>-3.3799794700399999</v>
      </c>
      <c r="E72" s="57">
        <v>0.22487721692000001</v>
      </c>
      <c r="F72" s="6" t="s">
        <v>17</v>
      </c>
      <c r="G72" s="54"/>
      <c r="O72" s="77"/>
      <c r="P72" s="77"/>
      <c r="Q72" s="77"/>
    </row>
    <row r="73" spans="1:17" x14ac:dyDescent="0.3">
      <c r="A73" s="21" t="s">
        <v>231</v>
      </c>
      <c r="B73" s="22" t="s">
        <v>145</v>
      </c>
      <c r="C73" s="56">
        <v>1.043299683552632</v>
      </c>
      <c r="D73" s="56">
        <v>7.4291204999999998</v>
      </c>
      <c r="E73" s="56">
        <v>-0.35659950000000001</v>
      </c>
      <c r="F73" s="8" t="s">
        <v>158</v>
      </c>
      <c r="G73" s="54"/>
      <c r="O73" s="77"/>
      <c r="P73" s="77"/>
      <c r="Q73" s="77"/>
    </row>
    <row r="74" spans="1:17" x14ac:dyDescent="0.3">
      <c r="A74" s="5" t="s">
        <v>223</v>
      </c>
      <c r="B74" s="7" t="s">
        <v>125</v>
      </c>
      <c r="C74" s="57">
        <v>1.029518157894737</v>
      </c>
      <c r="D74" s="57">
        <v>2.8715104999999999</v>
      </c>
      <c r="E74" s="57">
        <v>-0.18654599999999999</v>
      </c>
      <c r="F74" s="6" t="s">
        <v>160</v>
      </c>
      <c r="G74" s="54"/>
      <c r="O74" s="77"/>
      <c r="P74" s="77"/>
      <c r="Q74" s="77"/>
    </row>
    <row r="75" spans="1:17" x14ac:dyDescent="0.3">
      <c r="A75" s="21" t="s">
        <v>215</v>
      </c>
      <c r="B75" s="22" t="s">
        <v>150</v>
      </c>
      <c r="C75" s="56">
        <v>0.97619062631578946</v>
      </c>
      <c r="D75" s="56">
        <v>-1.1200166</v>
      </c>
      <c r="E75" s="56">
        <v>2.57018E-2</v>
      </c>
      <c r="F75" s="8" t="s">
        <v>14</v>
      </c>
      <c r="G75" s="54"/>
      <c r="O75" s="77"/>
      <c r="P75" s="77"/>
      <c r="Q75" s="77"/>
    </row>
    <row r="76" spans="1:17" x14ac:dyDescent="0.3">
      <c r="A76" s="5" t="s">
        <v>214</v>
      </c>
      <c r="B76" s="7" t="s">
        <v>132</v>
      </c>
      <c r="C76" s="57">
        <v>0.96727744802631577</v>
      </c>
      <c r="D76" s="57">
        <v>-4.8430489999999997</v>
      </c>
      <c r="E76" s="57">
        <v>0.2494905</v>
      </c>
      <c r="F76" s="6" t="s">
        <v>16</v>
      </c>
      <c r="G76" s="54"/>
      <c r="O76" s="77"/>
      <c r="P76" s="77"/>
      <c r="Q76" s="77"/>
    </row>
    <row r="77" spans="1:17" x14ac:dyDescent="0.3">
      <c r="A77" s="21" t="s">
        <v>236</v>
      </c>
      <c r="B77" s="22" t="s">
        <v>152</v>
      </c>
      <c r="C77" s="56">
        <v>0.94885873881578953</v>
      </c>
      <c r="D77" s="56">
        <v>1.2534624999999999</v>
      </c>
      <c r="E77" s="56">
        <v>-0.222694</v>
      </c>
      <c r="F77" s="8" t="s">
        <v>14</v>
      </c>
      <c r="G77" s="54"/>
      <c r="O77" s="77"/>
      <c r="P77" s="77"/>
      <c r="Q77" s="77"/>
    </row>
    <row r="78" spans="1:17" x14ac:dyDescent="0.3">
      <c r="A78" s="5" t="s">
        <v>247</v>
      </c>
      <c r="B78" s="7" t="s">
        <v>248</v>
      </c>
      <c r="C78" s="57">
        <v>0.94818441776315787</v>
      </c>
      <c r="D78" s="57">
        <v>4.9771758000000004</v>
      </c>
      <c r="E78" s="57">
        <v>0.18944460000000002</v>
      </c>
      <c r="F78" s="6" t="s">
        <v>159</v>
      </c>
      <c r="G78" s="54"/>
      <c r="O78" s="77"/>
      <c r="P78" s="77"/>
      <c r="Q78" s="77"/>
    </row>
    <row r="79" spans="1:17" x14ac:dyDescent="0.3">
      <c r="A79" s="21" t="s">
        <v>234</v>
      </c>
      <c r="B79" s="22" t="s">
        <v>156</v>
      </c>
      <c r="C79" s="56">
        <v>0.9477481565789474</v>
      </c>
      <c r="D79" s="56">
        <v>3.7199682000000003</v>
      </c>
      <c r="E79" s="56">
        <v>-0.56701749999999995</v>
      </c>
      <c r="F79" s="8" t="s">
        <v>14</v>
      </c>
      <c r="G79" s="54"/>
      <c r="O79" s="77"/>
      <c r="P79" s="77"/>
      <c r="Q79" s="77"/>
    </row>
    <row r="80" spans="1:17" x14ac:dyDescent="0.3">
      <c r="A80" s="5" t="s">
        <v>210</v>
      </c>
      <c r="B80" s="7" t="s">
        <v>136</v>
      </c>
      <c r="C80" s="57">
        <v>0.93261765592105261</v>
      </c>
      <c r="D80" s="57">
        <v>-0.91805349999999997</v>
      </c>
      <c r="E80" s="57">
        <v>-7.7510999999999997E-2</v>
      </c>
      <c r="F80" s="6" t="s">
        <v>11</v>
      </c>
      <c r="G80" s="54"/>
      <c r="O80" s="77"/>
      <c r="P80" s="77"/>
      <c r="Q80" s="77"/>
    </row>
    <row r="81" spans="1:17" x14ac:dyDescent="0.3">
      <c r="A81" s="21" t="s">
        <v>235</v>
      </c>
      <c r="B81" s="22" t="s">
        <v>147</v>
      </c>
      <c r="C81" s="56">
        <v>0.92771840871710531</v>
      </c>
      <c r="D81" s="56">
        <v>-0.74167300000000003</v>
      </c>
      <c r="E81" s="56">
        <v>1.0657615</v>
      </c>
      <c r="F81" s="8" t="s">
        <v>158</v>
      </c>
      <c r="G81" s="54"/>
      <c r="O81" s="77"/>
      <c r="P81" s="77"/>
      <c r="Q81" s="77"/>
    </row>
    <row r="82" spans="1:17" x14ac:dyDescent="0.3">
      <c r="A82" s="5" t="s">
        <v>216</v>
      </c>
      <c r="B82" s="7" t="s">
        <v>92</v>
      </c>
      <c r="C82" s="57">
        <v>0.92722849330460533</v>
      </c>
      <c r="D82" s="57">
        <v>-7.6045893648299998</v>
      </c>
      <c r="E82" s="57">
        <v>0.13812491229999999</v>
      </c>
      <c r="F82" s="6" t="s">
        <v>14</v>
      </c>
      <c r="G82" s="54"/>
      <c r="O82" s="77"/>
      <c r="P82" s="77"/>
      <c r="Q82" s="77"/>
    </row>
    <row r="83" spans="1:17" x14ac:dyDescent="0.3">
      <c r="A83" s="21" t="s">
        <v>220</v>
      </c>
      <c r="B83" s="22" t="s">
        <v>138</v>
      </c>
      <c r="C83" s="56">
        <v>0.9028593745946446</v>
      </c>
      <c r="D83" s="56">
        <v>-7.8485010053000002</v>
      </c>
      <c r="E83" s="56">
        <v>0.10992475239999999</v>
      </c>
      <c r="F83" s="8" t="s">
        <v>17</v>
      </c>
      <c r="G83" s="54"/>
      <c r="O83" s="77"/>
      <c r="P83" s="77"/>
      <c r="Q83" s="77"/>
    </row>
    <row r="84" spans="1:17" x14ac:dyDescent="0.3">
      <c r="A84" s="5" t="s">
        <v>218</v>
      </c>
      <c r="B84" s="7" t="s">
        <v>134</v>
      </c>
      <c r="C84" s="57">
        <v>0.86200928223684214</v>
      </c>
      <c r="D84" s="57">
        <v>-10.0784155</v>
      </c>
      <c r="E84" s="57">
        <v>-0.80503150000000001</v>
      </c>
      <c r="F84" s="6" t="s">
        <v>17</v>
      </c>
      <c r="G84" s="54"/>
      <c r="O84" s="77"/>
      <c r="P84" s="77"/>
      <c r="Q84" s="77"/>
    </row>
    <row r="85" spans="1:17" x14ac:dyDescent="0.3">
      <c r="A85" s="21" t="s">
        <v>238</v>
      </c>
      <c r="B85" s="22" t="s">
        <v>154</v>
      </c>
      <c r="C85" s="56">
        <v>0.80568507565789471</v>
      </c>
      <c r="D85" s="56">
        <v>-15.280581</v>
      </c>
      <c r="E85" s="56">
        <v>0.599916</v>
      </c>
      <c r="F85" s="8" t="s">
        <v>160</v>
      </c>
      <c r="G85" s="54"/>
      <c r="O85" s="77"/>
      <c r="P85" s="77"/>
      <c r="Q85" s="77"/>
    </row>
    <row r="86" spans="1:17" x14ac:dyDescent="0.3">
      <c r="A86" s="5" t="s">
        <v>229</v>
      </c>
      <c r="B86" s="7" t="s">
        <v>126</v>
      </c>
      <c r="C86" s="57">
        <v>0.69704233157894735</v>
      </c>
      <c r="D86" s="57">
        <v>5.1858065</v>
      </c>
      <c r="E86" s="57">
        <v>0.2668005</v>
      </c>
      <c r="F86" s="6" t="s">
        <v>17</v>
      </c>
      <c r="G86" s="54"/>
      <c r="O86" s="77"/>
      <c r="P86" s="77"/>
      <c r="Q86" s="77"/>
    </row>
    <row r="87" spans="1:17" x14ac:dyDescent="0.3">
      <c r="A87" s="21" t="s">
        <v>228</v>
      </c>
      <c r="B87" s="22" t="s">
        <v>135</v>
      </c>
      <c r="C87" s="56">
        <v>0.67516836907894739</v>
      </c>
      <c r="D87" s="56">
        <v>-5.6328684999999998</v>
      </c>
      <c r="E87" s="56">
        <v>0.34209250000000002</v>
      </c>
      <c r="F87" s="8" t="s">
        <v>17</v>
      </c>
      <c r="G87" s="54"/>
      <c r="O87" s="77"/>
      <c r="P87" s="77"/>
      <c r="Q87" s="77"/>
    </row>
    <row r="88" spans="1:17" x14ac:dyDescent="0.3">
      <c r="A88" s="5" t="s">
        <v>230</v>
      </c>
      <c r="B88" s="7" t="s">
        <v>86</v>
      </c>
      <c r="C88" s="57">
        <v>0.62454844407894738</v>
      </c>
      <c r="D88" s="57">
        <v>-2.5957425000000001</v>
      </c>
      <c r="E88" s="57">
        <v>-0.107794</v>
      </c>
      <c r="F88" s="6" t="s">
        <v>11</v>
      </c>
      <c r="G88" s="54"/>
      <c r="O88" s="77"/>
      <c r="P88" s="77"/>
      <c r="Q88" s="77"/>
    </row>
    <row r="89" spans="1:17" x14ac:dyDescent="0.3">
      <c r="A89" s="21" t="s">
        <v>226</v>
      </c>
      <c r="B89" s="22" t="s">
        <v>144</v>
      </c>
      <c r="C89" s="56">
        <v>0.61332690328947359</v>
      </c>
      <c r="D89" s="56">
        <v>-1.7453175000000001</v>
      </c>
      <c r="E89" s="56">
        <v>0.1087245</v>
      </c>
      <c r="F89" s="8" t="s">
        <v>17</v>
      </c>
      <c r="G89" s="54"/>
      <c r="O89" s="77"/>
      <c r="P89" s="77"/>
      <c r="Q89" s="77"/>
    </row>
    <row r="90" spans="1:17" x14ac:dyDescent="0.3">
      <c r="A90" s="5" t="s">
        <v>241</v>
      </c>
      <c r="B90" s="7" t="s">
        <v>155</v>
      </c>
      <c r="C90" s="57">
        <v>0.58016211249999994</v>
      </c>
      <c r="D90" s="57">
        <v>2.5970740000000001</v>
      </c>
      <c r="E90" s="57">
        <v>0.72842399999999996</v>
      </c>
      <c r="F90" s="6" t="s">
        <v>14</v>
      </c>
      <c r="G90" s="54"/>
      <c r="O90" s="77"/>
      <c r="P90" s="77"/>
      <c r="Q90" s="77"/>
    </row>
    <row r="91" spans="1:17" x14ac:dyDescent="0.3">
      <c r="A91" s="21" t="s">
        <v>239</v>
      </c>
      <c r="B91" s="22" t="s">
        <v>137</v>
      </c>
      <c r="C91" s="56">
        <v>0.53914790592105266</v>
      </c>
      <c r="D91" s="56">
        <v>-6.6972339999999999</v>
      </c>
      <c r="E91" s="56">
        <v>0.1088205</v>
      </c>
      <c r="F91" s="8" t="s">
        <v>11</v>
      </c>
      <c r="G91" s="54"/>
      <c r="O91" s="77"/>
      <c r="P91" s="77"/>
      <c r="Q91" s="77"/>
    </row>
    <row r="92" spans="1:17" x14ac:dyDescent="0.3">
      <c r="A92" s="5" t="s">
        <v>232</v>
      </c>
      <c r="B92" s="7" t="s">
        <v>122</v>
      </c>
      <c r="C92" s="57">
        <v>0.53860040855263147</v>
      </c>
      <c r="D92" s="57">
        <v>-2.5024123999999999</v>
      </c>
      <c r="E92" s="57">
        <v>-1.02237E-2</v>
      </c>
      <c r="F92" s="6" t="s">
        <v>159</v>
      </c>
      <c r="G92" s="54"/>
      <c r="O92" s="77"/>
      <c r="P92" s="77"/>
      <c r="Q92" s="77"/>
    </row>
    <row r="93" spans="1:17" x14ac:dyDescent="0.3">
      <c r="A93" s="21" t="s">
        <v>225</v>
      </c>
      <c r="B93" s="22" t="s">
        <v>124</v>
      </c>
      <c r="C93" s="56">
        <v>0.53800492708789471</v>
      </c>
      <c r="D93" s="56">
        <v>1.35959667832</v>
      </c>
      <c r="E93" s="56">
        <v>0.2831014348</v>
      </c>
      <c r="F93" s="8" t="s">
        <v>17</v>
      </c>
      <c r="G93" s="54"/>
      <c r="O93" s="77"/>
      <c r="P93" s="77"/>
      <c r="Q93" s="77"/>
    </row>
    <row r="94" spans="1:17" x14ac:dyDescent="0.3">
      <c r="A94" s="5" t="s">
        <v>263</v>
      </c>
      <c r="B94" s="7" t="s">
        <v>262</v>
      </c>
      <c r="C94" s="57">
        <v>0.49045760245283015</v>
      </c>
      <c r="D94" s="57">
        <v>-8.2376135000000001</v>
      </c>
      <c r="E94" s="57">
        <v>0.2692928</v>
      </c>
      <c r="F94" s="6" t="s">
        <v>14</v>
      </c>
      <c r="G94" s="54"/>
      <c r="O94" s="77"/>
      <c r="P94" s="77"/>
      <c r="Q94" s="77"/>
    </row>
    <row r="95" spans="1:17" x14ac:dyDescent="0.3">
      <c r="A95" s="21" t="s">
        <v>243</v>
      </c>
      <c r="B95" s="22" t="s">
        <v>244</v>
      </c>
      <c r="C95" s="56">
        <v>0.46666513914473695</v>
      </c>
      <c r="D95" s="56">
        <v>-17.086109</v>
      </c>
      <c r="E95" s="56">
        <v>0.233432</v>
      </c>
      <c r="F95" s="8" t="s">
        <v>15</v>
      </c>
      <c r="G95" s="54"/>
      <c r="O95" s="77"/>
      <c r="P95" s="77"/>
      <c r="Q95" s="77"/>
    </row>
    <row r="96" spans="1:17" x14ac:dyDescent="0.3">
      <c r="A96" s="5" t="s">
        <v>233</v>
      </c>
      <c r="B96" s="7" t="s">
        <v>153</v>
      </c>
      <c r="C96" s="57">
        <v>0.46646625526315788</v>
      </c>
      <c r="D96" s="57">
        <v>-3.0798774999999998</v>
      </c>
      <c r="E96" s="57">
        <v>-0.81070299999999995</v>
      </c>
      <c r="F96" s="6" t="s">
        <v>14</v>
      </c>
      <c r="G96" s="54"/>
      <c r="O96" s="77"/>
      <c r="P96" s="77"/>
      <c r="Q96" s="77"/>
    </row>
    <row r="97" spans="1:17" x14ac:dyDescent="0.3">
      <c r="A97" s="21" t="s">
        <v>254</v>
      </c>
      <c r="B97" s="22" t="s">
        <v>255</v>
      </c>
      <c r="C97" s="56">
        <v>0.46371079342105259</v>
      </c>
      <c r="D97" s="56">
        <v>0.61875769999999997</v>
      </c>
      <c r="E97" s="56">
        <v>0.43569200000000002</v>
      </c>
      <c r="F97" s="8" t="s">
        <v>11</v>
      </c>
      <c r="G97" s="54"/>
      <c r="O97" s="77"/>
      <c r="P97" s="77"/>
      <c r="Q97" s="77"/>
    </row>
    <row r="98" spans="1:17" x14ac:dyDescent="0.3">
      <c r="A98" s="5" t="s">
        <v>261</v>
      </c>
      <c r="B98" s="7" t="s">
        <v>260</v>
      </c>
      <c r="C98" s="57">
        <v>0.41487237874894728</v>
      </c>
      <c r="D98" s="57">
        <v>43.706020879040004</v>
      </c>
      <c r="E98" s="57">
        <v>-0.13355610065000001</v>
      </c>
      <c r="F98" s="6" t="s">
        <v>17</v>
      </c>
      <c r="G98" s="54"/>
      <c r="O98" s="77"/>
      <c r="P98" s="77"/>
      <c r="Q98" s="77"/>
    </row>
    <row r="99" spans="1:17" x14ac:dyDescent="0.3">
      <c r="A99" s="21" t="s">
        <v>265</v>
      </c>
      <c r="B99" s="22" t="s">
        <v>264</v>
      </c>
      <c r="C99" s="56">
        <v>0.4126363296052632</v>
      </c>
      <c r="D99" s="56">
        <v>-1.2426735</v>
      </c>
      <c r="E99" s="56">
        <v>2.1469700000000001E-2</v>
      </c>
      <c r="F99" s="8" t="s">
        <v>14</v>
      </c>
      <c r="G99" s="54"/>
      <c r="O99" s="77"/>
      <c r="P99" s="77"/>
      <c r="Q99" s="77"/>
    </row>
    <row r="100" spans="1:17" x14ac:dyDescent="0.3">
      <c r="A100" s="5" t="s">
        <v>257</v>
      </c>
      <c r="B100" s="7" t="s">
        <v>258</v>
      </c>
      <c r="C100" s="57">
        <v>0.40752174671052627</v>
      </c>
      <c r="D100" s="57">
        <v>-1.2161195</v>
      </c>
      <c r="E100" s="57">
        <v>0.51937900000000004</v>
      </c>
      <c r="F100" s="6" t="s">
        <v>158</v>
      </c>
      <c r="G100" s="54"/>
      <c r="O100" s="77"/>
      <c r="P100" s="77"/>
      <c r="Q100" s="77"/>
    </row>
    <row r="101" spans="1:17" x14ac:dyDescent="0.3">
      <c r="A101" s="80" t="s">
        <v>249</v>
      </c>
      <c r="B101" s="81" t="s">
        <v>250</v>
      </c>
      <c r="C101" s="82">
        <v>0.38803901315789474</v>
      </c>
      <c r="D101" s="82">
        <v>7.2936399999999999</v>
      </c>
      <c r="E101" s="82">
        <v>0.48710700000000001</v>
      </c>
      <c r="F101" s="9" t="s">
        <v>11</v>
      </c>
      <c r="G101" s="54"/>
      <c r="O101" s="77"/>
      <c r="P101" s="77"/>
      <c r="Q101" s="77"/>
    </row>
    <row r="102" spans="1:17" x14ac:dyDescent="0.3">
      <c r="A102" s="46"/>
      <c r="B102" s="10"/>
      <c r="C102" s="10"/>
      <c r="D102" s="10"/>
      <c r="E102" s="10"/>
      <c r="F102" s="47"/>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9 B8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2024-08-12T07:06:29Z</dcterms:modified>
</cp:coreProperties>
</file>