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TANKC\Desktop\"/>
    </mc:Choice>
  </mc:AlternateContent>
  <xr:revisionPtr revIDLastSave="0" documentId="13_ncr:1_{172E8496-7F22-4B8D-9D19-AED51B4EEC0B}"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<sst xmlns="http://schemas.openxmlformats.org/spreadsheetml/2006/main" count="139" uniqueCount="89">
  <si>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</si>
  <si>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</si>
  <si>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</si>
  <si>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</si>
  <si>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</si>
  <si>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</si>
  <si>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</si>
  <si>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</si>
  <si>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</si>
  <si>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</si>
  <si>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</si>
  <si>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</si>
  <si>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</si>
  <si>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</si>
  <si>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</si>
  <si>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</si>
  <si>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</si>
  <si>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</si>
  <si>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</si>
  <si>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</si>
  <si>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</si>
  <si>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</si>
  <si>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</si>
  <si>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</si>
  <si>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DBS</t>
  </si>
  <si>
    <t>OCBC</t>
  </si>
  <si>
    <t>UOB</t>
  </si>
  <si>
    <t>C6L</t>
  </si>
  <si>
    <t>BN4</t>
  </si>
  <si>
    <t>SIA</t>
  </si>
  <si>
    <t>G13</t>
  </si>
  <si>
    <t>Genting Singapore</t>
  </si>
  <si>
    <t>S63</t>
  </si>
  <si>
    <t>M44U</t>
  </si>
  <si>
    <t>ST Engineering</t>
  </si>
  <si>
    <t>Mapletree Logistics Trust</t>
  </si>
  <si>
    <t>F34</t>
  </si>
  <si>
    <t>U96</t>
  </si>
  <si>
    <t>Wilmar International</t>
  </si>
  <si>
    <t>Sembcorp Industries</t>
  </si>
  <si>
    <t>Z74</t>
  </si>
  <si>
    <t>C07</t>
  </si>
  <si>
    <t>Singtel</t>
  </si>
  <si>
    <t>BS6</t>
  </si>
  <si>
    <t>C09</t>
  </si>
  <si>
    <t>H78</t>
  </si>
  <si>
    <t>C38U</t>
  </si>
  <si>
    <t>Yangzijiang Shipbuilding</t>
  </si>
  <si>
    <t>City Developments</t>
  </si>
  <si>
    <t>Hongkong Land</t>
  </si>
  <si>
    <t>Contact Us</t>
  </si>
  <si>
    <t>Health
care</t>
  </si>
  <si>
    <t>Telcos</t>
  </si>
  <si>
    <t>https://www2.sgx.com/research-education/data-reports</t>
  </si>
  <si>
    <t>AJBU</t>
  </si>
  <si>
    <t>CapitaLand Integrated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</si>
  <si>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</si>
  <si>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</si>
  <si>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</si>
  <si>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</si>
  <si>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</si>
  <si>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OV8</t>
  </si>
  <si>
    <t>HMN</t>
  </si>
  <si>
    <t>C52</t>
  </si>
  <si>
    <t>E28</t>
  </si>
  <si>
    <t>C2PU</t>
  </si>
  <si>
    <t>S08</t>
  </si>
  <si>
    <t>ComfortDelGro</t>
  </si>
  <si>
    <t>Seatrium</t>
  </si>
  <si>
    <t>Keppel</t>
  </si>
  <si>
    <t>S59</t>
  </si>
  <si>
    <t>Sheng Siong</t>
  </si>
  <si>
    <t>SingPost</t>
  </si>
  <si>
    <t>SIA Engineering</t>
  </si>
  <si>
    <t>Source: SGX.</t>
  </si>
  <si>
    <t>5E2</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</si>
  <si>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</si>
  <si>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</si>
  <si>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</si>
  <si>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 DC REIT</t>
  </si>
  <si>
    <t>Parkway Life REIT</t>
  </si>
  <si>
    <t>NTDU</t>
  </si>
  <si>
    <t>CapitaLand Ascott Trust</t>
  </si>
  <si>
    <t>NTT DC REIT</t>
  </si>
  <si>
    <t>Jardine Cycle &amp; Carriage</t>
  </si>
  <si>
    <t>Week of 21 July 2025</t>
  </si>
  <si>
    <r>
      <t xml:space="preserve">Institutional investors net </t>
    </r>
    <r>
      <rPr>
        <b/>
        <sz val="11"/>
        <rFont val="Arial"/>
        <family val="2"/>
      </rPr>
      <t>buy</t>
    </r>
    <r>
      <rPr>
        <sz val="11"/>
        <rFont val="Arial"/>
        <family val="2"/>
      </rPr>
      <t xml:space="preserve"> (+S$335.4m) vs. (+S$122.3m) a week ago</t>
    </r>
  </si>
  <si>
    <r>
      <t xml:space="preserve">Retail investors net </t>
    </r>
    <r>
      <rPr>
        <b/>
        <sz val="11"/>
        <rFont val="Arial"/>
        <family val="2"/>
      </rPr>
      <t>sell</t>
    </r>
    <r>
      <rPr>
        <sz val="11"/>
        <rFont val="Arial"/>
        <family val="2"/>
      </rPr>
      <t xml:space="preserve"> (-S$159.6m) vs. (-S$371.1m) a week ago</t>
    </r>
  </si>
  <si>
    <t>Frencken Group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</si>
</sst>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4" fontId="3" fillId="4" borderId="0" xfId="0" applyNumberFormat="1" applyFont="1" applyFill="1" applyAlignment="1">
      <alignment horizontal="center"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85</v>
      </c>
      <c r="C1" s="60"/>
    </row>
    <row r="2" spans="1:13" ht="15" x14ac:dyDescent="0.25">
      <c r="A2" s="53" t="s">
        <v>86</v>
      </c>
      <c r="I2" s="40"/>
    </row>
    <row r="3" spans="1:13" ht="15" x14ac:dyDescent="0.25">
      <c r="A3" s="53" t="s">
        <v>87</v>
      </c>
      <c r="I3" s="40"/>
    </row>
    <row r="5" spans="1:13" ht="29.25" customHeight="1" x14ac:dyDescent="0.2">
      <c r="A5" s="3" t="s">
        <v>0</v>
      </c>
      <c r="B5" s="3" t="s">
        <v>1</v>
      </c>
      <c r="C5" s="4" t="s">
        <v>85</v>
      </c>
      <c r="D5" s="44" t="s">
        <v>2</v>
      </c>
      <c r="E5" s="44" t="s">
        <v>1</v>
      </c>
      <c r="F5" s="45" t="str">
        <f>+C5</f>
        <v>Week of 21 July 2025</v>
      </c>
      <c r="I5" s="2"/>
    </row>
    <row r="6" spans="1:13" ht="15" x14ac:dyDescent="0.25">
      <c r="A6" s="28" t="s">
        <v>24</v>
      </c>
      <c r="B6" s="47" t="s">
        <v>21</v>
      </c>
      <c r="C6" s="5">
        <v>181.32936799999999</v>
      </c>
      <c r="D6" s="28" t="s">
        <v>42</v>
      </c>
      <c r="E6" s="47" t="s">
        <v>40</v>
      </c>
      <c r="F6" s="5">
        <v>-57.63902869999999</v>
      </c>
      <c r="G6" s="62"/>
      <c r="H6"/>
      <c r="I6" s="2"/>
      <c r="M6"/>
    </row>
    <row r="7" spans="1:13" ht="15" x14ac:dyDescent="0.25">
      <c r="A7" s="29" t="s">
        <v>47</v>
      </c>
      <c r="B7" s="9" t="s">
        <v>43</v>
      </c>
      <c r="C7" s="7">
        <v>60.502906000000003</v>
      </c>
      <c r="D7" s="29" t="s">
        <v>25</v>
      </c>
      <c r="E7" s="9" t="s">
        <v>22</v>
      </c>
      <c r="F7" s="7">
        <v>-37.196725999999998</v>
      </c>
      <c r="G7" s="62"/>
      <c r="H7"/>
      <c r="I7" s="2"/>
      <c r="L7"/>
      <c r="M7"/>
    </row>
    <row r="8" spans="1:13" ht="15" x14ac:dyDescent="0.25">
      <c r="A8" s="30" t="s">
        <v>29</v>
      </c>
      <c r="B8" s="47" t="s">
        <v>27</v>
      </c>
      <c r="C8" s="5">
        <v>42.081369000000002</v>
      </c>
      <c r="D8" s="30" t="s">
        <v>72</v>
      </c>
      <c r="E8" s="47" t="s">
        <v>66</v>
      </c>
      <c r="F8" s="5">
        <v>-13.562422</v>
      </c>
      <c r="G8" s="62"/>
      <c r="H8"/>
      <c r="I8" s="2"/>
      <c r="L8"/>
      <c r="M8"/>
    </row>
    <row r="9" spans="1:13" ht="15" x14ac:dyDescent="0.25">
      <c r="A9" s="29" t="s">
        <v>48</v>
      </c>
      <c r="B9" s="9" t="s">
        <v>44</v>
      </c>
      <c r="C9" s="7">
        <v>32.288240999999999</v>
      </c>
      <c r="D9" s="29" t="s">
        <v>35</v>
      </c>
      <c r="E9" s="9" t="s">
        <v>33</v>
      </c>
      <c r="F9" s="7">
        <v>-10.597289999999999</v>
      </c>
      <c r="G9" s="62"/>
      <c r="H9"/>
      <c r="I9" s="2"/>
      <c r="L9"/>
      <c r="M9"/>
    </row>
    <row r="10" spans="1:13" ht="15" x14ac:dyDescent="0.25">
      <c r="A10" s="30" t="s">
        <v>67</v>
      </c>
      <c r="B10" s="47" t="s">
        <v>63</v>
      </c>
      <c r="C10" s="5">
        <v>29.97272126</v>
      </c>
      <c r="D10" s="30" t="s">
        <v>83</v>
      </c>
      <c r="E10" s="47" t="s">
        <v>81</v>
      </c>
      <c r="F10" s="5">
        <v>-8.0404134243499996</v>
      </c>
      <c r="G10" s="62"/>
      <c r="H10"/>
      <c r="I10" s="2"/>
      <c r="L10"/>
      <c r="M10"/>
    </row>
    <row r="11" spans="1:13" ht="15" x14ac:dyDescent="0.25">
      <c r="A11" s="29" t="s">
        <v>69</v>
      </c>
      <c r="B11" s="9" t="s">
        <v>28</v>
      </c>
      <c r="C11" s="7">
        <v>27.167873</v>
      </c>
      <c r="D11" s="29" t="s">
        <v>71</v>
      </c>
      <c r="E11" s="9" t="s">
        <v>61</v>
      </c>
      <c r="F11" s="7">
        <v>-7.9172149999999997</v>
      </c>
      <c r="G11" s="62"/>
      <c r="H11"/>
      <c r="I11" s="2"/>
      <c r="L11"/>
      <c r="M11"/>
    </row>
    <row r="12" spans="1:13" ht="15" x14ac:dyDescent="0.25">
      <c r="A12" s="30" t="s">
        <v>34</v>
      </c>
      <c r="B12" s="47" t="s">
        <v>32</v>
      </c>
      <c r="C12" s="5">
        <v>15.970907</v>
      </c>
      <c r="D12" s="30" t="s">
        <v>79</v>
      </c>
      <c r="E12" s="47" t="s">
        <v>54</v>
      </c>
      <c r="F12" s="5">
        <v>-7.2998139999999996</v>
      </c>
      <c r="G12" s="62"/>
      <c r="H12"/>
      <c r="I12" s="2"/>
      <c r="L12"/>
      <c r="M12"/>
    </row>
    <row r="13" spans="1:13" ht="15" x14ac:dyDescent="0.25">
      <c r="A13" s="29" t="s">
        <v>60</v>
      </c>
      <c r="B13" s="9" t="s">
        <v>59</v>
      </c>
      <c r="C13" s="7">
        <v>14.710974</v>
      </c>
      <c r="D13" s="29" t="s">
        <v>80</v>
      </c>
      <c r="E13" s="9" t="s">
        <v>65</v>
      </c>
      <c r="F13" s="7">
        <v>-5.8478469999999998</v>
      </c>
      <c r="G13" s="62"/>
      <c r="H13"/>
      <c r="I13" s="2"/>
      <c r="L13"/>
      <c r="M13"/>
    </row>
    <row r="14" spans="1:13" ht="15" x14ac:dyDescent="0.25">
      <c r="A14" s="30" t="s">
        <v>31</v>
      </c>
      <c r="B14" s="47" t="s">
        <v>30</v>
      </c>
      <c r="C14" s="5">
        <v>13.321304</v>
      </c>
      <c r="D14" s="30" t="s">
        <v>82</v>
      </c>
      <c r="E14" s="47" t="s">
        <v>62</v>
      </c>
      <c r="F14" s="5">
        <v>-5.1874434999999997</v>
      </c>
      <c r="G14" s="62"/>
      <c r="H14"/>
      <c r="I14" s="2"/>
      <c r="L14"/>
      <c r="M14"/>
    </row>
    <row r="15" spans="1:13" ht="15" x14ac:dyDescent="0.25">
      <c r="A15" s="31" t="s">
        <v>88</v>
      </c>
      <c r="B15" s="27" t="s">
        <v>64</v>
      </c>
      <c r="C15" s="8">
        <v>12.474959999999999</v>
      </c>
      <c r="D15" s="31" t="s">
        <v>49</v>
      </c>
      <c r="E15" s="27" t="s">
        <v>45</v>
      </c>
      <c r="F15" s="8">
        <v>-4.5375158704999992</v>
      </c>
      <c r="G15" s="62"/>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21 July 2025</v>
      </c>
      <c r="D18" s="46" t="s">
        <v>4</v>
      </c>
      <c r="E18" s="44" t="s">
        <v>1</v>
      </c>
      <c r="F18" s="45" t="str">
        <f>+C18</f>
        <v>Week of 21 July 2025</v>
      </c>
    </row>
    <row r="19" spans="1:9" ht="15" x14ac:dyDescent="0.25">
      <c r="A19" s="30" t="s">
        <v>25</v>
      </c>
      <c r="B19" s="47" t="s">
        <v>22</v>
      </c>
      <c r="C19" s="16">
        <v>52.312040000000003</v>
      </c>
      <c r="D19" s="30" t="s">
        <v>24</v>
      </c>
      <c r="E19" s="15" t="s">
        <v>21</v>
      </c>
      <c r="F19" s="5">
        <v>-100.928433</v>
      </c>
      <c r="G19" s="62"/>
      <c r="I19" s="2"/>
    </row>
    <row r="20" spans="1:9" ht="15" x14ac:dyDescent="0.25">
      <c r="A20" s="29" t="s">
        <v>42</v>
      </c>
      <c r="B20" s="9" t="s">
        <v>40</v>
      </c>
      <c r="C20" s="7">
        <v>41.985173000000003</v>
      </c>
      <c r="D20" s="29" t="s">
        <v>29</v>
      </c>
      <c r="E20" s="17" t="s">
        <v>27</v>
      </c>
      <c r="F20" s="7">
        <v>-41.154539</v>
      </c>
      <c r="G20" s="62"/>
      <c r="I20" s="2"/>
    </row>
    <row r="21" spans="1:9" ht="15" x14ac:dyDescent="0.25">
      <c r="A21" s="30" t="s">
        <v>72</v>
      </c>
      <c r="B21" s="47" t="s">
        <v>66</v>
      </c>
      <c r="C21" s="5">
        <v>18.340129999999998</v>
      </c>
      <c r="D21" s="30" t="s">
        <v>48</v>
      </c>
      <c r="E21" s="6" t="s">
        <v>44</v>
      </c>
      <c r="F21" s="5">
        <v>-30.954514</v>
      </c>
      <c r="G21" s="62"/>
      <c r="I21" s="2"/>
    </row>
    <row r="22" spans="1:9" ht="15" x14ac:dyDescent="0.25">
      <c r="A22" s="29" t="s">
        <v>83</v>
      </c>
      <c r="B22" s="9" t="s">
        <v>81</v>
      </c>
      <c r="C22" s="7">
        <v>11.10235761915</v>
      </c>
      <c r="D22" s="29" t="s">
        <v>68</v>
      </c>
      <c r="E22" s="17" t="s">
        <v>75</v>
      </c>
      <c r="F22" s="7">
        <v>-27.111889999999999</v>
      </c>
      <c r="G22" s="62"/>
      <c r="I22" s="2"/>
    </row>
    <row r="23" spans="1:9" ht="15" x14ac:dyDescent="0.25">
      <c r="A23" s="30" t="s">
        <v>39</v>
      </c>
      <c r="B23" s="47" t="s">
        <v>37</v>
      </c>
      <c r="C23" s="5">
        <v>10.353239</v>
      </c>
      <c r="D23" s="30" t="s">
        <v>67</v>
      </c>
      <c r="E23" s="6" t="s">
        <v>63</v>
      </c>
      <c r="F23" s="5">
        <v>-24.414619259999998</v>
      </c>
      <c r="G23" s="62"/>
      <c r="I23" s="2"/>
    </row>
    <row r="24" spans="1:9" ht="15" x14ac:dyDescent="0.25">
      <c r="A24" s="29" t="s">
        <v>38</v>
      </c>
      <c r="B24" s="9" t="s">
        <v>36</v>
      </c>
      <c r="C24" s="7">
        <v>9.1342099999999995</v>
      </c>
      <c r="D24" s="29" t="s">
        <v>69</v>
      </c>
      <c r="E24" s="17" t="s">
        <v>28</v>
      </c>
      <c r="F24" s="7">
        <v>-16.139386999999999</v>
      </c>
      <c r="G24" s="62"/>
      <c r="I24" s="2"/>
    </row>
    <row r="25" spans="1:9" ht="15" x14ac:dyDescent="0.25">
      <c r="A25" s="30" t="s">
        <v>35</v>
      </c>
      <c r="B25" s="47" t="s">
        <v>33</v>
      </c>
      <c r="C25" s="5">
        <v>7.7207889999999999</v>
      </c>
      <c r="D25" s="30" t="s">
        <v>88</v>
      </c>
      <c r="E25" s="6" t="s">
        <v>64</v>
      </c>
      <c r="F25" s="5">
        <v>-14.695079</v>
      </c>
      <c r="G25" s="62"/>
      <c r="I25" s="2"/>
    </row>
    <row r="26" spans="1:9" ht="15" x14ac:dyDescent="0.25">
      <c r="A26" s="29" t="s">
        <v>73</v>
      </c>
      <c r="B26" s="9" t="s">
        <v>70</v>
      </c>
      <c r="C26" s="7">
        <v>6.9797390000000004</v>
      </c>
      <c r="D26" s="29" t="s">
        <v>84</v>
      </c>
      <c r="E26" s="17" t="s">
        <v>41</v>
      </c>
      <c r="F26" s="7">
        <v>-12.85599</v>
      </c>
      <c r="G26" s="62"/>
      <c r="I26" s="2"/>
    </row>
    <row r="27" spans="1:9" ht="15" x14ac:dyDescent="0.25">
      <c r="A27" s="30" t="s">
        <v>55</v>
      </c>
      <c r="B27" s="47" t="s">
        <v>46</v>
      </c>
      <c r="C27" s="5">
        <v>6.6851380000000002</v>
      </c>
      <c r="D27" s="30" t="s">
        <v>34</v>
      </c>
      <c r="E27" s="6" t="s">
        <v>32</v>
      </c>
      <c r="F27" s="5">
        <v>-11.892545999999999</v>
      </c>
      <c r="G27" s="62"/>
      <c r="I27" s="2"/>
    </row>
    <row r="28" spans="1:9" ht="15" x14ac:dyDescent="0.25">
      <c r="A28" s="27" t="s">
        <v>26</v>
      </c>
      <c r="B28" s="57" t="s">
        <v>23</v>
      </c>
      <c r="C28" s="8">
        <v>6.1388680000000004</v>
      </c>
      <c r="D28" s="27" t="s">
        <v>47</v>
      </c>
      <c r="E28" s="57" t="s">
        <v>43</v>
      </c>
      <c r="F28" s="8">
        <v>-10.021025</v>
      </c>
      <c r="G28" s="62"/>
      <c r="I28" s="2"/>
    </row>
    <row r="29" spans="1:9" x14ac:dyDescent="0.2">
      <c r="A29" s="9"/>
      <c r="B29" s="9"/>
      <c r="C29" s="9"/>
      <c r="D29" s="9"/>
      <c r="E29" s="9"/>
      <c r="F29" s="9"/>
    </row>
    <row r="30" spans="1:9" x14ac:dyDescent="0.2">
      <c r="A30" s="10" t="s">
        <v>74</v>
      </c>
      <c r="B30" s="10"/>
      <c r="C30" s="9"/>
      <c r="D30" s="9"/>
      <c r="E30" s="9"/>
      <c r="F30" s="9"/>
    </row>
    <row r="31" spans="1:9" x14ac:dyDescent="0.2">
      <c r="A31" s="10" t="s">
        <v>56</v>
      </c>
      <c r="B31" s="10"/>
      <c r="C31" s="9"/>
      <c r="D31" s="9"/>
      <c r="E31" s="9"/>
      <c r="F31" s="9"/>
    </row>
    <row r="32" spans="1:9" x14ac:dyDescent="0.2">
      <c r="A32" s="10" t="s">
        <v>57</v>
      </c>
      <c r="B32" s="10"/>
      <c r="C32" s="9"/>
      <c r="D32" s="9"/>
      <c r="E32" s="9"/>
      <c r="F32" s="9"/>
    </row>
    <row r="33" spans="1:9" x14ac:dyDescent="0.2">
      <c r="A33" s="10" t="s">
        <v>6</v>
      </c>
      <c r="B33" s="10"/>
      <c r="C33" s="9"/>
      <c r="D33" s="9"/>
      <c r="E33" s="9"/>
      <c r="F33" s="9"/>
    </row>
    <row r="34" spans="1:9" x14ac:dyDescent="0.2">
      <c r="A34" s="58" t="s">
        <v>53</v>
      </c>
      <c r="B34" s="10"/>
      <c r="C34" s="9"/>
      <c r="D34" s="9"/>
      <c r="E34" s="9"/>
      <c r="F34" s="9"/>
      <c r="G34" s="50"/>
    </row>
    <row r="35" spans="1:9" x14ac:dyDescent="0.2">
      <c r="A35" s="10"/>
      <c r="B35" s="10"/>
      <c r="C35" s="9"/>
      <c r="D35" s="9"/>
      <c r="E35" s="9"/>
      <c r="F35" s="9"/>
    </row>
    <row r="36" spans="1:9" x14ac:dyDescent="0.2">
      <c r="A36" s="10"/>
      <c r="B36" s="10"/>
      <c r="C36" s="9"/>
      <c r="D36" s="9"/>
      <c r="E36" s="9"/>
      <c r="F36" s="9"/>
    </row>
    <row r="37" spans="1:9" customFormat="1" ht="15.75" x14ac:dyDescent="0.25">
      <c r="A37" s="18" t="s">
        <v>50</v>
      </c>
      <c r="B37" s="19"/>
      <c r="C37" s="20"/>
      <c r="D37" s="20"/>
      <c r="E37" s="19"/>
      <c r="F37" s="19"/>
      <c r="I37" s="32"/>
    </row>
    <row r="38" spans="1:9" customFormat="1" ht="15" x14ac:dyDescent="0.25">
      <c r="A38" s="21" t="s">
        <v>77</v>
      </c>
      <c r="B38" s="19"/>
      <c r="C38" s="20"/>
      <c r="D38" s="20"/>
      <c r="E38" s="19"/>
      <c r="F38" s="19"/>
      <c r="I38" s="32"/>
    </row>
    <row r="39" spans="1:9" s="25" customFormat="1" ht="19.350000000000001" customHeight="1" x14ac:dyDescent="0.25">
      <c r="A39" s="22" t="s">
        <v>76</v>
      </c>
      <c r="B39" s="23"/>
      <c r="C39" s="24"/>
      <c r="D39" s="24"/>
      <c r="E39" s="23"/>
      <c r="F39" s="23"/>
      <c r="I39" s="35"/>
    </row>
    <row r="40" spans="1:9" ht="169.35" customHeight="1" x14ac:dyDescent="0.2">
      <c r="A40" s="67" t="s">
        <v>78</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51</v>
      </c>
      <c r="H2" s="12" t="s">
        <v>14</v>
      </c>
      <c r="I2" s="12" t="s">
        <v>15</v>
      </c>
      <c r="J2" s="12" t="s">
        <v>16</v>
      </c>
      <c r="K2" s="12" t="s">
        <v>17</v>
      </c>
      <c r="L2" s="12" t="s">
        <v>18</v>
      </c>
      <c r="M2" s="12" t="s">
        <v>52</v>
      </c>
      <c r="N2" s="12" t="s">
        <v>19</v>
      </c>
    </row>
    <row r="3" spans="1:15" ht="15" x14ac:dyDescent="0.25">
      <c r="A3" s="38">
        <f>SUM(C3:N3)</f>
        <v>213.3028928322</v>
      </c>
      <c r="B3" s="55">
        <v>45838</v>
      </c>
      <c r="C3" s="14">
        <v>10.605810640820001</v>
      </c>
      <c r="D3" s="14">
        <v>-14.779492311400002</v>
      </c>
      <c r="E3" s="14">
        <v>-1.005499999999741E-3</v>
      </c>
      <c r="F3" s="14">
        <v>99.634881799999988</v>
      </c>
      <c r="G3" s="14">
        <v>2.4379192604999989</v>
      </c>
      <c r="H3" s="14">
        <v>14.909013865409998</v>
      </c>
      <c r="I3" s="14">
        <v>0.28495229999999994</v>
      </c>
      <c r="J3" s="14">
        <v>63.609116274600005</v>
      </c>
      <c r="K3" s="14">
        <v>9.813389802270013</v>
      </c>
      <c r="L3" s="14">
        <v>10.916058700000002</v>
      </c>
      <c r="M3" s="14">
        <v>9.012734</v>
      </c>
      <c r="N3" s="14">
        <v>6.8595140000000008</v>
      </c>
    </row>
    <row r="4" spans="1:15" ht="15" x14ac:dyDescent="0.25">
      <c r="A4" s="38">
        <f>SUM(C4:N4)</f>
        <v>87.346746226169984</v>
      </c>
      <c r="B4" s="11">
        <v>45845</v>
      </c>
      <c r="C4" s="54">
        <v>5.0520394150400003</v>
      </c>
      <c r="D4" s="54">
        <v>13.796391132499998</v>
      </c>
      <c r="E4" s="54">
        <v>-1.0942444999999998</v>
      </c>
      <c r="F4" s="54">
        <v>-24.956585199999999</v>
      </c>
      <c r="G4" s="54">
        <v>-7.3672329622000001</v>
      </c>
      <c r="H4" s="54">
        <v>52.351986619339982</v>
      </c>
      <c r="I4" s="54">
        <v>-25.308544800000004</v>
      </c>
      <c r="J4" s="54">
        <v>5.7096355132999967</v>
      </c>
      <c r="K4" s="54">
        <v>-50.876025741809997</v>
      </c>
      <c r="L4" s="54">
        <v>8.4725746499999985</v>
      </c>
      <c r="M4" s="54">
        <v>102.96152000000001</v>
      </c>
      <c r="N4" s="54">
        <v>8.6052321000000003</v>
      </c>
    </row>
    <row r="5" spans="1:15" ht="15" x14ac:dyDescent="0.25">
      <c r="A5" s="38">
        <f>SUM(C5:N5)</f>
        <v>122.28662664469991</v>
      </c>
      <c r="B5" s="55">
        <v>45852</v>
      </c>
      <c r="C5" s="14">
        <v>4.5619006540199987</v>
      </c>
      <c r="D5" s="14">
        <v>2.3795025664000002</v>
      </c>
      <c r="E5" s="14">
        <v>2.5300906000000003</v>
      </c>
      <c r="F5" s="14">
        <v>-52.196366900000008</v>
      </c>
      <c r="G5" s="14">
        <v>-0.18912060390000007</v>
      </c>
      <c r="H5" s="14">
        <v>112.35473633330994</v>
      </c>
      <c r="I5" s="14">
        <v>0.11906899999999997</v>
      </c>
      <c r="J5" s="14">
        <v>25.901325027199992</v>
      </c>
      <c r="K5" s="14">
        <v>-44.276404382330021</v>
      </c>
      <c r="L5" s="14">
        <v>18.324904350000001</v>
      </c>
      <c r="M5" s="14">
        <v>25.2222191</v>
      </c>
      <c r="N5" s="14">
        <v>27.554770900000001</v>
      </c>
    </row>
    <row r="6" spans="1:15" ht="15" x14ac:dyDescent="0.25">
      <c r="A6" s="38">
        <f>SUM(C6:N6)</f>
        <v>335.38643598085986</v>
      </c>
      <c r="B6" s="59">
        <v>45859</v>
      </c>
      <c r="C6" s="54">
        <v>26.476569543359993</v>
      </c>
      <c r="D6" s="54">
        <v>-10.000553738900003</v>
      </c>
      <c r="E6" s="54">
        <v>6.5469787299999993</v>
      </c>
      <c r="F6" s="54">
        <v>178.54367509999997</v>
      </c>
      <c r="G6" s="54">
        <v>-1.1405244846</v>
      </c>
      <c r="H6" s="54">
        <v>194.16324918915996</v>
      </c>
      <c r="I6" s="54">
        <v>2.7209717999999996</v>
      </c>
      <c r="J6" s="54">
        <v>24.881480329499997</v>
      </c>
      <c r="K6" s="54">
        <v>-45.172655587660003</v>
      </c>
      <c r="L6" s="54">
        <v>19.903084000000003</v>
      </c>
      <c r="M6" s="54">
        <v>-55.756606799999993</v>
      </c>
      <c r="N6" s="54">
        <v>-5.7792320999999998</v>
      </c>
      <c r="O6"/>
    </row>
    <row r="7" spans="1:15" ht="15" x14ac:dyDescent="0.25">
      <c r="A7" s="52"/>
      <c r="B7" s="43"/>
      <c r="C7" s="51"/>
      <c r="D7" s="51"/>
      <c r="E7" s="51"/>
      <c r="F7" s="51"/>
      <c r="G7" s="51"/>
      <c r="H7" s="51"/>
      <c r="I7" s="51"/>
      <c r="J7" s="51"/>
      <c r="K7" s="51"/>
      <c r="L7" s="51"/>
      <c r="M7" s="51"/>
      <c r="N7" s="51"/>
    </row>
    <row r="8" spans="1:15" x14ac:dyDescent="0.2">
      <c r="B8" s="10" t="s">
        <v>5</v>
      </c>
      <c r="C8" s="10"/>
      <c r="D8" s="10"/>
    </row>
    <row r="9" spans="1:15" x14ac:dyDescent="0.2">
      <c r="B9" s="10" t="s">
        <v>56</v>
      </c>
      <c r="C9" s="10"/>
      <c r="D9" s="10"/>
    </row>
    <row r="10" spans="1:15" x14ac:dyDescent="0.2">
      <c r="B10" s="10" t="s">
        <v>6</v>
      </c>
      <c r="C10" s="10"/>
      <c r="D10" s="10"/>
    </row>
    <row r="11" spans="1:15" x14ac:dyDescent="0.2">
      <c r="B11" s="10" t="s">
        <v>53</v>
      </c>
      <c r="C11" s="11"/>
      <c r="D11" s="11"/>
    </row>
    <row r="12" spans="1:15" ht="15" x14ac:dyDescent="0.25">
      <c r="B12"/>
    </row>
    <row r="13" spans="1:15" ht="15" x14ac:dyDescent="0.25">
      <c r="C13" s="51"/>
      <c r="D13" s="51"/>
      <c r="E13" s="51"/>
      <c r="F13" s="51"/>
      <c r="G13" s="51"/>
      <c r="H13" s="51"/>
      <c r="I13" s="51"/>
      <c r="J13" s="51"/>
      <c r="K13" s="51"/>
      <c r="L13" s="51"/>
      <c r="M13" s="51"/>
      <c r="N13" s="51"/>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4"/>
      <c r="D16" s="54"/>
      <c r="E16" s="54"/>
      <c r="F16" s="54"/>
      <c r="G16" s="54"/>
      <c r="H16" s="54"/>
      <c r="I16" s="54"/>
      <c r="J16" s="54"/>
      <c r="K16" s="54"/>
      <c r="L16" s="54"/>
      <c r="M16" s="54"/>
      <c r="N16" s="54"/>
      <c r="O16" s="37"/>
    </row>
    <row r="17" spans="3:22" ht="15" x14ac:dyDescent="0.25">
      <c r="C17" s="36"/>
      <c r="D17" s="36"/>
      <c r="E17" s="36"/>
      <c r="F17" s="36"/>
      <c r="G17" s="36"/>
      <c r="H17" s="36"/>
      <c r="I17" s="36"/>
      <c r="J17" s="36"/>
      <c r="K17" s="36"/>
      <c r="L17" s="36"/>
      <c r="M17" s="36"/>
      <c r="N17" s="64"/>
      <c r="O17" s="36"/>
    </row>
    <row r="18" spans="3:22" ht="15" x14ac:dyDescent="0.25">
      <c r="C18"/>
      <c r="D18"/>
      <c r="K18" s="54"/>
      <c r="L18" s="54"/>
      <c r="M18" s="54"/>
      <c r="N18" s="54"/>
      <c r="O18" s="54"/>
      <c r="P18" s="54"/>
      <c r="Q18" s="54"/>
      <c r="R18" s="54"/>
      <c r="S18" s="54"/>
      <c r="T18" s="54"/>
      <c r="U18" s="54"/>
      <c r="V18" s="54"/>
    </row>
    <row r="19" spans="3:22" ht="15" x14ac:dyDescent="0.25">
      <c r="C19"/>
      <c r="D19"/>
    </row>
    <row r="20" spans="3:22" ht="15" x14ac:dyDescent="0.25">
      <c r="C20"/>
      <c r="D20"/>
      <c r="L20" s="65"/>
    </row>
    <row r="21" spans="3:22" ht="15" x14ac:dyDescent="0.25">
      <c r="C21"/>
      <c r="D21"/>
      <c r="O21" s="63"/>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51</v>
      </c>
      <c r="H2" s="12" t="s">
        <v>14</v>
      </c>
      <c r="I2" s="12" t="s">
        <v>15</v>
      </c>
      <c r="J2" s="12" t="s">
        <v>16</v>
      </c>
      <c r="K2" s="12" t="s">
        <v>17</v>
      </c>
      <c r="L2" s="12" t="s">
        <v>18</v>
      </c>
      <c r="M2" s="12" t="s">
        <v>52</v>
      </c>
      <c r="N2" s="12" t="s">
        <v>19</v>
      </c>
    </row>
    <row r="3" spans="1:20" ht="15" x14ac:dyDescent="0.25">
      <c r="A3" s="49">
        <f>SUM(C3:N3)</f>
        <v>-304.66085445803998</v>
      </c>
      <c r="B3" s="48">
        <v>45838</v>
      </c>
      <c r="C3" s="42">
        <v>-8.0120973449300017</v>
      </c>
      <c r="D3" s="42">
        <v>11.114311933099998</v>
      </c>
      <c r="E3" s="42">
        <v>0.82049560000000055</v>
      </c>
      <c r="F3" s="42">
        <v>-164.66972330000002</v>
      </c>
      <c r="G3" s="42">
        <v>-4.6779609378000009</v>
      </c>
      <c r="H3" s="42">
        <v>-32.935319032390005</v>
      </c>
      <c r="I3" s="42">
        <v>-2.0110476999999998</v>
      </c>
      <c r="J3" s="42">
        <v>-53.834643938799999</v>
      </c>
      <c r="K3" s="42">
        <v>-27.653407737220014</v>
      </c>
      <c r="L3" s="42">
        <v>1.5891867000000002</v>
      </c>
      <c r="M3" s="42">
        <v>-4.4391037000000022</v>
      </c>
      <c r="N3" s="42">
        <v>-19.951544999999999</v>
      </c>
      <c r="P3" s="13"/>
    </row>
    <row r="4" spans="1:20" ht="15" x14ac:dyDescent="0.25">
      <c r="A4" s="49">
        <f>SUM(C4:N4)</f>
        <v>-325.50821720395004</v>
      </c>
      <c r="B4" s="11">
        <v>45845</v>
      </c>
      <c r="C4" s="56">
        <v>-12.354741772430001</v>
      </c>
      <c r="D4" s="56">
        <v>-5.1064223963000002</v>
      </c>
      <c r="E4" s="56">
        <v>2.2443818000000011</v>
      </c>
      <c r="F4" s="56">
        <v>-222.61047759999997</v>
      </c>
      <c r="G4" s="56">
        <v>8.6500382623000007</v>
      </c>
      <c r="H4" s="56">
        <v>-129.34652369988999</v>
      </c>
      <c r="I4" s="56">
        <v>25.298649299999997</v>
      </c>
      <c r="J4" s="56">
        <v>-8.0582006639999992</v>
      </c>
      <c r="K4" s="56">
        <v>88.653179466369977</v>
      </c>
      <c r="L4" s="56">
        <v>-7.5908565000000019</v>
      </c>
      <c r="M4" s="56">
        <v>-59.1442306</v>
      </c>
      <c r="N4" s="56">
        <v>-6.1430128000000002</v>
      </c>
      <c r="P4" s="13"/>
    </row>
    <row r="5" spans="1:20" ht="15" x14ac:dyDescent="0.25">
      <c r="A5" s="49">
        <f>SUM(C5:N5)</f>
        <v>-371.06288291021002</v>
      </c>
      <c r="B5" s="48">
        <v>45852</v>
      </c>
      <c r="C5" s="61">
        <v>-8.3711809955399978</v>
      </c>
      <c r="D5" s="61">
        <v>-6.9128019468999993</v>
      </c>
      <c r="E5" s="61">
        <v>-4.6007783</v>
      </c>
      <c r="F5" s="61">
        <v>-102.59051420000002</v>
      </c>
      <c r="G5" s="61">
        <v>0.15313839049999942</v>
      </c>
      <c r="H5" s="61">
        <v>-211.17308342914001</v>
      </c>
      <c r="I5" s="61">
        <v>-1.1026857000000003</v>
      </c>
      <c r="J5" s="61">
        <v>-34.246592175899984</v>
      </c>
      <c r="K5" s="61">
        <v>52.698100096769998</v>
      </c>
      <c r="L5" s="61">
        <v>-22.632737649999996</v>
      </c>
      <c r="M5" s="61">
        <v>-18.9825968</v>
      </c>
      <c r="N5" s="61">
        <v>-13.3011502</v>
      </c>
      <c r="P5" s="13"/>
    </row>
    <row r="6" spans="1:20" ht="15" x14ac:dyDescent="0.25">
      <c r="A6" s="49">
        <f>SUM(C6:N6)</f>
        <v>-159.60913127178992</v>
      </c>
      <c r="B6" s="59">
        <v>45859</v>
      </c>
      <c r="C6" s="56">
        <v>-22.35754252596</v>
      </c>
      <c r="D6" s="56">
        <v>14.808239738099999</v>
      </c>
      <c r="E6" s="56">
        <v>-4.5467833299999985</v>
      </c>
      <c r="F6" s="56">
        <v>-42.212397699999983</v>
      </c>
      <c r="G6" s="56">
        <v>2.5829107305000001</v>
      </c>
      <c r="H6" s="56">
        <v>-135.98923593020001</v>
      </c>
      <c r="I6" s="56">
        <v>-2.3783135000000004</v>
      </c>
      <c r="J6" s="56">
        <v>-30.790697354899983</v>
      </c>
      <c r="K6" s="56">
        <v>31.670343600670005</v>
      </c>
      <c r="L6" s="56">
        <v>-23.95710750000001</v>
      </c>
      <c r="M6" s="56">
        <v>40.476924600000004</v>
      </c>
      <c r="N6" s="56">
        <v>13.084527900000001</v>
      </c>
      <c r="P6" s="13"/>
    </row>
    <row r="7" spans="1:20" ht="15" x14ac:dyDescent="0.25">
      <c r="A7" s="52"/>
      <c r="B7" s="41"/>
      <c r="C7" s="51"/>
      <c r="D7" s="51"/>
      <c r="E7" s="51"/>
      <c r="F7" s="51"/>
      <c r="G7" s="51"/>
      <c r="H7" s="51"/>
      <c r="I7" s="51"/>
      <c r="J7" s="51"/>
      <c r="K7" s="51"/>
      <c r="L7" s="51"/>
      <c r="M7" s="51"/>
      <c r="N7" s="51"/>
      <c r="P7" s="13"/>
    </row>
    <row r="8" spans="1:20" x14ac:dyDescent="0.2">
      <c r="B8" s="10" t="s">
        <v>5</v>
      </c>
      <c r="C8" s="10"/>
      <c r="D8" s="10"/>
    </row>
    <row r="9" spans="1:20" x14ac:dyDescent="0.2">
      <c r="B9" s="10" t="s">
        <v>58</v>
      </c>
      <c r="C9" s="10"/>
      <c r="D9" s="10"/>
    </row>
    <row r="10" spans="1:20" x14ac:dyDescent="0.2">
      <c r="B10" s="10" t="s">
        <v>6</v>
      </c>
      <c r="C10" s="10"/>
      <c r="D10" s="10"/>
    </row>
    <row r="11" spans="1:20" x14ac:dyDescent="0.2">
      <c r="B11" s="10" t="s">
        <v>53</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6"/>
      <c r="J15" s="56"/>
      <c r="K15" s="56"/>
      <c r="L15" s="56"/>
      <c r="M15" s="56"/>
      <c r="N15" s="56"/>
      <c r="O15" s="56"/>
      <c r="P15" s="56"/>
      <c r="Q15" s="56"/>
      <c r="R15" s="56"/>
      <c r="S15" s="56"/>
      <c r="T15" s="56"/>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6"/>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2025-07-28T03:28:42Z</dcterms:modified>
</cp:coreProperties>
</file>