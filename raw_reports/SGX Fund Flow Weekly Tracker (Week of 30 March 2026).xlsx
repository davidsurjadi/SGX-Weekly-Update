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6EBE725-493D-4631-97F8-AD8F6F59CC4C}"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<sst xmlns="http://schemas.openxmlformats.org/spreadsheetml/2006/main" count="139" uniqueCount="89">
  <si>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</si>
  <si>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</si>
  <si>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</si>
  <si>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</si>
  <si>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</si>
  <si>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</si>
  <si>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</si>
  <si>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</si>
  <si>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</si>
  <si>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</si>
  <si>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</si>
  <si>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</si>
  <si>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</si>
  <si>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</si>
  <si>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</si>
  <si>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</si>
  <si>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</si>
  <si>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</si>
  <si>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</si>
  <si>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</si>
  <si>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</si>
  <si>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</si>
  <si>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</si>
  <si>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</si>
  <si>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</si>
  <si>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</si>
  <si>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</si>
  <si>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</si>
  <si>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</si>
  <si>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</si>
  <si>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</si>
  <si>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</si>
  <si>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</si>
  <si>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</si>
  <si>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</si>
  <si>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</si>
  <si>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</si>
  <si>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</si>
  <si>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CapitaLand Ascendas REIT</t>
  </si>
  <si>
    <t>A17U</t>
  </si>
  <si>
    <t xml:space="preserve">AEM </t>
  </si>
  <si>
    <t>AWX</t>
  </si>
  <si>
    <t>Sembcorp Industries</t>
  </si>
  <si>
    <t>U96</t>
  </si>
  <si>
    <t>SGX</t>
  </si>
  <si>
    <t>S68</t>
  </si>
  <si>
    <t>Wilmar International</t>
  </si>
  <si>
    <t>F34</t>
  </si>
  <si>
    <t>Yangzijiang Shipbuilding</t>
  </si>
  <si>
    <t>BS6</t>
  </si>
  <si>
    <t>Keppel</t>
  </si>
  <si>
    <t>BN4</t>
  </si>
  <si>
    <t>SIA</t>
  </si>
  <si>
    <t>C6L</t>
  </si>
  <si>
    <t>Sheng Siong</t>
  </si>
  <si>
    <t>OV8</t>
  </si>
  <si>
    <t>iFast Corporation</t>
  </si>
  <si>
    <t>AIY</t>
  </si>
  <si>
    <t>Keppel REIT</t>
  </si>
  <si>
    <t>K71U</t>
  </si>
  <si>
    <t>Mapletree Logistics Trust</t>
  </si>
  <si>
    <t>M44U</t>
  </si>
  <si>
    <t>ST Engineering</t>
  </si>
  <si>
    <t>S63</t>
  </si>
  <si>
    <t>Seatrium</t>
  </si>
  <si>
    <t>5E2</t>
  </si>
  <si>
    <t>SATS</t>
  </si>
  <si>
    <t>S58</t>
  </si>
  <si>
    <t>UOB</t>
  </si>
  <si>
    <t>U11</t>
  </si>
  <si>
    <t>City Developments</t>
  </si>
  <si>
    <t>C09</t>
  </si>
  <si>
    <t>Venture Corporation</t>
  </si>
  <si>
    <t>V03</t>
  </si>
  <si>
    <t>Mapletree Industrial Trust</t>
  </si>
  <si>
    <t>ME8U</t>
  </si>
  <si>
    <t>E28</t>
  </si>
  <si>
    <t>CNMC Goldmine</t>
  </si>
  <si>
    <t>5TP</t>
  </si>
  <si>
    <t>Jardine Cycle &amp; Carriage</t>
  </si>
  <si>
    <t>C07</t>
  </si>
  <si>
    <t>Top Glove</t>
  </si>
  <si>
    <t>BVA</t>
  </si>
  <si>
    <t>Oiltek</t>
  </si>
  <si>
    <t>HQU</t>
  </si>
  <si>
    <t>Week of 30 March 2026</t>
  </si>
  <si>
    <r>
      <t xml:space="preserve">Institutional investors net </t>
    </r>
    <r>
      <rPr>
        <b/>
        <sz val="11"/>
        <rFont val="Arial"/>
        <family val="2"/>
      </rPr>
      <t>buy</t>
    </r>
    <r>
      <rPr>
        <sz val="11"/>
        <rFont val="Arial"/>
        <family val="2"/>
      </rPr>
      <t xml:space="preserve"> (+S$33.0m) vs. (-S$121.1m) a week ago</t>
    </r>
  </si>
  <si>
    <r>
      <t xml:space="preserve">Retail investors net </t>
    </r>
    <r>
      <rPr>
        <b/>
        <sz val="11"/>
        <rFont val="Arial"/>
        <family val="2"/>
      </rPr>
      <t>sell</t>
    </r>
    <r>
      <rPr>
        <sz val="11"/>
        <rFont val="Arial"/>
        <family val="2"/>
      </rPr>
      <t xml:space="preserve"> (-S$27.5m) vs. (+S$95.9m) a week ago</t>
    </r>
  </si>
  <si>
    <t>Frencken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</si>
</sst>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85</v>
      </c>
      <c r="C1" s="59"/>
    </row>
    <row r="2" spans="1:13" ht="15" x14ac:dyDescent="0.25">
      <c r="A2" s="52" t="s">
        <v>86</v>
      </c>
      <c r="I2" s="40"/>
    </row>
    <row r="3" spans="1:13" ht="15" x14ac:dyDescent="0.25">
      <c r="A3" s="52" t="s">
        <v>87</v>
      </c>
      <c r="I3" s="40"/>
    </row>
    <row r="5" spans="1:13" ht="29.25" customHeight="1" x14ac:dyDescent="0.2">
      <c r="A5" s="3" t="s">
        <v>0</v>
      </c>
      <c r="B5" s="3" t="s">
        <v>1</v>
      </c>
      <c r="C5" s="4" t="s">
        <v>85</v>
      </c>
      <c r="D5" s="43" t="s">
        <v>2</v>
      </c>
      <c r="E5" s="43" t="s">
        <v>1</v>
      </c>
      <c r="F5" s="44" t="str">
        <f>+C5</f>
        <v>Week of 30 March 2026</v>
      </c>
      <c r="I5" s="2"/>
    </row>
    <row r="6" spans="1:13" ht="15" x14ac:dyDescent="0.25">
      <c r="A6" s="28" t="s">
        <v>34</v>
      </c>
      <c r="B6" s="46" t="s">
        <v>35</v>
      </c>
      <c r="C6" s="5">
        <v>61.323413000000002</v>
      </c>
      <c r="D6" s="28" t="s">
        <v>22</v>
      </c>
      <c r="E6" s="46" t="s">
        <v>21</v>
      </c>
      <c r="F6" s="5">
        <v>-120.645808</v>
      </c>
      <c r="G6" s="61"/>
      <c r="H6"/>
      <c r="I6" s="2"/>
      <c r="M6"/>
    </row>
    <row r="7" spans="1:13" ht="15" x14ac:dyDescent="0.25">
      <c r="A7" s="29" t="s">
        <v>42</v>
      </c>
      <c r="B7" s="9" t="s">
        <v>43</v>
      </c>
      <c r="C7" s="7">
        <v>47.085864000000001</v>
      </c>
      <c r="D7" s="29" t="s">
        <v>68</v>
      </c>
      <c r="E7" s="9" t="s">
        <v>69</v>
      </c>
      <c r="F7" s="7">
        <v>-25.089178</v>
      </c>
      <c r="G7" s="61"/>
      <c r="H7"/>
      <c r="I7" s="2"/>
      <c r="L7"/>
      <c r="M7"/>
    </row>
    <row r="8" spans="1:13" ht="15" x14ac:dyDescent="0.25">
      <c r="A8" s="30" t="s">
        <v>38</v>
      </c>
      <c r="B8" s="46" t="s">
        <v>39</v>
      </c>
      <c r="C8" s="5">
        <v>24.502154999999998</v>
      </c>
      <c r="D8" s="30" t="s">
        <v>56</v>
      </c>
      <c r="E8" s="46" t="s">
        <v>57</v>
      </c>
      <c r="F8" s="5">
        <v>-13.323829</v>
      </c>
      <c r="G8" s="61"/>
      <c r="H8"/>
      <c r="I8" s="2"/>
      <c r="L8"/>
      <c r="M8"/>
    </row>
    <row r="9" spans="1:13" ht="15" x14ac:dyDescent="0.25">
      <c r="A9" s="29" t="s">
        <v>44</v>
      </c>
      <c r="B9" s="9" t="s">
        <v>45</v>
      </c>
      <c r="C9" s="7">
        <v>20.736257999999999</v>
      </c>
      <c r="D9" s="29" t="s">
        <v>70</v>
      </c>
      <c r="E9" s="9" t="s">
        <v>71</v>
      </c>
      <c r="F9" s="7">
        <v>-12.158467</v>
      </c>
      <c r="G9" s="61"/>
      <c r="H9"/>
      <c r="I9" s="2"/>
      <c r="L9"/>
      <c r="M9"/>
    </row>
    <row r="10" spans="1:13" ht="15" x14ac:dyDescent="0.25">
      <c r="A10" s="30" t="s">
        <v>62</v>
      </c>
      <c r="B10" s="46" t="s">
        <v>63</v>
      </c>
      <c r="C10" s="5">
        <v>12.512937000000001</v>
      </c>
      <c r="D10" s="30" t="s">
        <v>50</v>
      </c>
      <c r="E10" s="46" t="s">
        <v>51</v>
      </c>
      <c r="F10" s="5">
        <v>-11.225742</v>
      </c>
      <c r="G10" s="61"/>
      <c r="H10"/>
      <c r="I10" s="2"/>
      <c r="L10"/>
      <c r="M10"/>
    </row>
    <row r="11" spans="1:13" ht="15" x14ac:dyDescent="0.25">
      <c r="A11" s="29" t="s">
        <v>64</v>
      </c>
      <c r="B11" s="9" t="s">
        <v>65</v>
      </c>
      <c r="C11" s="7">
        <v>11.986953</v>
      </c>
      <c r="D11" s="29" t="s">
        <v>40</v>
      </c>
      <c r="E11" s="9" t="s">
        <v>41</v>
      </c>
      <c r="F11" s="7">
        <v>-9.2222829999999991</v>
      </c>
      <c r="G11" s="61"/>
      <c r="H11"/>
      <c r="I11" s="2"/>
      <c r="L11"/>
      <c r="M11"/>
    </row>
    <row r="12" spans="1:13" ht="15" x14ac:dyDescent="0.25">
      <c r="A12" s="30" t="s">
        <v>54</v>
      </c>
      <c r="B12" s="46" t="s">
        <v>55</v>
      </c>
      <c r="C12" s="5">
        <v>11.870498</v>
      </c>
      <c r="D12" s="30" t="s">
        <v>60</v>
      </c>
      <c r="E12" s="46" t="s">
        <v>61</v>
      </c>
      <c r="F12" s="5">
        <v>-8.5310830000000006</v>
      </c>
      <c r="G12" s="61"/>
      <c r="H12"/>
      <c r="I12" s="2"/>
      <c r="L12"/>
      <c r="M12"/>
    </row>
    <row r="13" spans="1:13" ht="15" x14ac:dyDescent="0.25">
      <c r="A13" s="29" t="s">
        <v>46</v>
      </c>
      <c r="B13" s="9" t="s">
        <v>47</v>
      </c>
      <c r="C13" s="7">
        <v>11.160094000000001</v>
      </c>
      <c r="D13" s="29" t="s">
        <v>58</v>
      </c>
      <c r="E13" s="9" t="s">
        <v>59</v>
      </c>
      <c r="F13" s="7">
        <v>-7.7071975000000004</v>
      </c>
      <c r="G13" s="61"/>
      <c r="H13"/>
      <c r="I13" s="2"/>
      <c r="L13"/>
      <c r="M13"/>
    </row>
    <row r="14" spans="1:13" ht="15" x14ac:dyDescent="0.25">
      <c r="A14" s="30" t="s">
        <v>52</v>
      </c>
      <c r="B14" s="46" t="s">
        <v>53</v>
      </c>
      <c r="C14" s="5">
        <v>10.670938</v>
      </c>
      <c r="D14" s="30" t="s">
        <v>72</v>
      </c>
      <c r="E14" s="46" t="s">
        <v>73</v>
      </c>
      <c r="F14" s="5">
        <v>-7.5370220000000003</v>
      </c>
      <c r="G14" s="61"/>
      <c r="H14"/>
      <c r="I14" s="2"/>
      <c r="L14"/>
      <c r="M14"/>
    </row>
    <row r="15" spans="1:13" ht="15" x14ac:dyDescent="0.25">
      <c r="A15" s="31" t="s">
        <v>66</v>
      </c>
      <c r="B15" s="27" t="s">
        <v>67</v>
      </c>
      <c r="C15" s="8">
        <v>8.430358</v>
      </c>
      <c r="D15" s="31" t="s">
        <v>74</v>
      </c>
      <c r="E15" s="27" t="s">
        <v>75</v>
      </c>
      <c r="F15" s="8">
        <v>-6.878342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30 March 2026</v>
      </c>
      <c r="D18" s="45" t="s">
        <v>4</v>
      </c>
      <c r="E18" s="43" t="s">
        <v>1</v>
      </c>
      <c r="F18" s="44" t="str">
        <f>+C18</f>
        <v>Week of 30 March 2026</v>
      </c>
    </row>
    <row r="19" spans="1:9" x14ac:dyDescent="0.2">
      <c r="A19" s="30" t="s">
        <v>22</v>
      </c>
      <c r="B19" s="46" t="s">
        <v>21</v>
      </c>
      <c r="C19" s="16">
        <v>59.694327999999999</v>
      </c>
      <c r="D19" s="30" t="s">
        <v>34</v>
      </c>
      <c r="E19" s="15" t="s">
        <v>35</v>
      </c>
      <c r="F19" s="5">
        <v>-59.548918</v>
      </c>
      <c r="I19" s="2"/>
    </row>
    <row r="20" spans="1:9" ht="15" x14ac:dyDescent="0.25">
      <c r="A20" s="29" t="s">
        <v>48</v>
      </c>
      <c r="B20" s="9" t="s">
        <v>49</v>
      </c>
      <c r="C20" s="7">
        <v>29.895132</v>
      </c>
      <c r="D20" s="29" t="s">
        <v>42</v>
      </c>
      <c r="E20" s="17" t="s">
        <v>43</v>
      </c>
      <c r="F20" s="7">
        <v>-48.864533999999999</v>
      </c>
      <c r="G20" s="61"/>
      <c r="I20" s="2"/>
    </row>
    <row r="21" spans="1:9" ht="15" x14ac:dyDescent="0.25">
      <c r="A21" s="30" t="s">
        <v>50</v>
      </c>
      <c r="B21" s="46" t="s">
        <v>51</v>
      </c>
      <c r="C21" s="5">
        <v>29.350024999999999</v>
      </c>
      <c r="D21" s="30" t="s">
        <v>64</v>
      </c>
      <c r="E21" s="6" t="s">
        <v>65</v>
      </c>
      <c r="F21" s="5">
        <v>-18.424600000000002</v>
      </c>
      <c r="G21" s="61"/>
      <c r="I21" s="2"/>
    </row>
    <row r="22" spans="1:9" ht="15" x14ac:dyDescent="0.25">
      <c r="A22" s="29" t="s">
        <v>56</v>
      </c>
      <c r="B22" s="9" t="s">
        <v>57</v>
      </c>
      <c r="C22" s="7">
        <v>14.303572000000001</v>
      </c>
      <c r="D22" s="29" t="s">
        <v>54</v>
      </c>
      <c r="E22" s="17" t="s">
        <v>55</v>
      </c>
      <c r="F22" s="7">
        <v>-18.037859999999998</v>
      </c>
      <c r="G22" s="61"/>
      <c r="I22" s="2"/>
    </row>
    <row r="23" spans="1:9" ht="15" x14ac:dyDescent="0.25">
      <c r="A23" s="30" t="s">
        <v>70</v>
      </c>
      <c r="B23" s="46" t="s">
        <v>71</v>
      </c>
      <c r="C23" s="5">
        <v>13.853092999999999</v>
      </c>
      <c r="D23" s="30" t="s">
        <v>44</v>
      </c>
      <c r="E23" s="6" t="s">
        <v>45</v>
      </c>
      <c r="F23" s="5">
        <v>-12.675788000000001</v>
      </c>
      <c r="G23" s="61"/>
      <c r="I23" s="2"/>
    </row>
    <row r="24" spans="1:9" ht="15" x14ac:dyDescent="0.25">
      <c r="A24" s="29" t="s">
        <v>72</v>
      </c>
      <c r="B24" s="9" t="s">
        <v>73</v>
      </c>
      <c r="C24" s="7">
        <v>9.8620529999999995</v>
      </c>
      <c r="D24" s="29" t="s">
        <v>81</v>
      </c>
      <c r="E24" s="17" t="s">
        <v>82</v>
      </c>
      <c r="F24" s="7">
        <v>-12.652764100000001</v>
      </c>
      <c r="G24" s="61"/>
      <c r="I24" s="2"/>
    </row>
    <row r="25" spans="1:9" ht="15" x14ac:dyDescent="0.25">
      <c r="A25" s="30" t="s">
        <v>40</v>
      </c>
      <c r="B25" s="46" t="s">
        <v>41</v>
      </c>
      <c r="C25" s="5">
        <v>9.0303199999999997</v>
      </c>
      <c r="D25" s="30" t="s">
        <v>46</v>
      </c>
      <c r="E25" s="6" t="s">
        <v>47</v>
      </c>
      <c r="F25" s="5">
        <v>-9.0099470000000004</v>
      </c>
      <c r="G25" s="61"/>
      <c r="I25" s="2"/>
    </row>
    <row r="26" spans="1:9" ht="15" x14ac:dyDescent="0.25">
      <c r="A26" s="29" t="s">
        <v>88</v>
      </c>
      <c r="B26" s="9" t="s">
        <v>76</v>
      </c>
      <c r="C26" s="7">
        <v>6.6298830000000004</v>
      </c>
      <c r="D26" s="29" t="s">
        <v>52</v>
      </c>
      <c r="E26" s="17" t="s">
        <v>53</v>
      </c>
      <c r="F26" s="7">
        <v>-8.4880379999999995</v>
      </c>
      <c r="G26" s="61"/>
      <c r="I26" s="2"/>
    </row>
    <row r="27" spans="1:9" ht="15" x14ac:dyDescent="0.25">
      <c r="A27" s="30" t="s">
        <v>77</v>
      </c>
      <c r="B27" s="46" t="s">
        <v>78</v>
      </c>
      <c r="C27" s="5">
        <v>5.8152359999999996</v>
      </c>
      <c r="D27" s="30" t="s">
        <v>36</v>
      </c>
      <c r="E27" s="6" t="s">
        <v>37</v>
      </c>
      <c r="F27" s="5">
        <v>-7.2890449999999989</v>
      </c>
      <c r="G27" s="61"/>
      <c r="I27" s="2"/>
    </row>
    <row r="28" spans="1:9" ht="15" x14ac:dyDescent="0.25">
      <c r="A28" s="27" t="s">
        <v>79</v>
      </c>
      <c r="B28" s="56" t="s">
        <v>80</v>
      </c>
      <c r="C28" s="8">
        <v>5.3265419999999999</v>
      </c>
      <c r="D28" s="27" t="s">
        <v>83</v>
      </c>
      <c r="E28" s="56" t="s">
        <v>84</v>
      </c>
      <c r="F28" s="8">
        <v>-6.289981</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67" t="s">
        <v>33</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1 E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5703125" style="2" bestFit="1" customWidth="1"/>
    <col min="11" max="11" width="9" style="2"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-93.014748812899967</v>
      </c>
      <c r="B3" s="54">
        <v>46090</v>
      </c>
      <c r="C3" s="14">
        <v>-18.572701405540002</v>
      </c>
      <c r="D3" s="14">
        <v>47.537402282999999</v>
      </c>
      <c r="E3" s="14">
        <v>9.997401</v>
      </c>
      <c r="F3" s="14">
        <v>3.8706375999999976</v>
      </c>
      <c r="G3" s="14">
        <v>-7.0546602468999993</v>
      </c>
      <c r="H3" s="14">
        <v>-36.060762498149998</v>
      </c>
      <c r="I3" s="14">
        <v>0.92307359999999949</v>
      </c>
      <c r="J3" s="14">
        <v>22.9009594895</v>
      </c>
      <c r="K3" s="14">
        <v>-75.290996934809982</v>
      </c>
      <c r="L3" s="14">
        <v>2.867189900000001</v>
      </c>
      <c r="M3" s="14">
        <v>-39.009800099999993</v>
      </c>
      <c r="N3" s="14">
        <v>-5.1224914999999998</v>
      </c>
    </row>
    <row r="4" spans="1:15" ht="15" x14ac:dyDescent="0.25">
      <c r="A4" s="38">
        <f>SUM(C4:N4)</f>
        <v>307.63522810997995</v>
      </c>
      <c r="B4" s="42">
        <v>46097</v>
      </c>
      <c r="C4" s="53">
        <v>-4.775943354729999</v>
      </c>
      <c r="D4" s="53">
        <v>29.541540518000005</v>
      </c>
      <c r="E4" s="53">
        <v>-3.8767902999999997</v>
      </c>
      <c r="F4" s="53">
        <v>149.66042909999999</v>
      </c>
      <c r="G4" s="53">
        <v>34.292654537699995</v>
      </c>
      <c r="H4" s="53">
        <v>-46.466256131099996</v>
      </c>
      <c r="I4" s="53">
        <v>-3.7713162999999987</v>
      </c>
      <c r="J4" s="53">
        <v>-56.846052755100004</v>
      </c>
      <c r="K4" s="53">
        <v>28.048346695209979</v>
      </c>
      <c r="L4" s="53">
        <v>27.201728199999994</v>
      </c>
      <c r="M4" s="53">
        <v>134.14536989999999</v>
      </c>
      <c r="N4" s="53">
        <v>20.481517999999998</v>
      </c>
    </row>
    <row r="5" spans="1:15" ht="15" x14ac:dyDescent="0.25">
      <c r="A5" s="38">
        <f>SUM(C5:N5)</f>
        <v>-121.08642328948004</v>
      </c>
      <c r="B5" s="66">
        <v>46104</v>
      </c>
      <c r="C5" s="14">
        <v>-2.62647488575</v>
      </c>
      <c r="D5" s="14">
        <v>33.32474399369999</v>
      </c>
      <c r="E5" s="14">
        <v>0.13641330000000007</v>
      </c>
      <c r="F5" s="14">
        <v>3.822436099999996</v>
      </c>
      <c r="G5" s="14">
        <v>9.2661078435999968</v>
      </c>
      <c r="H5" s="14">
        <v>-20.845874090400002</v>
      </c>
      <c r="I5" s="14">
        <v>0.46384969999999981</v>
      </c>
      <c r="J5" s="14">
        <v>-34.6149589893</v>
      </c>
      <c r="K5" s="14">
        <v>-171.13796041133003</v>
      </c>
      <c r="L5" s="14">
        <v>5.9785694499999957</v>
      </c>
      <c r="M5" s="14">
        <v>-24.007428200000003</v>
      </c>
      <c r="N5" s="14">
        <v>79.1541529</v>
      </c>
    </row>
    <row r="6" spans="1:15" ht="15" x14ac:dyDescent="0.25">
      <c r="A6" s="38">
        <f>SUM(C6:N6)</f>
        <v>32.95671571880996</v>
      </c>
      <c r="B6" s="58">
        <v>46111</v>
      </c>
      <c r="C6" s="53">
        <v>-5.6585336360000398E-2</v>
      </c>
      <c r="D6" s="53">
        <v>25.85905279</v>
      </c>
      <c r="E6" s="53">
        <v>3.3092533000000004</v>
      </c>
      <c r="F6" s="53">
        <v>-60.740215700000022</v>
      </c>
      <c r="G6" s="53">
        <v>4.749135966199999</v>
      </c>
      <c r="H6" s="53">
        <v>49.813223833949976</v>
      </c>
      <c r="I6" s="53">
        <v>-2.6565061999999999</v>
      </c>
      <c r="J6" s="53">
        <v>-1.9897073785999979</v>
      </c>
      <c r="K6" s="53">
        <v>-8.9936035563800054</v>
      </c>
      <c r="L6" s="53">
        <v>-27.867987199999998</v>
      </c>
      <c r="M6" s="53">
        <v>3.8292985999999978</v>
      </c>
      <c r="N6" s="53">
        <v>47.701356600000004</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166.97468055184999</v>
      </c>
      <c r="B3" s="47">
        <v>46090</v>
      </c>
      <c r="C3" s="60">
        <v>33.608824358359989</v>
      </c>
      <c r="D3" s="60">
        <v>-53.0036932075</v>
      </c>
      <c r="E3" s="60">
        <v>-12.340543299999998</v>
      </c>
      <c r="F3" s="60">
        <v>43.515102716000001</v>
      </c>
      <c r="G3" s="60">
        <v>-0.77424282090000074</v>
      </c>
      <c r="H3" s="60">
        <v>25.950315147110008</v>
      </c>
      <c r="I3" s="60">
        <v>4.8032155000000003</v>
      </c>
      <c r="J3" s="60">
        <v>-1.4024674361999976</v>
      </c>
      <c r="K3" s="60">
        <v>120.79082048497997</v>
      </c>
      <c r="L3" s="60">
        <v>9.3240816099999986</v>
      </c>
      <c r="M3" s="60">
        <v>-11.3028002</v>
      </c>
      <c r="N3" s="60">
        <v>7.8060676999999998</v>
      </c>
      <c r="P3" s="13"/>
    </row>
    <row r="4" spans="1:20" ht="15" x14ac:dyDescent="0.25">
      <c r="A4" s="48">
        <f>SUM(C4:N4)</f>
        <v>-194.01649288888001</v>
      </c>
      <c r="B4" s="58">
        <v>46097</v>
      </c>
      <c r="C4" s="55">
        <v>11.494817224849998</v>
      </c>
      <c r="D4" s="55">
        <v>-27.350136618200008</v>
      </c>
      <c r="E4" s="55">
        <v>6.6987695999999994</v>
      </c>
      <c r="F4" s="55">
        <v>-147.58875840000002</v>
      </c>
      <c r="G4" s="55">
        <v>4.6041117433999981</v>
      </c>
      <c r="H4" s="55">
        <v>14.105001352499995</v>
      </c>
      <c r="I4" s="55">
        <v>7.8343341000000013</v>
      </c>
      <c r="J4" s="55">
        <v>41.863432581599994</v>
      </c>
      <c r="K4" s="55">
        <v>0.90059172697000123</v>
      </c>
      <c r="L4" s="55">
        <v>-22.512619999999995</v>
      </c>
      <c r="M4" s="55">
        <v>-57.927759000000002</v>
      </c>
      <c r="N4" s="55">
        <v>-26.138277200000001</v>
      </c>
      <c r="P4" s="13"/>
    </row>
    <row r="5" spans="1:20" ht="15" x14ac:dyDescent="0.25">
      <c r="A5" s="48">
        <f>SUM(C5:N5)</f>
        <v>95.854071177799966</v>
      </c>
      <c r="B5" s="66">
        <v>46104</v>
      </c>
      <c r="C5" s="60">
        <v>0.90917014230999915</v>
      </c>
      <c r="D5" s="60">
        <v>-33.912101700399994</v>
      </c>
      <c r="E5" s="60">
        <v>-5.8554699999999738E-2</v>
      </c>
      <c r="F5" s="60">
        <v>-8.2551763000000058</v>
      </c>
      <c r="G5" s="60">
        <v>-7.8793399815999967</v>
      </c>
      <c r="H5" s="60">
        <v>75.482862291500041</v>
      </c>
      <c r="I5" s="60">
        <v>-0.45727799999999952</v>
      </c>
      <c r="J5" s="60">
        <v>12.778125041000001</v>
      </c>
      <c r="K5" s="60">
        <v>164.92324328498995</v>
      </c>
      <c r="L5" s="60">
        <v>-19.169640300000008</v>
      </c>
      <c r="M5" s="60">
        <v>36.829791700000001</v>
      </c>
      <c r="N5" s="60">
        <v>-125.33703030000001</v>
      </c>
      <c r="P5" s="13"/>
    </row>
    <row r="6" spans="1:20" ht="15" x14ac:dyDescent="0.25">
      <c r="A6" s="48">
        <f>SUM(C6:N6)</f>
        <v>-27.536545156449989</v>
      </c>
      <c r="B6" s="58">
        <v>46111</v>
      </c>
      <c r="C6" s="55">
        <v>7.614705786780001</v>
      </c>
      <c r="D6" s="55">
        <v>-27.985287609399997</v>
      </c>
      <c r="E6" s="55">
        <v>-4.6959549999999997</v>
      </c>
      <c r="F6" s="55">
        <v>-6.8649088999999988</v>
      </c>
      <c r="G6" s="55">
        <v>-14.0405981411</v>
      </c>
      <c r="H6" s="55">
        <v>5.4457340663499885</v>
      </c>
      <c r="I6" s="55">
        <v>4.8311683000000007</v>
      </c>
      <c r="J6" s="55">
        <v>14.681047388199998</v>
      </c>
      <c r="K6" s="55">
        <v>18.48203165272</v>
      </c>
      <c r="L6" s="55">
        <v>33.693647700000014</v>
      </c>
      <c r="M6" s="55">
        <v>-8.4583463999999999</v>
      </c>
      <c r="N6" s="55">
        <v>-50.239784</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2026-04-06T02:02:48Z</dcterms:modified>
</cp:coreProperties>
</file>