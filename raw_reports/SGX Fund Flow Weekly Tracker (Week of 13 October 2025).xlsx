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A7B8F95C-910E-480C-A688-C628B398789C}"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<sst xmlns="http://schemas.openxmlformats.org/spreadsheetml/2006/main" count="139" uniqueCount="83">
  <si>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</si>
  <si>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</si>
  <si>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</si>
  <si>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</si>
  <si>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</si>
  <si>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</si>
  <si>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</si>
  <si>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</si>
  <si>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</si>
  <si>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</si>
  <si>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</si>
  <si>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</si>
  <si>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</si>
  <si>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</si>
  <si>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</si>
  <si>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</si>
  <si>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</si>
  <si>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</si>
  <si>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</si>
  <si>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</si>
  <si>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</si>
  <si>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</si>
  <si>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</si>
  <si>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</si>
  <si>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</si>
  <si>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DBS</t>
  </si>
  <si>
    <t>OCBC</t>
  </si>
  <si>
    <t>UOB</t>
  </si>
  <si>
    <t>SGX</t>
  </si>
  <si>
    <t>S63</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</si>
  <si>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</si>
  <si>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</si>
  <si>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</si>
  <si>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</si>
  <si>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</si>
  <si>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</si>
  <si>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</si>
  <si>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</si>
  <si>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</si>
  <si>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</si>
  <si>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</si>
  <si>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ST Engineering</t>
  </si>
  <si>
    <t>Seatrium</t>
  </si>
  <si>
    <t>5E2</t>
  </si>
  <si>
    <t>Keppel</t>
  </si>
  <si>
    <t>BN4</t>
  </si>
  <si>
    <t>Yangzijiang Shipbuilding</t>
  </si>
  <si>
    <t>BS6</t>
  </si>
  <si>
    <t>CapitaLand Investment</t>
  </si>
  <si>
    <t>9CI</t>
  </si>
  <si>
    <t>Sembcorp Industries</t>
  </si>
  <si>
    <t>U96</t>
  </si>
  <si>
    <t>SIA</t>
  </si>
  <si>
    <t>C6L</t>
  </si>
  <si>
    <t>Venture Corporation</t>
  </si>
  <si>
    <t>V03</t>
  </si>
  <si>
    <t>iFast Corporation</t>
  </si>
  <si>
    <t>AIY</t>
  </si>
  <si>
    <t>Yangzijiang Financial</t>
  </si>
  <si>
    <t>YF8</t>
  </si>
  <si>
    <t>Singtel</t>
  </si>
  <si>
    <t>Z74</t>
  </si>
  <si>
    <t>CapitaLand Integrated Commercial Trust</t>
  </si>
  <si>
    <t>C38U</t>
  </si>
  <si>
    <t>Wilmar International</t>
  </si>
  <si>
    <t>F34</t>
  </si>
  <si>
    <t>Thai Beverage</t>
  </si>
  <si>
    <t>Y92</t>
  </si>
  <si>
    <t>UOL</t>
  </si>
  <si>
    <t>U14</t>
  </si>
  <si>
    <t xml:space="preserve">Frasers Centrepoint Trust </t>
  </si>
  <si>
    <t>J69U</t>
  </si>
  <si>
    <t>Riverstone</t>
  </si>
  <si>
    <t>AP4</t>
  </si>
  <si>
    <t>Keppel DC REIT</t>
  </si>
  <si>
    <t>AJBU</t>
  </si>
  <si>
    <t>UMS</t>
  </si>
  <si>
    <t>558</t>
  </si>
  <si>
    <t>Centurion Accomodation REIT</t>
  </si>
  <si>
    <t>8C8U</t>
  </si>
  <si>
    <t>Week of 13 October 2025</t>
  </si>
  <si>
    <r>
      <t xml:space="preserve">Institutional investors net </t>
    </r>
    <r>
      <rPr>
        <b/>
        <sz val="11"/>
        <rFont val="Arial"/>
        <family val="2"/>
      </rPr>
      <t>sell</t>
    </r>
    <r>
      <rPr>
        <sz val="11"/>
        <rFont val="Arial"/>
        <family val="2"/>
      </rPr>
      <t xml:space="preserve"> (-S$123.5m) vs. (+S$21.5m) a week ago</t>
    </r>
  </si>
  <si>
    <r>
      <t xml:space="preserve">Retail investors net </t>
    </r>
    <r>
      <rPr>
        <b/>
        <sz val="11"/>
        <rFont val="Arial"/>
        <family val="2"/>
      </rPr>
      <t>buy</t>
    </r>
    <r>
      <rPr>
        <sz val="11"/>
        <rFont val="Arial"/>
        <family val="2"/>
      </rPr>
      <t xml:space="preserve"> (+S$412.0m) vs. (+S$5.0m)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</si>
</sst>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80</v>
      </c>
      <c r="C1" s="59"/>
    </row>
    <row r="2" spans="1:13" x14ac:dyDescent="0.3">
      <c r="A2" s="52" t="s">
        <v>81</v>
      </c>
      <c r="I2" s="40"/>
    </row>
    <row r="3" spans="1:13" x14ac:dyDescent="0.3">
      <c r="A3" s="52" t="s">
        <v>82</v>
      </c>
      <c r="I3" s="40"/>
    </row>
    <row r="5" spans="1:13" ht="29.25" customHeight="1" x14ac:dyDescent="0.3">
      <c r="A5" s="3" t="s">
        <v>0</v>
      </c>
      <c r="B5" s="3" t="s">
        <v>1</v>
      </c>
      <c r="C5" s="4" t="s">
        <v>80</v>
      </c>
      <c r="D5" s="43" t="s">
        <v>2</v>
      </c>
      <c r="E5" s="43" t="s">
        <v>1</v>
      </c>
      <c r="F5" s="44" t="str">
        <f>+C5</f>
        <v>Week of 13 October 2025</v>
      </c>
      <c r="I5" s="2"/>
    </row>
    <row r="6" spans="1:13" ht="14.5" x14ac:dyDescent="0.35">
      <c r="A6" s="28" t="s">
        <v>44</v>
      </c>
      <c r="B6" s="46" t="s">
        <v>45</v>
      </c>
      <c r="C6" s="5">
        <v>44.246321999999999</v>
      </c>
      <c r="D6" s="28" t="s">
        <v>25</v>
      </c>
      <c r="E6" s="46" t="s">
        <v>21</v>
      </c>
      <c r="F6" s="5">
        <v>-89.267347999999998</v>
      </c>
      <c r="G6" s="61"/>
      <c r="H6"/>
      <c r="I6" s="2"/>
      <c r="M6"/>
    </row>
    <row r="7" spans="1:13" ht="14.5" x14ac:dyDescent="0.35">
      <c r="A7" s="29" t="s">
        <v>60</v>
      </c>
      <c r="B7" s="9" t="s">
        <v>61</v>
      </c>
      <c r="C7" s="7">
        <v>44.156918400000002</v>
      </c>
      <c r="D7" s="29" t="s">
        <v>27</v>
      </c>
      <c r="E7" s="9" t="s">
        <v>23</v>
      </c>
      <c r="F7" s="7">
        <v>-59.262168000000003</v>
      </c>
      <c r="G7" s="61"/>
      <c r="H7"/>
      <c r="I7" s="2"/>
      <c r="L7"/>
      <c r="M7"/>
    </row>
    <row r="8" spans="1:13" ht="14.5" x14ac:dyDescent="0.35">
      <c r="A8" s="30" t="s">
        <v>26</v>
      </c>
      <c r="B8" s="46" t="s">
        <v>22</v>
      </c>
      <c r="C8" s="5">
        <v>36.039973000000003</v>
      </c>
      <c r="D8" s="30" t="s">
        <v>48</v>
      </c>
      <c r="E8" s="46" t="s">
        <v>49</v>
      </c>
      <c r="F8" s="5">
        <v>-33.856955999999997</v>
      </c>
      <c r="G8" s="61"/>
      <c r="H8"/>
      <c r="I8" s="2"/>
      <c r="L8"/>
      <c r="M8"/>
    </row>
    <row r="9" spans="1:13" ht="14.5" x14ac:dyDescent="0.35">
      <c r="A9" s="29" t="s">
        <v>62</v>
      </c>
      <c r="B9" s="9" t="s">
        <v>63</v>
      </c>
      <c r="C9" s="7">
        <v>10.302431</v>
      </c>
      <c r="D9" s="29" t="s">
        <v>42</v>
      </c>
      <c r="E9" s="9" t="s">
        <v>43</v>
      </c>
      <c r="F9" s="7">
        <v>-24.893588000000001</v>
      </c>
      <c r="G9" s="61"/>
      <c r="H9"/>
      <c r="I9" s="2"/>
      <c r="L9"/>
      <c r="M9"/>
    </row>
    <row r="10" spans="1:13" ht="14.5" x14ac:dyDescent="0.35">
      <c r="A10" s="30" t="s">
        <v>64</v>
      </c>
      <c r="B10" s="46" t="s">
        <v>65</v>
      </c>
      <c r="C10" s="5">
        <v>9.3279460000000007</v>
      </c>
      <c r="D10" s="30" t="s">
        <v>46</v>
      </c>
      <c r="E10" s="46" t="s">
        <v>47</v>
      </c>
      <c r="F10" s="5">
        <v>-21.356829999999999</v>
      </c>
      <c r="G10" s="61"/>
      <c r="H10"/>
      <c r="I10" s="2"/>
      <c r="L10"/>
      <c r="M10"/>
    </row>
    <row r="11" spans="1:13" ht="14.5" x14ac:dyDescent="0.35">
      <c r="A11" s="29" t="s">
        <v>54</v>
      </c>
      <c r="B11" s="9" t="s">
        <v>55</v>
      </c>
      <c r="C11" s="7">
        <v>8.6562439999999992</v>
      </c>
      <c r="D11" s="29" t="s">
        <v>41</v>
      </c>
      <c r="E11" s="9" t="s">
        <v>29</v>
      </c>
      <c r="F11" s="7">
        <v>-20.545573000000001</v>
      </c>
      <c r="G11" s="61"/>
      <c r="H11"/>
      <c r="I11" s="2"/>
      <c r="L11"/>
      <c r="M11"/>
    </row>
    <row r="12" spans="1:13" ht="14.5" x14ac:dyDescent="0.35">
      <c r="A12" s="30" t="s">
        <v>66</v>
      </c>
      <c r="B12" s="46" t="s">
        <v>67</v>
      </c>
      <c r="C12" s="5">
        <v>8.1803229999999996</v>
      </c>
      <c r="D12" s="30" t="s">
        <v>28</v>
      </c>
      <c r="E12" s="46" t="s">
        <v>24</v>
      </c>
      <c r="F12" s="5">
        <v>-11.598993999999999</v>
      </c>
      <c r="G12" s="61"/>
      <c r="H12"/>
      <c r="I12" s="2"/>
      <c r="L12"/>
      <c r="M12"/>
    </row>
    <row r="13" spans="1:13" ht="14.5" x14ac:dyDescent="0.35">
      <c r="A13" s="29" t="s">
        <v>68</v>
      </c>
      <c r="B13" s="9" t="s">
        <v>69</v>
      </c>
      <c r="C13" s="7">
        <v>6.7018139999999997</v>
      </c>
      <c r="D13" s="29" t="s">
        <v>58</v>
      </c>
      <c r="E13" s="9" t="s">
        <v>59</v>
      </c>
      <c r="F13" s="7">
        <v>-10.6904</v>
      </c>
      <c r="G13" s="61"/>
      <c r="H13"/>
      <c r="I13" s="2"/>
      <c r="L13"/>
      <c r="M13"/>
    </row>
    <row r="14" spans="1:13" ht="14.5" x14ac:dyDescent="0.35">
      <c r="A14" s="30" t="s">
        <v>70</v>
      </c>
      <c r="B14" s="46" t="s">
        <v>71</v>
      </c>
      <c r="C14" s="5">
        <v>6.0162360000000001</v>
      </c>
      <c r="D14" s="30" t="s">
        <v>74</v>
      </c>
      <c r="E14" s="46" t="s">
        <v>75</v>
      </c>
      <c r="F14" s="5">
        <v>-8.944528</v>
      </c>
      <c r="G14" s="61"/>
      <c r="H14"/>
      <c r="I14" s="2"/>
      <c r="L14"/>
      <c r="M14"/>
    </row>
    <row r="15" spans="1:13" ht="14.5" x14ac:dyDescent="0.35">
      <c r="A15" s="31" t="s">
        <v>72</v>
      </c>
      <c r="B15" s="27" t="s">
        <v>73</v>
      </c>
      <c r="C15" s="8">
        <v>5.9650714999999996</v>
      </c>
      <c r="D15" s="31" t="s">
        <v>76</v>
      </c>
      <c r="E15" s="27" t="s">
        <v>77</v>
      </c>
      <c r="F15" s="8">
        <v>-7.9687000000000001</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13 October 2025</v>
      </c>
      <c r="D18" s="45" t="s">
        <v>4</v>
      </c>
      <c r="E18" s="43" t="s">
        <v>1</v>
      </c>
      <c r="F18" s="44" t="str">
        <f>+C18</f>
        <v>Week of 13 October 2025</v>
      </c>
    </row>
    <row r="19" spans="1:9" ht="14.5" x14ac:dyDescent="0.35">
      <c r="A19" s="30" t="s">
        <v>25</v>
      </c>
      <c r="B19" s="46" t="s">
        <v>21</v>
      </c>
      <c r="C19" s="16">
        <v>248.321372</v>
      </c>
      <c r="D19" s="30" t="s">
        <v>44</v>
      </c>
      <c r="E19" s="15" t="s">
        <v>45</v>
      </c>
      <c r="F19" s="5">
        <v>-30.729063</v>
      </c>
      <c r="G19" s="61"/>
      <c r="I19" s="2"/>
    </row>
    <row r="20" spans="1:9" ht="14.5" x14ac:dyDescent="0.35">
      <c r="A20" s="29" t="s">
        <v>27</v>
      </c>
      <c r="B20" s="9" t="s">
        <v>23</v>
      </c>
      <c r="C20" s="7">
        <v>68.345540999999997</v>
      </c>
      <c r="D20" s="29" t="s">
        <v>60</v>
      </c>
      <c r="E20" s="17" t="s">
        <v>61</v>
      </c>
      <c r="F20" s="7">
        <v>-12.3952495</v>
      </c>
      <c r="G20" s="61"/>
      <c r="I20" s="2"/>
    </row>
    <row r="21" spans="1:9" ht="14.5" x14ac:dyDescent="0.35">
      <c r="A21" s="30" t="s">
        <v>42</v>
      </c>
      <c r="B21" s="46" t="s">
        <v>43</v>
      </c>
      <c r="C21" s="5">
        <v>46.592998000000001</v>
      </c>
      <c r="D21" s="30" t="s">
        <v>50</v>
      </c>
      <c r="E21" s="6" t="s">
        <v>51</v>
      </c>
      <c r="F21" s="5">
        <v>-9.5091640000000002</v>
      </c>
      <c r="G21" s="61"/>
      <c r="I21" s="2"/>
    </row>
    <row r="22" spans="1:9" ht="14.5" x14ac:dyDescent="0.35">
      <c r="A22" s="29" t="s">
        <v>28</v>
      </c>
      <c r="B22" s="9" t="s">
        <v>24</v>
      </c>
      <c r="C22" s="7">
        <v>29.649501000000001</v>
      </c>
      <c r="D22" s="29" t="s">
        <v>26</v>
      </c>
      <c r="E22" s="17" t="s">
        <v>22</v>
      </c>
      <c r="F22" s="7">
        <v>-8.1953150000000008</v>
      </c>
      <c r="G22" s="61"/>
      <c r="I22" s="2"/>
    </row>
    <row r="23" spans="1:9" ht="14.5" x14ac:dyDescent="0.35">
      <c r="A23" s="30" t="s">
        <v>48</v>
      </c>
      <c r="B23" s="46" t="s">
        <v>49</v>
      </c>
      <c r="C23" s="5">
        <v>27.757833999999999</v>
      </c>
      <c r="D23" s="30" t="s">
        <v>62</v>
      </c>
      <c r="E23" s="6" t="s">
        <v>63</v>
      </c>
      <c r="F23" s="5">
        <v>-7.4390989999999997</v>
      </c>
      <c r="G23" s="61"/>
      <c r="I23" s="2"/>
    </row>
    <row r="24" spans="1:9" ht="14.5" x14ac:dyDescent="0.35">
      <c r="A24" s="29" t="s">
        <v>41</v>
      </c>
      <c r="B24" s="9" t="s">
        <v>29</v>
      </c>
      <c r="C24" s="7">
        <v>26.60689</v>
      </c>
      <c r="D24" s="29" t="s">
        <v>70</v>
      </c>
      <c r="E24" s="17" t="s">
        <v>71</v>
      </c>
      <c r="F24" s="7">
        <v>-6.8028659999999999</v>
      </c>
      <c r="G24" s="61"/>
      <c r="I24" s="2"/>
    </row>
    <row r="25" spans="1:9" ht="14.5" x14ac:dyDescent="0.35">
      <c r="A25" s="30" t="s">
        <v>52</v>
      </c>
      <c r="B25" s="46" t="s">
        <v>53</v>
      </c>
      <c r="C25" s="5">
        <v>20.775351000000001</v>
      </c>
      <c r="D25" s="30" t="s">
        <v>54</v>
      </c>
      <c r="E25" s="6" t="s">
        <v>55</v>
      </c>
      <c r="F25" s="5">
        <v>-6.7693659999999998</v>
      </c>
      <c r="G25" s="61"/>
      <c r="I25" s="2"/>
    </row>
    <row r="26" spans="1:9" ht="14.5" x14ac:dyDescent="0.35">
      <c r="A26" s="29" t="s">
        <v>46</v>
      </c>
      <c r="B26" s="9" t="s">
        <v>47</v>
      </c>
      <c r="C26" s="7">
        <v>19.655048000000001</v>
      </c>
      <c r="D26" s="29" t="s">
        <v>64</v>
      </c>
      <c r="E26" s="17" t="s">
        <v>65</v>
      </c>
      <c r="F26" s="7">
        <v>-6.2439200000000001</v>
      </c>
      <c r="G26" s="61"/>
      <c r="I26" s="2"/>
    </row>
    <row r="27" spans="1:9" ht="14.5" x14ac:dyDescent="0.35">
      <c r="A27" s="30" t="s">
        <v>76</v>
      </c>
      <c r="B27" s="46" t="s">
        <v>77</v>
      </c>
      <c r="C27" s="5">
        <v>7.3665339999999997</v>
      </c>
      <c r="D27" s="30" t="s">
        <v>68</v>
      </c>
      <c r="E27" s="6" t="s">
        <v>69</v>
      </c>
      <c r="F27" s="5">
        <v>-6.2333100000000004</v>
      </c>
      <c r="G27" s="61"/>
      <c r="I27" s="2"/>
    </row>
    <row r="28" spans="1:9" ht="14.5" x14ac:dyDescent="0.35">
      <c r="A28" s="27" t="s">
        <v>56</v>
      </c>
      <c r="B28" s="56" t="s">
        <v>57</v>
      </c>
      <c r="C28" s="8">
        <v>6.7031099999999997</v>
      </c>
      <c r="D28" s="27" t="s">
        <v>78</v>
      </c>
      <c r="E28" s="56" t="s">
        <v>79</v>
      </c>
      <c r="F28" s="8">
        <v>-5.0196540000000001</v>
      </c>
      <c r="G28" s="61"/>
      <c r="I28" s="2"/>
    </row>
    <row r="29" spans="1:9" x14ac:dyDescent="0.3">
      <c r="A29" s="9"/>
      <c r="B29" s="9"/>
      <c r="C29" s="9"/>
      <c r="D29" s="9"/>
      <c r="E29" s="9"/>
      <c r="F29" s="9"/>
    </row>
    <row r="30" spans="1:9" ht="14.5" x14ac:dyDescent="0.35">
      <c r="A30" s="10" t="s">
        <v>37</v>
      </c>
      <c r="B30" s="10"/>
      <c r="C30" s="9"/>
      <c r="D30" s="9"/>
      <c r="E30" s="9"/>
      <c r="F30" s="9"/>
    </row>
    <row r="31" spans="1:9" ht="14.5" x14ac:dyDescent="0.35">
      <c r="A31" s="10" t="s">
        <v>34</v>
      </c>
      <c r="B31" s="10"/>
      <c r="C31" s="9"/>
      <c r="D31" s="9"/>
      <c r="E31" s="9"/>
      <c r="F31" s="9"/>
    </row>
    <row r="32" spans="1:9" ht="14.5" x14ac:dyDescent="0.35">
      <c r="A32" s="10" t="s">
        <v>35</v>
      </c>
      <c r="B32" s="10"/>
      <c r="C32" s="9"/>
      <c r="D32" s="9"/>
      <c r="E32" s="9"/>
      <c r="F32" s="9"/>
    </row>
    <row r="33" spans="1:9" ht="14.5" x14ac:dyDescent="0.35">
      <c r="A33" s="10" t="s">
        <v>6</v>
      </c>
      <c r="B33" s="10"/>
      <c r="C33" s="9"/>
      <c r="D33" s="9"/>
      <c r="E33" s="9"/>
      <c r="F33" s="9"/>
    </row>
    <row r="34" spans="1:9" ht="14.5" x14ac:dyDescent="0.35">
      <c r="A34" s="57" t="s">
        <v>33</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30</v>
      </c>
      <c r="B37" s="19"/>
      <c r="C37" s="20"/>
      <c r="D37" s="20"/>
      <c r="E37" s="19"/>
      <c r="F37" s="19"/>
      <c r="I37" s="32"/>
    </row>
    <row r="38" spans="1:9" customFormat="1" ht="14.5" x14ac:dyDescent="0.35">
      <c r="A38" s="21" t="s">
        <v>39</v>
      </c>
      <c r="B38" s="19"/>
      <c r="C38" s="20"/>
      <c r="D38" s="20"/>
      <c r="E38" s="19"/>
      <c r="F38" s="19"/>
      <c r="I38" s="32"/>
    </row>
    <row r="39" spans="1:9" s="25" customFormat="1" ht="19.399999999999999" customHeight="1" x14ac:dyDescent="0.35">
      <c r="A39" s="22" t="s">
        <v>38</v>
      </c>
      <c r="B39" s="23"/>
      <c r="C39" s="24"/>
      <c r="D39" s="24"/>
      <c r="E39" s="23"/>
      <c r="F39" s="23"/>
      <c r="I39" s="35"/>
    </row>
    <row r="40" spans="1:9" ht="169.4" customHeight="1" x14ac:dyDescent="0.3">
      <c r="A40" s="68" t="s">
        <v>40</v>
      </c>
      <c r="B40" s="68"/>
      <c r="C40" s="68"/>
      <c r="D40" s="68"/>
      <c r="E40" s="68"/>
      <c r="F40" s="68"/>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9 E15 B21 B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9" style="2" bestFit="1" customWidth="1"/>
    <col min="15" max="16384" width="9.453125" style="2"/>
  </cols>
  <sheetData>
    <row r="1" spans="1:15" ht="17.25" customHeight="1" x14ac:dyDescent="0.3">
      <c r="A1" s="69" t="s">
        <v>7</v>
      </c>
      <c r="B1" s="12"/>
      <c r="C1" s="71" t="s">
        <v>8</v>
      </c>
      <c r="D1" s="72"/>
      <c r="E1" s="72"/>
      <c r="F1" s="72"/>
      <c r="G1" s="72"/>
      <c r="H1" s="72"/>
      <c r="I1" s="72"/>
      <c r="J1" s="72"/>
      <c r="K1" s="72"/>
      <c r="L1" s="72"/>
      <c r="M1" s="72"/>
      <c r="N1" s="73"/>
    </row>
    <row r="2" spans="1:15" ht="56" x14ac:dyDescent="0.3">
      <c r="A2" s="70"/>
      <c r="B2" s="12" t="s">
        <v>9</v>
      </c>
      <c r="C2" s="12" t="s">
        <v>10</v>
      </c>
      <c r="D2" s="12" t="s">
        <v>11</v>
      </c>
      <c r="E2" s="12" t="s">
        <v>12</v>
      </c>
      <c r="F2" s="12" t="s">
        <v>13</v>
      </c>
      <c r="G2" s="12" t="s">
        <v>31</v>
      </c>
      <c r="H2" s="12" t="s">
        <v>14</v>
      </c>
      <c r="I2" s="12" t="s">
        <v>15</v>
      </c>
      <c r="J2" s="12" t="s">
        <v>16</v>
      </c>
      <c r="K2" s="12" t="s">
        <v>17</v>
      </c>
      <c r="L2" s="12" t="s">
        <v>18</v>
      </c>
      <c r="M2" s="12" t="s">
        <v>32</v>
      </c>
      <c r="N2" s="12" t="s">
        <v>19</v>
      </c>
    </row>
    <row r="3" spans="1:15" x14ac:dyDescent="0.3">
      <c r="A3" s="38">
        <f>SUM(C3:N3)</f>
        <v>-275.14909970005999</v>
      </c>
      <c r="B3" s="54">
        <v>45922</v>
      </c>
      <c r="C3" s="14">
        <v>-11.502633191000003</v>
      </c>
      <c r="D3" s="14">
        <v>-7.3563471415000015</v>
      </c>
      <c r="E3" s="14">
        <v>1.3185985</v>
      </c>
      <c r="F3" s="14">
        <v>-135.76454225429998</v>
      </c>
      <c r="G3" s="14">
        <v>-4.1553481906999989</v>
      </c>
      <c r="H3" s="14">
        <v>-1.6192889373099946</v>
      </c>
      <c r="I3" s="14">
        <v>1.6435032999999997</v>
      </c>
      <c r="J3" s="14">
        <v>0.51475786250000233</v>
      </c>
      <c r="K3" s="14">
        <v>-75.829245897750013</v>
      </c>
      <c r="L3" s="14">
        <v>-1.9167008500000011</v>
      </c>
      <c r="M3" s="14">
        <v>-21.827923300000002</v>
      </c>
      <c r="N3" s="14">
        <v>-18.653929599999998</v>
      </c>
    </row>
    <row r="4" spans="1:15" x14ac:dyDescent="0.3">
      <c r="A4" s="38">
        <f>SUM(C4:N4)</f>
        <v>503.02802612272006</v>
      </c>
      <c r="B4" s="42">
        <v>45929</v>
      </c>
      <c r="C4" s="53">
        <v>-2.5081787344699991</v>
      </c>
      <c r="D4" s="53">
        <v>5.2891766990999987</v>
      </c>
      <c r="E4" s="53">
        <v>-0.44959389999999994</v>
      </c>
      <c r="F4" s="53">
        <v>319.80639790000004</v>
      </c>
      <c r="G4" s="53">
        <v>-2.4116381852999993</v>
      </c>
      <c r="H4" s="53">
        <v>67.29712603039998</v>
      </c>
      <c r="I4" s="53">
        <v>1.9570511999999995</v>
      </c>
      <c r="J4" s="53">
        <v>50.544144336500004</v>
      </c>
      <c r="K4" s="53">
        <v>47.778899676489999</v>
      </c>
      <c r="L4" s="53">
        <v>37.084318800000005</v>
      </c>
      <c r="M4" s="53">
        <v>-23.707694699999998</v>
      </c>
      <c r="N4" s="53">
        <v>2.348017</v>
      </c>
    </row>
    <row r="5" spans="1:15" x14ac:dyDescent="0.3">
      <c r="A5" s="67">
        <f>SUM(C5:N5)</f>
        <v>21.543713108419979</v>
      </c>
      <c r="B5" s="66">
        <v>45936</v>
      </c>
      <c r="C5" s="14">
        <v>1.292320673699999</v>
      </c>
      <c r="D5" s="14">
        <v>-22.592496795100004</v>
      </c>
      <c r="E5" s="14">
        <v>-3.4940848</v>
      </c>
      <c r="F5" s="14">
        <v>55.15282349999999</v>
      </c>
      <c r="G5" s="14">
        <v>1.1360422095000002</v>
      </c>
      <c r="H5" s="14">
        <v>12.563247483099996</v>
      </c>
      <c r="I5" s="14">
        <v>-1.0144417000000001</v>
      </c>
      <c r="J5" s="14">
        <v>7.2721408476999994</v>
      </c>
      <c r="K5" s="14">
        <v>-47.062242960479999</v>
      </c>
      <c r="L5" s="14">
        <v>5.0855313499999983</v>
      </c>
      <c r="M5" s="14">
        <v>-2.0738826999999991</v>
      </c>
      <c r="N5" s="14">
        <v>15.278755999999998</v>
      </c>
    </row>
    <row r="6" spans="1:15" ht="14.5" x14ac:dyDescent="0.35">
      <c r="A6" s="67">
        <f>SUM(C6:N6)</f>
        <v>-123.5466675366</v>
      </c>
      <c r="B6" s="66">
        <v>45943</v>
      </c>
      <c r="C6" s="14">
        <v>9.9774598213999965</v>
      </c>
      <c r="D6" s="14">
        <v>15.415690833399999</v>
      </c>
      <c r="E6" s="14">
        <v>-1.2774154999999998</v>
      </c>
      <c r="F6" s="14">
        <v>-168.8768699</v>
      </c>
      <c r="G6" s="14">
        <v>10.272012863599999</v>
      </c>
      <c r="H6" s="14">
        <v>-19.308226418499995</v>
      </c>
      <c r="I6" s="14">
        <v>-2.0166366999999994</v>
      </c>
      <c r="J6" s="14">
        <v>-3.9714306536999997</v>
      </c>
      <c r="K6" s="14">
        <v>0.45106026719999992</v>
      </c>
      <c r="L6" s="14">
        <v>-5.8962343500000003</v>
      </c>
      <c r="M6" s="14">
        <v>44.598087400000004</v>
      </c>
      <c r="N6" s="14">
        <v>-2.9141652000000002</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34</v>
      </c>
      <c r="C9" s="10"/>
      <c r="D9" s="10"/>
    </row>
    <row r="10" spans="1:15" ht="14.5" x14ac:dyDescent="0.35">
      <c r="B10" s="10" t="s">
        <v>6</v>
      </c>
      <c r="C10" s="10"/>
      <c r="D10" s="10"/>
    </row>
    <row r="11" spans="1:15" ht="14.5" x14ac:dyDescent="0.35">
      <c r="B11" s="10" t="s">
        <v>33</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activeCell="A3" sqref="A3"/>
    </sheetView>
  </sheetViews>
  <sheetFormatPr defaultColWidth="9.453125" defaultRowHeight="14" x14ac:dyDescent="0.3"/>
  <cols>
    <col min="1" max="1" width="9.453125" style="2" customWidth="1"/>
    <col min="2" max="2" width="16.453125" style="2" customWidth="1"/>
    <col min="3" max="4" width="11.54296875" style="2" bestFit="1" customWidth="1"/>
    <col min="5" max="5" width="10.54296875" style="2" bestFit="1" customWidth="1"/>
    <col min="6" max="6" width="11.453125" style="2" bestFit="1" customWidth="1"/>
    <col min="7" max="7" width="10.453125" style="2" bestFit="1" customWidth="1"/>
    <col min="8" max="8" width="11.54296875" style="2" bestFit="1" customWidth="1"/>
    <col min="9" max="9" width="12.54296875" style="2" bestFit="1" customWidth="1"/>
    <col min="10" max="10" width="9.453125" style="2" bestFit="1" customWidth="1"/>
    <col min="11" max="11" width="11" style="2" bestFit="1" customWidth="1"/>
    <col min="12" max="12" width="13.54296875" style="2" customWidth="1"/>
    <col min="13" max="13" width="10.453125" style="2" bestFit="1" customWidth="1"/>
    <col min="14" max="14" width="10" style="2" bestFit="1" customWidth="1"/>
    <col min="15" max="16384" width="9.453125" style="2"/>
  </cols>
  <sheetData>
    <row r="1" spans="1:20" ht="17.25" customHeight="1" x14ac:dyDescent="0.3">
      <c r="A1" s="69" t="s">
        <v>7</v>
      </c>
      <c r="B1" s="12"/>
      <c r="C1" s="71" t="s">
        <v>8</v>
      </c>
      <c r="D1" s="72"/>
      <c r="E1" s="72"/>
      <c r="F1" s="72"/>
      <c r="G1" s="72"/>
      <c r="H1" s="72"/>
      <c r="I1" s="72"/>
      <c r="J1" s="72"/>
      <c r="K1" s="72"/>
      <c r="L1" s="72"/>
      <c r="M1" s="72"/>
      <c r="N1" s="73"/>
    </row>
    <row r="2" spans="1:20" ht="56" x14ac:dyDescent="0.3">
      <c r="A2" s="70"/>
      <c r="B2" s="12" t="s">
        <v>20</v>
      </c>
      <c r="C2" s="12" t="s">
        <v>10</v>
      </c>
      <c r="D2" s="12" t="s">
        <v>11</v>
      </c>
      <c r="E2" s="12" t="s">
        <v>12</v>
      </c>
      <c r="F2" s="12" t="s">
        <v>13</v>
      </c>
      <c r="G2" s="12" t="s">
        <v>31</v>
      </c>
      <c r="H2" s="12" t="s">
        <v>14</v>
      </c>
      <c r="I2" s="12" t="s">
        <v>15</v>
      </c>
      <c r="J2" s="12" t="s">
        <v>16</v>
      </c>
      <c r="K2" s="12" t="s">
        <v>17</v>
      </c>
      <c r="L2" s="12" t="s">
        <v>18</v>
      </c>
      <c r="M2" s="12" t="s">
        <v>32</v>
      </c>
      <c r="N2" s="12" t="s">
        <v>19</v>
      </c>
    </row>
    <row r="3" spans="1:20" x14ac:dyDescent="0.3">
      <c r="A3" s="48">
        <f>SUM(C3:N3)</f>
        <v>331.85562808259994</v>
      </c>
      <c r="B3" s="47">
        <v>45922</v>
      </c>
      <c r="C3" s="60">
        <v>11.512000657160002</v>
      </c>
      <c r="D3" s="60">
        <v>14.655731850500006</v>
      </c>
      <c r="E3" s="60">
        <v>-4.2893900999999985</v>
      </c>
      <c r="F3" s="60">
        <v>205.51055665429996</v>
      </c>
      <c r="G3" s="60">
        <v>5.2133970308000004</v>
      </c>
      <c r="H3" s="60">
        <v>-27.054864787800003</v>
      </c>
      <c r="I3" s="60">
        <v>-0.81881129999999924</v>
      </c>
      <c r="J3" s="60">
        <v>5.1792031167999992</v>
      </c>
      <c r="K3" s="60">
        <v>51.446518410839992</v>
      </c>
      <c r="L3" s="60">
        <v>14.96195395</v>
      </c>
      <c r="M3" s="60">
        <v>36.920499899999996</v>
      </c>
      <c r="N3" s="60">
        <v>18.618832699999999</v>
      </c>
      <c r="P3" s="13"/>
    </row>
    <row r="4" spans="1:20" x14ac:dyDescent="0.3">
      <c r="A4" s="48">
        <f>SUM(C4:N4)</f>
        <v>-375.71126368555008</v>
      </c>
      <c r="B4" s="58">
        <v>45929</v>
      </c>
      <c r="C4" s="55">
        <v>11.75953673996</v>
      </c>
      <c r="D4" s="55">
        <v>-6.8864988829000016</v>
      </c>
      <c r="E4" s="55">
        <v>2.5998815000000004</v>
      </c>
      <c r="F4" s="55">
        <v>-143.0314419</v>
      </c>
      <c r="G4" s="55">
        <v>4.5497990482999997</v>
      </c>
      <c r="H4" s="55">
        <v>-104.98114729494999</v>
      </c>
      <c r="I4" s="55">
        <v>-7.7596885000000002</v>
      </c>
      <c r="J4" s="55">
        <v>-45.768158056599994</v>
      </c>
      <c r="K4" s="55">
        <v>-34.105041489359998</v>
      </c>
      <c r="L4" s="55">
        <v>-46.927256949999993</v>
      </c>
      <c r="M4" s="55">
        <v>8.9727668000000005</v>
      </c>
      <c r="N4" s="55">
        <v>-14.1340147</v>
      </c>
      <c r="P4" s="13"/>
    </row>
    <row r="5" spans="1:20" x14ac:dyDescent="0.3">
      <c r="A5" s="48">
        <f>SUM(C5:N5)</f>
        <v>5.0059923890500002</v>
      </c>
      <c r="B5" s="58">
        <v>45936</v>
      </c>
      <c r="C5" s="55">
        <v>30.746881204960008</v>
      </c>
      <c r="D5" s="55">
        <v>4.390785013100003</v>
      </c>
      <c r="E5" s="55">
        <v>4.0416476000000001</v>
      </c>
      <c r="F5" s="55">
        <v>-72.240827398000022</v>
      </c>
      <c r="G5" s="55">
        <v>-6.6401024003999991</v>
      </c>
      <c r="H5" s="55">
        <v>3.2184848852000045</v>
      </c>
      <c r="I5" s="55">
        <v>7.146509200000005</v>
      </c>
      <c r="J5" s="55">
        <v>11.980907049000004</v>
      </c>
      <c r="K5" s="55">
        <v>34.907525235189993</v>
      </c>
      <c r="L5" s="55">
        <v>-6.0302337999999995</v>
      </c>
      <c r="M5" s="55">
        <v>-3.7984104999999984</v>
      </c>
      <c r="N5" s="55">
        <v>-2.7171736999999996</v>
      </c>
      <c r="P5" s="13"/>
    </row>
    <row r="6" spans="1:20" x14ac:dyDescent="0.3">
      <c r="A6" s="48">
        <f>SUM(C6:N6)</f>
        <v>411.99441855474993</v>
      </c>
      <c r="B6" s="58">
        <v>45943</v>
      </c>
      <c r="C6" s="55">
        <v>-0.28146037732000029</v>
      </c>
      <c r="D6" s="55">
        <v>-10.451265347900002</v>
      </c>
      <c r="E6" s="55">
        <v>-0.22945819999999992</v>
      </c>
      <c r="F6" s="55">
        <v>372.08770609999993</v>
      </c>
      <c r="G6" s="55">
        <v>-10.096085586900001</v>
      </c>
      <c r="H6" s="55">
        <v>86.158745394750014</v>
      </c>
      <c r="I6" s="55">
        <v>3.9864682000000009</v>
      </c>
      <c r="J6" s="55">
        <v>6.6946983545999972</v>
      </c>
      <c r="K6" s="55">
        <v>-26.799091782479998</v>
      </c>
      <c r="L6" s="55">
        <v>13.244614299999997</v>
      </c>
      <c r="M6" s="55">
        <v>-13.514998500000001</v>
      </c>
      <c r="N6" s="55">
        <v>-8.805454000000001</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36</v>
      </c>
      <c r="C9" s="10"/>
      <c r="D9" s="10"/>
    </row>
    <row r="10" spans="1:20" ht="14.5" x14ac:dyDescent="0.35">
      <c r="B10" s="10" t="s">
        <v>6</v>
      </c>
      <c r="C10" s="10"/>
      <c r="D10" s="10"/>
    </row>
    <row r="11" spans="1:20" ht="14.5" x14ac:dyDescent="0.35">
      <c r="B11" s="10" t="s">
        <v>33</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2025-10-21T01:44:35Z</dcterms:modified>
</cp:coreProperties>
</file>