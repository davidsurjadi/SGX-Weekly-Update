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698AF721-266C-43D8-A386-E4AB2F3C15C7}" xr6:coauthVersionLast="47" xr6:coauthVersionMax="47" xr10:uidLastSave="{00000000-0000-0000-0000-000000000000}"/>
  <bookViews>
    <workbookView xWindow="-108" yWindow="-108" windowWidth="23256" windowHeight="12576"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5" i="3" l="1"/>
  <c r="A5" i="2"/>
  <c r="A6" i="3"/>
  <c r="A6" i="2"/>
  <c r="A1" i="5"/>
  <c r="C32" i="4" l="1"/>
  <c r="D32" i="4"/>
  <c r="A1" i="4" l="1"/>
  <c r="C18" i="1" l="1"/>
  <c r="F18" i="1" s="1"/>
  <c r="F5" i="1"/>
</calcChain>
</file>

<file path=xl/sharedStrings.xml><?xml version="1.0" encoding="utf-8"?>
<sst xmlns="http://schemas.openxmlformats.org/spreadsheetml/2006/main" count="520" uniqueCount="284">
  <si>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</si>
  <si>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</si>
  <si>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</si>
  <si>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</si>
  <si>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</si>
  <si>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</si>
  <si>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</si>
  <si>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</si>
  <si>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Week of</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</si>
  <si>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</si>
  <si>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</si>
  <si>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</si>
  <si>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</si>
  <si>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</si>
  <si>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</si>
  <si>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</si>
  <si>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</si>
  <si>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</si>
  <si>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</si>
  <si>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</si>
  <si>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</si>
  <si>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</si>
  <si>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</si>
  <si>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</si>
  <si>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</si>
  <si>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</si>
  <si>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</si>
  <si>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</si>
  <si>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</si>
  <si>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</si>
  <si>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</si>
  <si>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</si>
  <si>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</si>
  <si>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</si>
  <si>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</si>
  <si>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Keppel Corporation</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</si>
  <si>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</si>
  <si>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</si>
  <si>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</si>
  <si>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</si>
  <si>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</si>
  <si>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</si>
  <si>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</si>
  <si>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</si>
  <si>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</si>
  <si>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</si>
  <si>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</si>
  <si>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</si>
  <si>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</si>
  <si>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</si>
  <si>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</si>
  <si>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</si>
  <si>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</si>
  <si>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</si>
  <si>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</si>
  <si>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</si>
  <si>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</si>
  <si>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</si>
  <si>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</si>
  <si>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</si>
  <si>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</si>
  <si>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</si>
  <si>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</si>
  <si>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</si>
  <si>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</si>
  <si>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</si>
  <si>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</si>
  <si>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</si>
  <si>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</si>
  <si>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</si>
  <si>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</si>
  <si>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To sign up for daily market updates or for more information, please contact research@sgx.com.</t>
  </si>
  <si>
    <t>sgx.com/research</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</si>
  <si>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</si>
  <si>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</si>
  <si>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</si>
  <si>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</si>
  <si>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</si>
  <si>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</si>
  <si>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</si>
  <si>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</si>
  <si>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</si>
  <si>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</si>
  <si>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</si>
  <si>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</si>
  <si>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</si>
  <si>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</si>
  <si>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</si>
  <si>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</si>
  <si>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</si>
  <si>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Emperador Inc</t>
  </si>
  <si>
    <t>EMI</t>
  </si>
  <si>
    <t>CapitaLand Ascendas REIT</t>
  </si>
  <si>
    <t>S51</t>
  </si>
  <si>
    <t>T82U</t>
  </si>
  <si>
    <t>AWX</t>
  </si>
  <si>
    <t>OV8</t>
  </si>
  <si>
    <t>HMN</t>
  </si>
  <si>
    <t>NS8U</t>
  </si>
  <si>
    <t>CMOU</t>
  </si>
  <si>
    <t>S56</t>
  </si>
  <si>
    <t>AU8U</t>
  </si>
  <si>
    <t>VC2</t>
  </si>
  <si>
    <t>Olam Group</t>
  </si>
  <si>
    <t>YTD Institution
Net Buy (+) / Net Sell (-) (S$M)</t>
  </si>
  <si>
    <t>YTD Avg Daily Turnover (S$M)</t>
  </si>
  <si>
    <t>Past 5 Sessions Institution Net Buy (+) / Net Sell (-) (S$M)</t>
  </si>
  <si>
    <t>Sector</t>
  </si>
  <si>
    <t>T14</t>
  </si>
  <si>
    <t>K71U</t>
  </si>
  <si>
    <t>ESR-LOGOS REIT</t>
  </si>
  <si>
    <t>J91U</t>
  </si>
  <si>
    <t>A7RU</t>
  </si>
  <si>
    <t>5WH</t>
  </si>
  <si>
    <t>Keppel Reit</t>
  </si>
  <si>
    <t>C52</t>
  </si>
  <si>
    <t>JYEU</t>
  </si>
  <si>
    <t>E5H</t>
  </si>
  <si>
    <t>J69U</t>
  </si>
  <si>
    <t>E28</t>
  </si>
  <si>
    <t>MZH</t>
  </si>
  <si>
    <t>YF8</t>
  </si>
  <si>
    <t>EB5</t>
  </si>
  <si>
    <t>H02</t>
  </si>
  <si>
    <t>BSL</t>
  </si>
  <si>
    <t>CGN</t>
  </si>
  <si>
    <t>CJLU</t>
  </si>
  <si>
    <t>NIO</t>
  </si>
  <si>
    <t>AUE</t>
  </si>
  <si>
    <t>CY6U</t>
  </si>
  <si>
    <t>DCRU</t>
  </si>
  <si>
    <t>J85</t>
  </si>
  <si>
    <t>RE4</t>
  </si>
  <si>
    <t>C2PU</t>
  </si>
  <si>
    <t>T13</t>
  </si>
  <si>
    <t>AIY</t>
  </si>
  <si>
    <t>BTOU</t>
  </si>
  <si>
    <t>BVA</t>
  </si>
  <si>
    <t>I07</t>
  </si>
  <si>
    <t>SK6U</t>
  </si>
  <si>
    <t>O5RU</t>
  </si>
  <si>
    <t>NO4</t>
  </si>
  <si>
    <t>CC3</t>
  </si>
  <si>
    <t>AP4</t>
  </si>
  <si>
    <t>OXMU</t>
  </si>
  <si>
    <t>CRPU</t>
  </si>
  <si>
    <t>Z25</t>
  </si>
  <si>
    <t>A50</t>
  </si>
  <si>
    <t>S08</t>
  </si>
  <si>
    <t>G92</t>
  </si>
  <si>
    <t>O9E</t>
  </si>
  <si>
    <t>H30</t>
  </si>
  <si>
    <t>UD2</t>
  </si>
  <si>
    <t>S59</t>
  </si>
  <si>
    <t>Q5T</t>
  </si>
  <si>
    <t>P40U</t>
  </si>
  <si>
    <t>M1GU</t>
  </si>
  <si>
    <t>F03</t>
  </si>
  <si>
    <t>P34</t>
  </si>
  <si>
    <t>CWBU</t>
  </si>
  <si>
    <t>5LY</t>
  </si>
  <si>
    <t>C8R</t>
  </si>
  <si>
    <t>CapLand IntCom T</t>
  </si>
  <si>
    <t>YZJ Shipbldg SGD</t>
  </si>
  <si>
    <t>Genting Sing</t>
  </si>
  <si>
    <t>CapLand Ascendas REIT</t>
  </si>
  <si>
    <t>Keppel Corp</t>
  </si>
  <si>
    <t>Mapletree Log Tr</t>
  </si>
  <si>
    <t>Wilmar Intl</t>
  </si>
  <si>
    <t>CapitaLandInvest</t>
  </si>
  <si>
    <t>Mapletree PanAsia Com Tr</t>
  </si>
  <si>
    <t>JMH USD</t>
  </si>
  <si>
    <t>ThaiBev</t>
  </si>
  <si>
    <t>Sembcorp Ind</t>
  </si>
  <si>
    <t>Jardine C&amp;C</t>
  </si>
  <si>
    <t>CityDev</t>
  </si>
  <si>
    <t>Frasers L&amp;C Tr</t>
  </si>
  <si>
    <t>Venture</t>
  </si>
  <si>
    <t>Suntec Reit</t>
  </si>
  <si>
    <t>Keppel DC Reit</t>
  </si>
  <si>
    <t>Mapletree Ind Tr</t>
  </si>
  <si>
    <t>HongkongLand USD</t>
  </si>
  <si>
    <t>ComfortDelGro</t>
  </si>
  <si>
    <t>UMS</t>
  </si>
  <si>
    <t>UOL</t>
  </si>
  <si>
    <t>CapLand Ascott T</t>
  </si>
  <si>
    <t>Lendlease Reit</t>
  </si>
  <si>
    <t>Golden Agri-Res</t>
  </si>
  <si>
    <t>AEM SGD</t>
  </si>
  <si>
    <t>SamuderaShipping</t>
  </si>
  <si>
    <t>Frasers Cpt Tr</t>
  </si>
  <si>
    <t>Frencken</t>
  </si>
  <si>
    <t>Nanofilm</t>
  </si>
  <si>
    <t>YZJ Fin Hldg</t>
  </si>
  <si>
    <t>CapLand China T</t>
  </si>
  <si>
    <t>First Resources</t>
  </si>
  <si>
    <t>Sheng Siong</t>
  </si>
  <si>
    <t>Haw Par</t>
  </si>
  <si>
    <t>Raffles Medical</t>
  </si>
  <si>
    <t>Best World</t>
  </si>
  <si>
    <t>NetLink NBN Tr</t>
  </si>
  <si>
    <t>NIO Inc. USD OV</t>
  </si>
  <si>
    <t>Golden Energy</t>
  </si>
  <si>
    <t>Kep Infra Tr</t>
  </si>
  <si>
    <t>DFIRG USD</t>
  </si>
  <si>
    <t>CapLand India T</t>
  </si>
  <si>
    <t>DigiCore Reit USD</t>
  </si>
  <si>
    <t>Rex Intl</t>
  </si>
  <si>
    <t>CDL HTrust</t>
  </si>
  <si>
    <t>Geo Energy Res</t>
  </si>
  <si>
    <t>ParkwayLife Reit</t>
  </si>
  <si>
    <t>HPH Trust USD</t>
  </si>
  <si>
    <t>RH PetroGas</t>
  </si>
  <si>
    <t>IFAST</t>
  </si>
  <si>
    <t>ManulifeReit USD</t>
  </si>
  <si>
    <t>Top Glove</t>
  </si>
  <si>
    <t>ISDN</t>
  </si>
  <si>
    <t>PARAGONREIT</t>
  </si>
  <si>
    <t>AIMS APAC Reit</t>
  </si>
  <si>
    <t>Dyna-Mac</t>
  </si>
  <si>
    <t>StarHub</t>
  </si>
  <si>
    <t>TJ DaRenTang USD</t>
  </si>
  <si>
    <t>Riverstone</t>
  </si>
  <si>
    <t>Prime US ReitUSD</t>
  </si>
  <si>
    <t>Sasseur Reit</t>
  </si>
  <si>
    <t>Yanlord Land</t>
  </si>
  <si>
    <t>Thomson Medical</t>
  </si>
  <si>
    <t>SingPost</t>
  </si>
  <si>
    <t>China Aviation</t>
  </si>
  <si>
    <t>Parkson Retail^</t>
  </si>
  <si>
    <t>Hong Fok</t>
  </si>
  <si>
    <t>Japfa</t>
  </si>
  <si>
    <t>SIA Engineering</t>
  </si>
  <si>
    <t>Far East HTrust</t>
  </si>
  <si>
    <t>Emperador Inc.</t>
  </si>
  <si>
    <t>StarhillGbl Reit</t>
  </si>
  <si>
    <t>Sabana Reit</t>
  </si>
  <si>
    <t>Medtecs Intl</t>
  </si>
  <si>
    <t>Food Empire</t>
  </si>
  <si>
    <t>Delfi</t>
  </si>
  <si>
    <t>KepPacOakReitUSD</t>
  </si>
  <si>
    <t>Cromwell Reit EUR</t>
  </si>
  <si>
    <t>MarcoPolo Marine</t>
  </si>
  <si>
    <t>Jiutian Chemical</t>
  </si>
  <si>
    <t>Telecommunications</t>
  </si>
  <si>
    <t>Technology (Hardware/ Software)</t>
  </si>
  <si>
    <t>Healthcare</t>
  </si>
  <si>
    <t>Energy/ Oil &amp; Gas</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</si>
  <si>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and Singapore Exchange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</si>
  <si>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Note ^ on SGX Watchlist</t>
  </si>
  <si>
    <t>All stocks tabled above consolidates counters relevant to the stock (e.g. fund flow for Singtel includes counters Z74 and Z77)</t>
  </si>
  <si>
    <t>OCBC Bank</t>
  </si>
  <si>
    <t>PropNex</t>
  </si>
  <si>
    <t>OYY</t>
  </si>
  <si>
    <t>Seatrium</t>
  </si>
  <si>
    <t>558</t>
  </si>
  <si>
    <t>546</t>
  </si>
  <si>
    <t>G07</t>
  </si>
  <si>
    <t>Great Eastern</t>
  </si>
  <si>
    <t>Mapletree Commercial Trust</t>
  </si>
  <si>
    <t>OUE Com Reit</t>
  </si>
  <si>
    <t>TS0U</t>
  </si>
  <si>
    <t>Aztech Gbl</t>
  </si>
  <si>
    <t>8AZ</t>
  </si>
  <si>
    <t xml:space="preserve">Venture Corporation </t>
  </si>
  <si>
    <t xml:space="preserve">Seatrium </t>
  </si>
  <si>
    <t xml:space="preserve">Note that the above list of 100 most traded stocks is on a year-to-date basis and may include stocks that are currently suspended for trading. </t>
  </si>
  <si>
    <t>CapitaLand Ascott Trust</t>
  </si>
  <si>
    <t>Lendlease Global Commercial REIT</t>
  </si>
  <si>
    <t xml:space="preserve">Sembcorp Industries </t>
  </si>
  <si>
    <t>CSE Global</t>
  </si>
  <si>
    <t>544</t>
  </si>
  <si>
    <t>UMS Holdings</t>
  </si>
  <si>
    <t>Week of 4 September 2023</t>
  </si>
  <si>
    <r>
      <t>Institutional investors net</t>
    </r>
    <r>
      <rPr>
        <b/>
        <sz val="11"/>
        <rFont val="Arial"/>
        <family val="2"/>
      </rPr>
      <t xml:space="preserve"> buy</t>
    </r>
    <r>
      <rPr>
        <sz val="11"/>
        <rFont val="Arial"/>
        <family val="2"/>
      </rPr>
      <t xml:space="preserve"> (+S$21.3m) vs. (-S$35.5m) a week ago</t>
    </r>
  </si>
  <si>
    <r>
      <t>Retail investors net</t>
    </r>
    <r>
      <rPr>
        <b/>
        <sz val="11"/>
        <rFont val="Arial"/>
        <family val="2"/>
      </rPr>
      <t xml:space="preserve"> buy</t>
    </r>
    <r>
      <rPr>
        <sz val="11"/>
        <rFont val="Arial"/>
        <family val="2"/>
      </rPr>
      <t xml:space="preserve"> (+S$100.1m) vs. (-S$46.8m) a week ago</t>
    </r>
  </si>
  <si>
    <t>Starhub</t>
  </si>
  <si>
    <t>Digital Core REIT</t>
  </si>
  <si>
    <t xml:space="preserve">Wilmar International </t>
  </si>
  <si>
    <t xml:space="preserve">Starhub </t>
  </si>
  <si>
    <t xml:space="preserve">Yangzijiang Financial </t>
  </si>
  <si>
    <t>Bumitama Agri</t>
  </si>
  <si>
    <t>P8Z</t>
  </si>
  <si>
    <t>Mapletree Pan Asia Commercial Trust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</si>
</sst>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0_);[Red]\(0.00\)"/>
  </numFmts>
  <fonts count="18"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
      <b/>
      <sz val="11"/>
      <name val="Calibri"/>
      <family val="2"/>
      <scheme val="minor"/>
    </font>
  </fonts>
  <fills count="7">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s>
  <borders count="17">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rgb="FF002060"/>
      </left>
      <right style="medium">
        <color rgb="FF002060"/>
      </right>
      <top style="medium">
        <color rgb="FF002060"/>
      </top>
      <bottom style="medium">
        <color rgb="FF002060"/>
      </bottom>
      <diagonal/>
    </border>
    <border>
      <left style="medium">
        <color rgb="FF002060"/>
      </left>
      <right/>
      <top style="medium">
        <color rgb="FF002060"/>
      </top>
      <bottom style="medium">
        <color rgb="FF002060"/>
      </bottom>
      <diagonal/>
    </border>
    <border>
      <left/>
      <right style="medium">
        <color rgb="FF002060"/>
      </right>
      <top style="medium">
        <color rgb="FF002060"/>
      </top>
      <bottom style="medium">
        <color rgb="FF002060"/>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49" fontId="5" fillId="3" borderId="3" xfId="0" applyNumberFormat="1" applyFont="1" applyFill="1" applyBorder="1" applyAlignment="1">
      <alignment vertical="center" wrapText="1"/>
    </xf>
    <xf numFmtId="164" fontId="3" fillId="4" borderId="4" xfId="0" applyNumberFormat="1" applyFont="1" applyFill="1" applyBorder="1" applyAlignment="1">
      <alignment horizontal="left"/>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5"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7" fontId="3" fillId="0" borderId="0" xfId="1" applyNumberFormat="1" applyFont="1" applyFill="1" applyAlignment="1">
      <alignment horizontal="center" vertical="center"/>
    </xf>
    <xf numFmtId="167" fontId="3" fillId="0" borderId="0" xfId="0" applyNumberFormat="1" applyFont="1"/>
    <xf numFmtId="165" fontId="3" fillId="4" borderId="0" xfId="0" applyNumberFormat="1" applyFont="1" applyFill="1" applyAlignment="1">
      <alignment horizontal="left"/>
    </xf>
    <xf numFmtId="167" fontId="3" fillId="4" borderId="0" xfId="1" applyNumberFormat="1" applyFont="1" applyFill="1" applyAlignment="1">
      <alignment horizontal="center" vertical="center"/>
    </xf>
    <xf numFmtId="167" fontId="3" fillId="0" borderId="0" xfId="1" applyNumberFormat="1" applyFont="1" applyFill="1" applyBorder="1"/>
    <xf numFmtId="167" fontId="3" fillId="0" borderId="0" xfId="1" applyNumberFormat="1" applyFont="1" applyFill="1"/>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4" fontId="3" fillId="4" borderId="9" xfId="0" applyNumberFormat="1" applyFont="1" applyFill="1" applyBorder="1" applyAlignment="1">
      <alignment horizontal="left"/>
    </xf>
    <xf numFmtId="0" fontId="3" fillId="4" borderId="9" xfId="0" applyFont="1" applyFill="1" applyBorder="1" applyAlignment="1">
      <alignment horizontal="left"/>
    </xf>
    <xf numFmtId="164" fontId="3" fillId="4" borderId="9" xfId="0" applyNumberFormat="1" applyFont="1" applyFill="1" applyBorder="1" applyAlignment="1">
      <alignment horizontal="right"/>
    </xf>
    <xf numFmtId="164" fontId="3" fillId="0" borderId="4" xfId="0" applyNumberFormat="1" applyFont="1" applyBorder="1" applyAlignment="1">
      <alignment horizontal="left"/>
    </xf>
    <xf numFmtId="0" fontId="3" fillId="0" borderId="4" xfId="0" applyFont="1" applyBorder="1" applyAlignment="1">
      <alignment horizontal="left"/>
    </xf>
    <xf numFmtId="164" fontId="4" fillId="0" borderId="10" xfId="0" applyNumberFormat="1" applyFont="1" applyBorder="1" applyAlignment="1">
      <alignment horizontal="right" vertical="center" wrapText="1"/>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4" borderId="0" xfId="0" applyFont="1" applyFill="1" applyAlignment="1">
      <alignment horizontal="left"/>
    </xf>
    <xf numFmtId="0" fontId="3" fillId="0" borderId="15"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49" fontId="5" fillId="3" borderId="3" xfId="0" applyNumberFormat="1" applyFont="1" applyFill="1" applyBorder="1" applyAlignment="1">
      <alignment horizontal="left" vertical="center" wrapText="1"/>
    </xf>
    <xf numFmtId="168" fontId="0" fillId="0" borderId="0" xfId="1" applyNumberFormat="1" applyFont="1"/>
    <xf numFmtId="49" fontId="7"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4" fontId="0" fillId="0" borderId="0" xfId="0" applyNumberFormat="1"/>
    <xf numFmtId="167" fontId="0" fillId="0" borderId="0" xfId="0" applyNumberFormat="1"/>
    <xf numFmtId="169" fontId="3" fillId="0" borderId="0" xfId="0" applyNumberFormat="1" applyFont="1"/>
    <xf numFmtId="170" fontId="3" fillId="4" borderId="4" xfId="0" applyNumberFormat="1" applyFont="1" applyFill="1" applyBorder="1" applyAlignment="1">
      <alignment horizontal="right"/>
    </xf>
    <xf numFmtId="166" fontId="7" fillId="6" borderId="14" xfId="0" applyNumberFormat="1" applyFont="1" applyFill="1" applyBorder="1" applyAlignment="1">
      <alignment horizontal="center"/>
    </xf>
    <xf numFmtId="0" fontId="15" fillId="0" borderId="0" xfId="0" applyFont="1"/>
    <xf numFmtId="49" fontId="5" fillId="3" borderId="16" xfId="0" applyNumberFormat="1" applyFont="1" applyFill="1" applyBorder="1" applyAlignment="1">
      <alignment horizontal="right" vertical="center" wrapText="1"/>
    </xf>
    <xf numFmtId="0" fontId="14" fillId="0" borderId="0" xfId="0" applyFont="1" applyAlignment="1">
      <alignment vertical="center"/>
    </xf>
    <xf numFmtId="164" fontId="3" fillId="0" borderId="0" xfId="0" applyNumberFormat="1" applyFont="1" applyAlignment="1">
      <alignment horizontal="left"/>
    </xf>
    <xf numFmtId="164"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164" fontId="3" fillId="0" borderId="5" xfId="0" applyNumberFormat="1" applyFont="1" applyBorder="1" applyAlignment="1">
      <alignment horizontal="left"/>
    </xf>
    <xf numFmtId="0" fontId="3" fillId="0" borderId="5" xfId="0" applyFont="1" applyBorder="1" applyAlignment="1">
      <alignment horizontal="left"/>
    </xf>
    <xf numFmtId="0" fontId="17" fillId="0" borderId="0" xfId="0" applyFont="1"/>
    <xf numFmtId="0" fontId="13" fillId="0" borderId="0" xfId="0" applyFont="1" applyAlignment="1">
      <alignment horizontal="left" wrapText="1"/>
    </xf>
    <xf numFmtId="49" fontId="5" fillId="2" borderId="13" xfId="0" applyNumberFormat="1" applyFont="1" applyFill="1" applyBorder="1" applyAlignment="1">
      <alignment horizontal="center" vertical="center" wrapText="1"/>
    </xf>
    <xf numFmtId="49" fontId="5" fillId="2" borderId="14"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1" xfId="0" applyNumberFormat="1" applyFont="1" applyBorder="1" applyAlignment="1">
      <alignment horizontal="left" vertical="center" wrapText="1"/>
    </xf>
    <xf numFmtId="49" fontId="8" fillId="0" borderId="12" xfId="0" applyNumberFormat="1" applyFont="1" applyBorder="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4140625" defaultRowHeight="13.8" x14ac:dyDescent="0.25"/>
  <cols>
    <col min="1" max="1" width="43.44140625" style="2" customWidth="1"/>
    <col min="2" max="2" width="7" style="2" customWidth="1"/>
    <col min="3" max="3" width="17.44140625" style="2" customWidth="1"/>
    <col min="4" max="4" width="41.5546875" style="2" customWidth="1"/>
    <col min="5" max="5" width="7" style="2" customWidth="1"/>
    <col min="6" max="6" width="17.44140625" style="2" customWidth="1"/>
    <col min="7" max="7" width="26.44140625" style="2" customWidth="1"/>
    <col min="8" max="8" width="9.44140625" style="2"/>
    <col min="9" max="9" width="17" style="48" bestFit="1" customWidth="1"/>
    <col min="10" max="10" width="10.44140625" style="2" bestFit="1" customWidth="1"/>
    <col min="11" max="11" width="9.44140625" style="2"/>
    <col min="12" max="12" width="10.5546875" style="2" bestFit="1" customWidth="1"/>
    <col min="13" max="16384" width="9.44140625" style="2"/>
  </cols>
  <sheetData>
    <row r="1" spans="1:13" x14ac:dyDescent="0.25">
      <c r="A1" s="1" t="s">
        <v>273</v>
      </c>
    </row>
    <row r="2" spans="1:13" x14ac:dyDescent="0.25">
      <c r="A2" s="56" t="s">
        <v>274</v>
      </c>
    </row>
    <row r="3" spans="1:13" x14ac:dyDescent="0.25">
      <c r="A3" s="56" t="s">
        <v>275</v>
      </c>
    </row>
    <row r="5" spans="1:13" ht="29.25" customHeight="1" x14ac:dyDescent="0.25">
      <c r="A5" s="3" t="s">
        <v>0</v>
      </c>
      <c r="B5" s="3" t="s">
        <v>1</v>
      </c>
      <c r="C5" s="4" t="s">
        <v>273</v>
      </c>
      <c r="D5" s="45" t="s">
        <v>2</v>
      </c>
      <c r="E5" s="45" t="s">
        <v>1</v>
      </c>
      <c r="F5" s="57" t="str">
        <f>+C5</f>
        <v>Week of 4 September 2023</v>
      </c>
    </row>
    <row r="6" spans="1:13" ht="14.4" x14ac:dyDescent="0.3">
      <c r="A6" s="41" t="s">
        <v>63</v>
      </c>
      <c r="B6" s="39" t="s">
        <v>55</v>
      </c>
      <c r="C6" s="7">
        <v>29.776855999999999</v>
      </c>
      <c r="D6" s="41" t="s">
        <v>51</v>
      </c>
      <c r="E6" s="39" t="s">
        <v>49</v>
      </c>
      <c r="F6" s="7">
        <v>-18.541594100000001</v>
      </c>
      <c r="K6" s="53"/>
      <c r="L6"/>
      <c r="M6"/>
    </row>
    <row r="7" spans="1:13" ht="14.4" x14ac:dyDescent="0.3">
      <c r="A7" s="42" t="s">
        <v>27</v>
      </c>
      <c r="B7" s="11" t="s">
        <v>22</v>
      </c>
      <c r="C7" s="9">
        <v>19.282554999999999</v>
      </c>
      <c r="D7" s="42" t="s">
        <v>269</v>
      </c>
      <c r="E7" s="11" t="s">
        <v>44</v>
      </c>
      <c r="F7" s="9">
        <v>-14.786709</v>
      </c>
      <c r="K7" s="53"/>
      <c r="L7"/>
      <c r="M7"/>
    </row>
    <row r="8" spans="1:13" ht="14.4" x14ac:dyDescent="0.3">
      <c r="A8" s="43" t="s">
        <v>41</v>
      </c>
      <c r="B8" s="39" t="s">
        <v>39</v>
      </c>
      <c r="C8" s="7">
        <v>11.856851000000001</v>
      </c>
      <c r="D8" s="43" t="s">
        <v>34</v>
      </c>
      <c r="E8" s="39" t="s">
        <v>32</v>
      </c>
      <c r="F8" s="7">
        <v>-9.736562000000001</v>
      </c>
      <c r="K8" s="53"/>
      <c r="L8"/>
      <c r="M8"/>
    </row>
    <row r="9" spans="1:13" ht="14.4" x14ac:dyDescent="0.3">
      <c r="A9" s="42" t="s">
        <v>28</v>
      </c>
      <c r="B9" s="11" t="s">
        <v>23</v>
      </c>
      <c r="C9" s="9">
        <v>10.971238</v>
      </c>
      <c r="D9" s="42" t="s">
        <v>265</v>
      </c>
      <c r="E9" s="11" t="s">
        <v>93</v>
      </c>
      <c r="F9" s="9">
        <v>-9.5609805999999971</v>
      </c>
      <c r="K9" s="53"/>
      <c r="L9"/>
      <c r="M9"/>
    </row>
    <row r="10" spans="1:13" ht="14.4" x14ac:dyDescent="0.3">
      <c r="A10" s="43" t="s">
        <v>29</v>
      </c>
      <c r="B10" s="39" t="s">
        <v>24</v>
      </c>
      <c r="C10" s="7">
        <v>8.8758320000000008</v>
      </c>
      <c r="D10" s="43" t="s">
        <v>264</v>
      </c>
      <c r="E10" s="39" t="s">
        <v>45</v>
      </c>
      <c r="F10" s="7">
        <v>-8.6142459999999996</v>
      </c>
      <c r="K10" s="53"/>
      <c r="L10"/>
      <c r="M10"/>
    </row>
    <row r="11" spans="1:13" ht="14.4" x14ac:dyDescent="0.3">
      <c r="A11" s="42" t="s">
        <v>38</v>
      </c>
      <c r="B11" s="11" t="s">
        <v>37</v>
      </c>
      <c r="C11" s="9">
        <v>5.2220129999999987</v>
      </c>
      <c r="D11" s="42" t="s">
        <v>283</v>
      </c>
      <c r="E11" s="11" t="s">
        <v>60</v>
      </c>
      <c r="F11" s="9">
        <v>-8.1658519999999992</v>
      </c>
      <c r="K11" s="53"/>
      <c r="L11"/>
      <c r="M11"/>
    </row>
    <row r="12" spans="1:13" ht="14.4" x14ac:dyDescent="0.3">
      <c r="A12" s="43" t="s">
        <v>62</v>
      </c>
      <c r="B12" s="39" t="s">
        <v>53</v>
      </c>
      <c r="C12" s="7">
        <v>4.6217195000000002</v>
      </c>
      <c r="D12" s="43" t="s">
        <v>268</v>
      </c>
      <c r="E12" s="39" t="s">
        <v>116</v>
      </c>
      <c r="F12" s="7">
        <v>-7.0756500000000004</v>
      </c>
      <c r="K12" s="53"/>
      <c r="L12"/>
      <c r="M12"/>
    </row>
    <row r="13" spans="1:13" ht="14.4" x14ac:dyDescent="0.3">
      <c r="A13" s="42" t="s">
        <v>276</v>
      </c>
      <c r="B13" s="11" t="s">
        <v>142</v>
      </c>
      <c r="C13" s="9">
        <v>4.033188</v>
      </c>
      <c r="D13" s="42" t="s">
        <v>277</v>
      </c>
      <c r="E13" s="11" t="s">
        <v>130</v>
      </c>
      <c r="F13" s="9">
        <v>-6.0576015991499998</v>
      </c>
      <c r="K13" s="53"/>
      <c r="L13"/>
      <c r="M13"/>
    </row>
    <row r="14" spans="1:13" ht="14.4" x14ac:dyDescent="0.3">
      <c r="A14" s="43" t="s">
        <v>30</v>
      </c>
      <c r="B14" s="39" t="s">
        <v>25</v>
      </c>
      <c r="C14" s="7">
        <v>3.8475920000000001</v>
      </c>
      <c r="D14" s="43" t="s">
        <v>36</v>
      </c>
      <c r="E14" s="39" t="s">
        <v>31</v>
      </c>
      <c r="F14" s="7">
        <v>-5.5051310000000004</v>
      </c>
      <c r="K14" s="53"/>
      <c r="L14"/>
      <c r="M14"/>
    </row>
    <row r="15" spans="1:13" ht="14.4" x14ac:dyDescent="0.3">
      <c r="A15" s="44" t="s">
        <v>182</v>
      </c>
      <c r="B15" s="40" t="s">
        <v>115</v>
      </c>
      <c r="C15" s="10">
        <v>3.7293769999999999</v>
      </c>
      <c r="D15" s="44" t="s">
        <v>267</v>
      </c>
      <c r="E15" s="40" t="s">
        <v>97</v>
      </c>
      <c r="F15" s="10">
        <v>-4.3933</v>
      </c>
      <c r="K15" s="53"/>
      <c r="L15"/>
      <c r="M15"/>
    </row>
    <row r="16" spans="1:13" ht="15" x14ac:dyDescent="0.25">
      <c r="A16" s="11"/>
      <c r="B16" s="11"/>
      <c r="C16" s="11"/>
      <c r="D16" s="37"/>
      <c r="E16" s="11"/>
      <c r="F16" s="11"/>
    </row>
    <row r="17" spans="1:13" x14ac:dyDescent="0.25">
      <c r="A17" s="11"/>
      <c r="B17" s="11"/>
      <c r="C17" s="11"/>
      <c r="D17" s="11"/>
      <c r="E17" s="11"/>
      <c r="F17" s="11"/>
    </row>
    <row r="18" spans="1:13" ht="28.5" customHeight="1" x14ac:dyDescent="0.25">
      <c r="A18" s="47" t="s">
        <v>3</v>
      </c>
      <c r="B18" s="3" t="s">
        <v>1</v>
      </c>
      <c r="C18" s="4" t="str">
        <f>C5</f>
        <v>Week of 4 September 2023</v>
      </c>
      <c r="D18" s="5" t="s">
        <v>4</v>
      </c>
      <c r="E18" s="45" t="s">
        <v>1</v>
      </c>
      <c r="F18" s="57" t="str">
        <f>+C18</f>
        <v>Week of 4 September 2023</v>
      </c>
    </row>
    <row r="19" spans="1:13" ht="14.4" x14ac:dyDescent="0.3">
      <c r="A19" s="41" t="s">
        <v>269</v>
      </c>
      <c r="B19" s="39" t="s">
        <v>44</v>
      </c>
      <c r="C19" s="7">
        <v>31.908379</v>
      </c>
      <c r="D19" s="41" t="s">
        <v>63</v>
      </c>
      <c r="E19" s="39" t="s">
        <v>55</v>
      </c>
      <c r="F19" s="7">
        <v>-18.285778000000001</v>
      </c>
      <c r="H19"/>
      <c r="I19" s="46"/>
      <c r="K19" s="53"/>
      <c r="L19"/>
      <c r="M19"/>
    </row>
    <row r="20" spans="1:13" ht="14.4" x14ac:dyDescent="0.3">
      <c r="A20" s="42" t="s">
        <v>34</v>
      </c>
      <c r="B20" s="11" t="s">
        <v>32</v>
      </c>
      <c r="C20" s="9">
        <v>31.644891000000001</v>
      </c>
      <c r="D20" s="42" t="s">
        <v>62</v>
      </c>
      <c r="E20" s="11" t="s">
        <v>53</v>
      </c>
      <c r="F20" s="9">
        <v>-5.4977165000000001</v>
      </c>
      <c r="H20"/>
      <c r="I20" s="46"/>
      <c r="K20" s="53"/>
      <c r="L20"/>
      <c r="M20"/>
    </row>
    <row r="21" spans="1:13" ht="14.4" x14ac:dyDescent="0.3">
      <c r="A21" s="43" t="s">
        <v>51</v>
      </c>
      <c r="B21" s="39" t="s">
        <v>49</v>
      </c>
      <c r="C21" s="7">
        <v>27.986349199999999</v>
      </c>
      <c r="D21" s="43" t="s">
        <v>272</v>
      </c>
      <c r="E21" s="39" t="s">
        <v>255</v>
      </c>
      <c r="F21" s="7">
        <v>-4.5183350000000004</v>
      </c>
      <c r="H21"/>
      <c r="I21" s="46"/>
      <c r="K21" s="53"/>
      <c r="L21"/>
      <c r="M21"/>
    </row>
    <row r="22" spans="1:13" ht="14.4" x14ac:dyDescent="0.3">
      <c r="A22" s="42" t="s">
        <v>264</v>
      </c>
      <c r="B22" s="11" t="s">
        <v>45</v>
      </c>
      <c r="C22" s="9">
        <v>10.066791</v>
      </c>
      <c r="D22" s="42" t="s">
        <v>27</v>
      </c>
      <c r="E22" s="11" t="s">
        <v>22</v>
      </c>
      <c r="F22" s="9">
        <v>-4.285838</v>
      </c>
      <c r="H22"/>
      <c r="I22" s="46"/>
      <c r="K22" s="53"/>
      <c r="L22"/>
      <c r="M22"/>
    </row>
    <row r="23" spans="1:13" ht="14.4" x14ac:dyDescent="0.3">
      <c r="A23" s="43" t="s">
        <v>265</v>
      </c>
      <c r="B23" s="39" t="s">
        <v>93</v>
      </c>
      <c r="C23" s="7">
        <v>9.2266746999999985</v>
      </c>
      <c r="D23" s="43" t="s">
        <v>41</v>
      </c>
      <c r="E23" s="39" t="s">
        <v>39</v>
      </c>
      <c r="F23" s="7">
        <v>-3.8785180000000001</v>
      </c>
      <c r="H23"/>
      <c r="I23" s="58"/>
      <c r="K23" s="53"/>
      <c r="L23"/>
      <c r="M23"/>
    </row>
    <row r="24" spans="1:13" ht="14.4" x14ac:dyDescent="0.3">
      <c r="A24" s="42" t="s">
        <v>283</v>
      </c>
      <c r="B24" s="11" t="s">
        <v>60</v>
      </c>
      <c r="C24" s="9">
        <v>6.3290449999999998</v>
      </c>
      <c r="D24" s="42" t="s">
        <v>279</v>
      </c>
      <c r="E24" s="11" t="s">
        <v>142</v>
      </c>
      <c r="F24" s="9">
        <v>-3.7901359999999999</v>
      </c>
      <c r="H24"/>
      <c r="I24" s="46"/>
      <c r="K24" s="53"/>
      <c r="L24"/>
      <c r="M24"/>
    </row>
    <row r="25" spans="1:13" ht="14.4" x14ac:dyDescent="0.3">
      <c r="A25" s="43" t="s">
        <v>268</v>
      </c>
      <c r="B25" s="39" t="s">
        <v>116</v>
      </c>
      <c r="C25" s="7">
        <v>5.2959044999999998</v>
      </c>
      <c r="D25" s="43" t="s">
        <v>182</v>
      </c>
      <c r="E25" s="39" t="s">
        <v>115</v>
      </c>
      <c r="F25" s="7">
        <v>-3.1378659999999998</v>
      </c>
      <c r="H25"/>
      <c r="I25" s="46"/>
      <c r="K25" s="53"/>
      <c r="L25"/>
      <c r="M25"/>
    </row>
    <row r="26" spans="1:13" ht="14.4" x14ac:dyDescent="0.3">
      <c r="A26" s="42" t="s">
        <v>28</v>
      </c>
      <c r="B26" s="11" t="s">
        <v>23</v>
      </c>
      <c r="C26" s="9">
        <v>4.6619919999999997</v>
      </c>
      <c r="D26" s="42" t="s">
        <v>280</v>
      </c>
      <c r="E26" s="11" t="s">
        <v>121</v>
      </c>
      <c r="F26" s="9">
        <v>-2.7008665000000001</v>
      </c>
      <c r="H26"/>
      <c r="I26" s="46"/>
      <c r="K26" s="53"/>
      <c r="L26"/>
      <c r="M26"/>
    </row>
    <row r="27" spans="1:13" ht="14.4" x14ac:dyDescent="0.3">
      <c r="A27" s="43" t="s">
        <v>278</v>
      </c>
      <c r="B27" s="39" t="s">
        <v>43</v>
      </c>
      <c r="C27" s="7">
        <v>3.8390439999999999</v>
      </c>
      <c r="D27" s="43" t="s">
        <v>30</v>
      </c>
      <c r="E27" s="39" t="s">
        <v>25</v>
      </c>
      <c r="F27" s="7">
        <v>-2.170061</v>
      </c>
      <c r="H27"/>
      <c r="I27" s="46"/>
      <c r="K27" s="53"/>
      <c r="L27"/>
      <c r="M27"/>
    </row>
    <row r="28" spans="1:13" ht="14.4" x14ac:dyDescent="0.3">
      <c r="A28" s="44" t="s">
        <v>29</v>
      </c>
      <c r="B28" s="40" t="s">
        <v>24</v>
      </c>
      <c r="C28" s="10">
        <v>3.5491100000000002</v>
      </c>
      <c r="D28" s="44" t="s">
        <v>38</v>
      </c>
      <c r="E28" s="40" t="s">
        <v>37</v>
      </c>
      <c r="F28" s="10">
        <v>-1.9727539999999999</v>
      </c>
      <c r="H28"/>
      <c r="I28" s="46"/>
      <c r="K28" s="53"/>
      <c r="L28"/>
      <c r="M28"/>
    </row>
    <row r="29" spans="1:13" x14ac:dyDescent="0.25">
      <c r="A29" s="11"/>
      <c r="B29" s="11"/>
      <c r="C29" s="11"/>
      <c r="D29" s="11"/>
      <c r="E29" s="11"/>
      <c r="F29" s="11"/>
    </row>
    <row r="30" spans="1:13" ht="14.4" x14ac:dyDescent="0.3">
      <c r="A30" s="12" t="s">
        <v>69</v>
      </c>
      <c r="B30" s="12"/>
      <c r="C30" s="11"/>
      <c r="D30" s="11"/>
      <c r="E30" s="11"/>
      <c r="F30" s="11"/>
    </row>
    <row r="31" spans="1:13" ht="14.4" x14ac:dyDescent="0.3">
      <c r="A31" s="12" t="s">
        <v>84</v>
      </c>
      <c r="B31" s="12"/>
      <c r="C31" s="11"/>
      <c r="D31" s="11"/>
      <c r="E31" s="11"/>
      <c r="F31" s="11"/>
    </row>
    <row r="32" spans="1:13" ht="14.4" x14ac:dyDescent="0.3">
      <c r="A32" s="12" t="s">
        <v>85</v>
      </c>
      <c r="B32" s="12"/>
      <c r="C32" s="11"/>
      <c r="D32" s="11"/>
      <c r="E32" s="11"/>
      <c r="F32" s="11"/>
    </row>
    <row r="33" spans="1:9" ht="14.4" x14ac:dyDescent="0.3">
      <c r="A33" s="12" t="s">
        <v>6</v>
      </c>
      <c r="B33" s="12"/>
      <c r="C33" s="11"/>
      <c r="D33" s="11"/>
      <c r="E33" s="11"/>
      <c r="F33" s="11"/>
    </row>
    <row r="34" spans="1:9" ht="14.4" x14ac:dyDescent="0.3">
      <c r="A34" s="12" t="s">
        <v>77</v>
      </c>
      <c r="B34" s="12"/>
      <c r="C34" s="11"/>
      <c r="D34" s="11"/>
      <c r="E34" s="11"/>
      <c r="F34" s="11"/>
    </row>
    <row r="35" spans="1:9" ht="14.4" x14ac:dyDescent="0.3">
      <c r="A35" s="12"/>
      <c r="B35" s="12"/>
      <c r="C35" s="11"/>
      <c r="D35" s="11"/>
      <c r="E35" s="11"/>
      <c r="F35" s="11"/>
    </row>
    <row r="36" spans="1:9" ht="14.4" x14ac:dyDescent="0.3">
      <c r="A36" s="12"/>
      <c r="B36" s="12"/>
      <c r="C36" s="11"/>
      <c r="D36" s="11"/>
      <c r="E36" s="11"/>
      <c r="F36" s="11"/>
    </row>
    <row r="37" spans="1:9" customFormat="1" ht="15.6" x14ac:dyDescent="0.3">
      <c r="A37" s="29" t="s">
        <v>70</v>
      </c>
      <c r="B37" s="30"/>
      <c r="C37" s="31"/>
      <c r="D37" s="31"/>
      <c r="E37" s="30"/>
      <c r="F37" s="30"/>
      <c r="I37" s="46"/>
    </row>
    <row r="38" spans="1:9" customFormat="1" ht="14.4" x14ac:dyDescent="0.3">
      <c r="A38" s="32" t="s">
        <v>71</v>
      </c>
      <c r="B38" s="30"/>
      <c r="C38" s="31"/>
      <c r="D38" s="31"/>
      <c r="E38" s="30"/>
      <c r="F38" s="30"/>
      <c r="I38" s="46"/>
    </row>
    <row r="39" spans="1:9" s="36" customFormat="1" ht="19.350000000000001" customHeight="1" x14ac:dyDescent="0.3">
      <c r="A39" s="33" t="s">
        <v>72</v>
      </c>
      <c r="B39" s="34"/>
      <c r="C39" s="35"/>
      <c r="D39" s="35"/>
      <c r="E39" s="34"/>
      <c r="F39" s="34"/>
      <c r="I39" s="49"/>
    </row>
    <row r="40" spans="1:9" ht="169.35" customHeight="1" x14ac:dyDescent="0.25">
      <c r="A40" s="65" t="s">
        <v>248</v>
      </c>
      <c r="B40" s="65"/>
      <c r="C40" s="65"/>
      <c r="D40" s="65"/>
      <c r="E40" s="65"/>
      <c r="F40" s="65"/>
    </row>
    <row r="41" spans="1:9" x14ac:dyDescent="0.25">
      <c r="A41" s="11"/>
      <c r="B41" s="11"/>
      <c r="C41" s="11"/>
      <c r="D41" s="11"/>
      <c r="E41" s="11"/>
      <c r="F41" s="11"/>
    </row>
    <row r="42" spans="1:9" x14ac:dyDescent="0.25">
      <c r="A42" s="11"/>
      <c r="B42" s="11"/>
      <c r="C42" s="11"/>
      <c r="D42" s="11"/>
      <c r="E42" s="11"/>
      <c r="F42" s="11"/>
    </row>
    <row r="43" spans="1:9" x14ac:dyDescent="0.25">
      <c r="A43" s="11"/>
      <c r="B43" s="11"/>
      <c r="C43" s="11"/>
      <c r="D43" s="11"/>
      <c r="E43" s="11"/>
      <c r="F43" s="11"/>
    </row>
    <row r="44" spans="1:9" x14ac:dyDescent="0.25">
      <c r="A44" s="11"/>
      <c r="B44" s="11"/>
      <c r="C44" s="11"/>
      <c r="D44" s="11"/>
      <c r="E44" s="11"/>
      <c r="F44" s="11"/>
    </row>
    <row r="45" spans="1:9" x14ac:dyDescent="0.25">
      <c r="A45" s="11"/>
      <c r="B45" s="11"/>
      <c r="C45" s="11"/>
      <c r="D45" s="11"/>
      <c r="E45" s="11"/>
      <c r="F45" s="11"/>
    </row>
    <row r="46" spans="1:9" x14ac:dyDescent="0.25">
      <c r="A46" s="11"/>
      <c r="B46" s="11"/>
      <c r="C46" s="11"/>
      <c r="D46" s="11"/>
      <c r="E46" s="11"/>
      <c r="F46" s="11"/>
    </row>
    <row r="47" spans="1:9" x14ac:dyDescent="0.25">
      <c r="A47" s="11"/>
      <c r="B47" s="11"/>
      <c r="C47" s="11"/>
      <c r="D47" s="11"/>
      <c r="E47" s="11"/>
      <c r="F47" s="11"/>
    </row>
    <row r="48" spans="1:9" x14ac:dyDescent="0.25">
      <c r="A48" s="11"/>
      <c r="B48" s="11"/>
      <c r="C48" s="11"/>
      <c r="D48" s="11"/>
      <c r="E48" s="11"/>
      <c r="F48" s="11"/>
    </row>
    <row r="49" spans="1:6" x14ac:dyDescent="0.25">
      <c r="A49" s="11"/>
      <c r="B49" s="11"/>
      <c r="C49" s="11"/>
      <c r="D49" s="11"/>
      <c r="E49" s="11"/>
      <c r="F49" s="11"/>
    </row>
    <row r="50" spans="1:6" x14ac:dyDescent="0.25">
      <c r="A50" s="13"/>
      <c r="B50" s="13"/>
      <c r="C50" s="13"/>
      <c r="D50" s="13"/>
      <c r="E50" s="13"/>
      <c r="F50" s="13"/>
    </row>
    <row r="51" spans="1:6" x14ac:dyDescent="0.25">
      <c r="A51" s="13"/>
      <c r="B51" s="13"/>
      <c r="C51" s="13"/>
      <c r="D51" s="13"/>
      <c r="E51" s="13"/>
      <c r="F51" s="13"/>
    </row>
    <row r="52" spans="1:6" x14ac:dyDescent="0.25">
      <c r="A52" s="13"/>
      <c r="B52" s="13"/>
      <c r="C52" s="13"/>
      <c r="D52" s="13"/>
      <c r="E52" s="13"/>
      <c r="F52" s="13"/>
    </row>
    <row r="53" spans="1:6" x14ac:dyDescent="0.25">
      <c r="A53" s="13"/>
      <c r="B53" s="13"/>
      <c r="C53" s="13"/>
      <c r="D53" s="13"/>
      <c r="E53" s="13"/>
      <c r="F53" s="13"/>
    </row>
    <row r="54" spans="1:6" x14ac:dyDescent="0.25">
      <c r="A54" s="13"/>
      <c r="B54" s="13"/>
      <c r="C54" s="13"/>
      <c r="D54" s="13"/>
      <c r="E54" s="13"/>
      <c r="F54" s="13"/>
    </row>
    <row r="55" spans="1:6" x14ac:dyDescent="0.25">
      <c r="A55" s="13"/>
      <c r="B55" s="13"/>
      <c r="C55" s="13"/>
      <c r="D55" s="13"/>
      <c r="E55" s="13"/>
      <c r="F55" s="13"/>
    </row>
    <row r="56" spans="1:6" x14ac:dyDescent="0.25">
      <c r="A56" s="13"/>
      <c r="B56" s="13"/>
      <c r="C56" s="13"/>
      <c r="D56" s="13"/>
      <c r="E56" s="13"/>
      <c r="F56" s="13"/>
    </row>
    <row r="57" spans="1:6" x14ac:dyDescent="0.25">
      <c r="A57" s="13"/>
      <c r="B57" s="13"/>
      <c r="C57" s="13"/>
      <c r="D57" s="13"/>
      <c r="E57" s="13"/>
      <c r="F57" s="13"/>
    </row>
  </sheetData>
  <mergeCells count="1">
    <mergeCell ref="A40:F40"/>
  </mergeCells>
  <pageMargins left="0.7" right="0.7" top="0.75" bottom="0.75" header="0.3" footer="0.3"/>
  <pageSetup paperSize="9" orientation="portrait"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4"/>
  <sheetViews>
    <sheetView showGridLines="0" zoomScaleNormal="100" workbookViewId="0">
      <selection sqref="A1:A2"/>
    </sheetView>
  </sheetViews>
  <sheetFormatPr defaultColWidth="9.44140625" defaultRowHeight="13.8" x14ac:dyDescent="0.25"/>
  <cols>
    <col min="1" max="1" width="9.44140625" style="2"/>
    <col min="2" max="2" width="16" style="2" customWidth="1"/>
    <col min="3" max="3" width="11.44140625" style="2" customWidth="1"/>
    <col min="4" max="4" width="11" style="2" customWidth="1"/>
    <col min="5" max="6" width="10.44140625" style="2" customWidth="1"/>
    <col min="7" max="7" width="8" style="2" customWidth="1"/>
    <col min="8" max="8" width="11.44140625" style="2" bestFit="1" customWidth="1"/>
    <col min="9" max="9" width="12.44140625" style="2" bestFit="1" customWidth="1"/>
    <col min="10" max="10" width="9.44140625" style="2" customWidth="1"/>
    <col min="11" max="11" width="7.44140625" style="2" bestFit="1" customWidth="1"/>
    <col min="12" max="12" width="13.44140625" style="2" customWidth="1"/>
    <col min="13" max="13" width="7.5546875" style="2" bestFit="1" customWidth="1"/>
    <col min="14" max="14" width="8.5546875" style="2" bestFit="1" customWidth="1"/>
    <col min="15" max="16384" width="9.44140625" style="2"/>
  </cols>
  <sheetData>
    <row r="1" spans="1:15" ht="15" customHeight="1" x14ac:dyDescent="0.25">
      <c r="A1" s="66" t="s">
        <v>7</v>
      </c>
      <c r="B1" s="14" t="s">
        <v>8</v>
      </c>
      <c r="C1" s="68" t="s">
        <v>9</v>
      </c>
      <c r="D1" s="69"/>
      <c r="E1" s="69"/>
      <c r="F1" s="69"/>
      <c r="G1" s="69"/>
      <c r="H1" s="69"/>
      <c r="I1" s="69"/>
      <c r="J1" s="69"/>
      <c r="K1" s="69"/>
      <c r="L1" s="69"/>
      <c r="M1" s="69"/>
      <c r="N1" s="70"/>
    </row>
    <row r="2" spans="1:15" ht="65.849999999999994" customHeight="1" x14ac:dyDescent="0.25">
      <c r="A2" s="67"/>
      <c r="B2" s="14" t="s">
        <v>10</v>
      </c>
      <c r="C2" s="14" t="s">
        <v>11</v>
      </c>
      <c r="D2" s="14" t="s">
        <v>12</v>
      </c>
      <c r="E2" s="14" t="s">
        <v>13</v>
      </c>
      <c r="F2" s="14" t="s">
        <v>14</v>
      </c>
      <c r="G2" s="14" t="s">
        <v>73</v>
      </c>
      <c r="H2" s="14" t="s">
        <v>15</v>
      </c>
      <c r="I2" s="14" t="s">
        <v>16</v>
      </c>
      <c r="J2" s="14" t="s">
        <v>17</v>
      </c>
      <c r="K2" s="14" t="s">
        <v>18</v>
      </c>
      <c r="L2" s="14" t="s">
        <v>19</v>
      </c>
      <c r="M2" s="14" t="s">
        <v>74</v>
      </c>
      <c r="N2" s="14" t="s">
        <v>20</v>
      </c>
    </row>
    <row r="3" spans="1:15" x14ac:dyDescent="0.25">
      <c r="A3" s="55">
        <v>240.83292966281005</v>
      </c>
      <c r="B3" s="13">
        <v>45152</v>
      </c>
      <c r="C3" s="15">
        <v>12.038425483249998</v>
      </c>
      <c r="D3" s="15">
        <v>12.3889463763</v>
      </c>
      <c r="E3" s="15">
        <v>-6.8341304000000012</v>
      </c>
      <c r="F3" s="15">
        <v>280.96470879999998</v>
      </c>
      <c r="G3" s="15">
        <v>1.9033294329999999</v>
      </c>
      <c r="H3" s="15">
        <v>25.161703420329989</v>
      </c>
      <c r="I3" s="15">
        <v>-7.7335999999999919E-2</v>
      </c>
      <c r="J3" s="15">
        <v>1.6941424870999984</v>
      </c>
      <c r="K3" s="15">
        <v>-9.994611725169996</v>
      </c>
      <c r="L3" s="15">
        <v>-15.672619012000006</v>
      </c>
      <c r="M3" s="15">
        <v>-37.321566000000004</v>
      </c>
      <c r="N3" s="15">
        <v>-23.418063199999999</v>
      </c>
      <c r="O3" s="16"/>
    </row>
    <row r="4" spans="1:15" x14ac:dyDescent="0.25">
      <c r="A4" s="55">
        <v>147.90558565382</v>
      </c>
      <c r="B4" s="17">
        <v>45159</v>
      </c>
      <c r="C4" s="18">
        <v>0.65017836699000009</v>
      </c>
      <c r="D4" s="18">
        <v>10.157673602899999</v>
      </c>
      <c r="E4" s="18">
        <v>-0.28794029999999982</v>
      </c>
      <c r="F4" s="18">
        <v>152.13338429999996</v>
      </c>
      <c r="G4" s="18">
        <v>-2.5168708745999999</v>
      </c>
      <c r="H4" s="18">
        <v>44.346600171840009</v>
      </c>
      <c r="I4" s="18">
        <v>0.10583600000000001</v>
      </c>
      <c r="J4" s="18">
        <v>-10.917573227800002</v>
      </c>
      <c r="K4" s="18">
        <v>-11.36331378551</v>
      </c>
      <c r="L4" s="18">
        <v>-15.414607399999998</v>
      </c>
      <c r="M4" s="18">
        <v>-4.8409351000000003</v>
      </c>
      <c r="N4" s="18">
        <v>-14.146846099999999</v>
      </c>
      <c r="O4" s="16"/>
    </row>
    <row r="5" spans="1:15" x14ac:dyDescent="0.25">
      <c r="A5" s="55">
        <f>SUM(C5:N5)</f>
        <v>-35.541883547640012</v>
      </c>
      <c r="B5" s="13">
        <v>45166</v>
      </c>
      <c r="C5" s="15">
        <v>-17.233155890340011</v>
      </c>
      <c r="D5" s="15">
        <v>3.258103076499999</v>
      </c>
      <c r="E5" s="15">
        <v>-0.30388050000000022</v>
      </c>
      <c r="F5" s="15">
        <v>-13.969156399999999</v>
      </c>
      <c r="G5" s="15">
        <v>3.0312448760000001</v>
      </c>
      <c r="H5" s="15">
        <v>18.320994423599995</v>
      </c>
      <c r="I5" s="15">
        <v>4.8891100000000021E-2</v>
      </c>
      <c r="J5" s="15">
        <v>-1.2729696903999987</v>
      </c>
      <c r="K5" s="15">
        <v>-7.5742456429999914</v>
      </c>
      <c r="L5" s="15">
        <v>-66.275830499999998</v>
      </c>
      <c r="M5" s="15">
        <v>-8.1517509999999991</v>
      </c>
      <c r="N5" s="15">
        <v>54.579872600000002</v>
      </c>
      <c r="O5" s="16"/>
    </row>
    <row r="6" spans="1:15" x14ac:dyDescent="0.25">
      <c r="A6" s="55">
        <f>SUM(C6:N6)</f>
        <v>21.322006708829967</v>
      </c>
      <c r="B6" s="17">
        <v>45173</v>
      </c>
      <c r="C6" s="18">
        <v>9.4178749668000012</v>
      </c>
      <c r="D6" s="18">
        <v>6.8875833335999994</v>
      </c>
      <c r="E6" s="18">
        <v>0.49226540000000013</v>
      </c>
      <c r="F6" s="18">
        <v>43.876344900000007</v>
      </c>
      <c r="G6" s="18">
        <v>-2.9132965829000002</v>
      </c>
      <c r="H6" s="18">
        <v>25.960110062559998</v>
      </c>
      <c r="I6" s="18">
        <v>0.15774879999999997</v>
      </c>
      <c r="J6" s="18">
        <v>-1.2036075583000003</v>
      </c>
      <c r="K6" s="18">
        <v>-25.094439012930007</v>
      </c>
      <c r="L6" s="18">
        <v>-1.3234653000000014</v>
      </c>
      <c r="M6" s="18">
        <v>-18.408595800000001</v>
      </c>
      <c r="N6" s="18">
        <v>-16.5265165</v>
      </c>
      <c r="O6" s="16"/>
    </row>
    <row r="7" spans="1:15" x14ac:dyDescent="0.25">
      <c r="B7" s="13"/>
      <c r="C7" s="13"/>
      <c r="D7" s="13"/>
      <c r="E7" s="19"/>
      <c r="F7" s="19"/>
      <c r="G7" s="20"/>
      <c r="H7" s="20"/>
      <c r="I7" s="20"/>
      <c r="J7" s="20"/>
      <c r="K7" s="20"/>
      <c r="L7" s="20"/>
      <c r="M7" s="20"/>
      <c r="N7" s="20"/>
    </row>
    <row r="8" spans="1:15" ht="14.4" x14ac:dyDescent="0.3">
      <c r="B8" s="12" t="s">
        <v>5</v>
      </c>
      <c r="C8" s="12"/>
      <c r="D8" s="12"/>
    </row>
    <row r="9" spans="1:15" ht="14.4" x14ac:dyDescent="0.3">
      <c r="B9" s="12" t="s">
        <v>84</v>
      </c>
      <c r="C9" s="12"/>
      <c r="D9" s="12"/>
    </row>
    <row r="10" spans="1:15" ht="14.4" x14ac:dyDescent="0.3">
      <c r="B10" s="12" t="s">
        <v>6</v>
      </c>
      <c r="C10" s="12"/>
      <c r="D10" s="12"/>
    </row>
    <row r="11" spans="1:15" ht="14.4" x14ac:dyDescent="0.3">
      <c r="B11" s="12" t="s">
        <v>77</v>
      </c>
      <c r="C11" s="13"/>
      <c r="D11" s="13"/>
    </row>
    <row r="12" spans="1:15" ht="14.4" x14ac:dyDescent="0.3">
      <c r="B12"/>
      <c r="C12"/>
      <c r="D12"/>
      <c r="E12"/>
      <c r="F12"/>
      <c r="G12"/>
      <c r="H12" s="52"/>
      <c r="I12"/>
      <c r="J12" s="52"/>
      <c r="K12" s="52"/>
      <c r="L12" s="16"/>
    </row>
    <row r="13" spans="1:15" ht="14.4" x14ac:dyDescent="0.3">
      <c r="B13"/>
      <c r="C13"/>
      <c r="D13"/>
      <c r="E13"/>
      <c r="F13"/>
      <c r="G13"/>
      <c r="H13"/>
      <c r="I13"/>
      <c r="J13"/>
      <c r="K13"/>
      <c r="L13"/>
      <c r="M13"/>
      <c r="N13"/>
      <c r="O13"/>
    </row>
    <row r="14" spans="1:15" ht="14.4" x14ac:dyDescent="0.3">
      <c r="C14"/>
      <c r="D14"/>
      <c r="E14"/>
      <c r="F14"/>
      <c r="G14"/>
      <c r="H14"/>
      <c r="I14"/>
      <c r="J14"/>
      <c r="K14"/>
      <c r="L14"/>
      <c r="M14"/>
      <c r="N14"/>
    </row>
    <row r="15" spans="1:15" ht="14.4" x14ac:dyDescent="0.3">
      <c r="C15"/>
      <c r="D15"/>
      <c r="E15"/>
      <c r="F15"/>
      <c r="G15"/>
      <c r="H15"/>
      <c r="I15"/>
      <c r="J15"/>
      <c r="K15"/>
      <c r="L15"/>
      <c r="M15"/>
      <c r="N15"/>
      <c r="O15" s="52"/>
    </row>
    <row r="16" spans="1:15" ht="14.4" x14ac:dyDescent="0.3">
      <c r="C16"/>
      <c r="D16"/>
      <c r="E16"/>
      <c r="F16"/>
      <c r="G16"/>
      <c r="H16"/>
      <c r="I16"/>
      <c r="J16"/>
      <c r="K16"/>
      <c r="L16"/>
      <c r="M16"/>
      <c r="N16"/>
    </row>
    <row r="17" spans="3:14" ht="14.4" x14ac:dyDescent="0.3">
      <c r="C17" s="52"/>
      <c r="D17" s="52"/>
      <c r="E17" s="52"/>
      <c r="F17" s="52"/>
      <c r="G17" s="52"/>
      <c r="H17" s="52"/>
      <c r="I17" s="52"/>
      <c r="J17" s="52"/>
      <c r="K17" s="52"/>
      <c r="L17" s="52"/>
      <c r="M17" s="52"/>
      <c r="N17" s="52"/>
    </row>
    <row r="18" spans="3:14" ht="14.4" x14ac:dyDescent="0.3">
      <c r="C18"/>
      <c r="D18"/>
    </row>
    <row r="19" spans="3:14" ht="14.4" x14ac:dyDescent="0.3">
      <c r="C19"/>
      <c r="D19"/>
    </row>
    <row r="20" spans="3:14" ht="14.4" x14ac:dyDescent="0.3">
      <c r="C20"/>
      <c r="D20"/>
    </row>
    <row r="21" spans="3:14" ht="14.4" x14ac:dyDescent="0.3">
      <c r="C21"/>
      <c r="D21"/>
    </row>
    <row r="22" spans="3:14" ht="14.4" x14ac:dyDescent="0.3">
      <c r="C22"/>
      <c r="D22"/>
    </row>
    <row r="23" spans="3:14" ht="14.4" x14ac:dyDescent="0.3">
      <c r="C23"/>
      <c r="D23"/>
    </row>
    <row r="24" spans="3:14" ht="14.4" x14ac:dyDescent="0.3">
      <c r="C24"/>
      <c r="D24"/>
    </row>
  </sheetData>
  <sortState xmlns:xlrd2="http://schemas.microsoft.com/office/spreadsheetml/2017/richdata2" ref="A3:N5">
    <sortCondition ref="B3:B5"/>
  </sortState>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orientation="portrait" r:id="rId1"/>
  <ignoredErrors>
    <ignoredError sqref="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4"/>
  <sheetViews>
    <sheetView showGridLines="0" zoomScaleNormal="100" workbookViewId="0">
      <selection sqref="A1:A2"/>
    </sheetView>
  </sheetViews>
  <sheetFormatPr defaultColWidth="9.44140625" defaultRowHeight="13.8" x14ac:dyDescent="0.25"/>
  <cols>
    <col min="1" max="1" width="9.44140625" style="2"/>
    <col min="2" max="2" width="15.77734375" style="2" customWidth="1"/>
    <col min="3" max="3" width="11.44140625" style="2" bestFit="1" customWidth="1"/>
    <col min="4" max="4" width="11.5546875" style="2" bestFit="1" customWidth="1"/>
    <col min="5" max="6" width="10.5546875" style="2" bestFit="1" customWidth="1"/>
    <col min="7" max="7" width="8.44140625" style="2" customWidth="1"/>
    <col min="8" max="8" width="11.5546875" style="2" bestFit="1" customWidth="1"/>
    <col min="9" max="9" width="12.5546875" style="2" bestFit="1" customWidth="1"/>
    <col min="10" max="10" width="8.5546875" style="2" customWidth="1"/>
    <col min="11" max="11" width="8.44140625" style="2" bestFit="1" customWidth="1"/>
    <col min="12" max="12" width="12.5546875" style="2" customWidth="1"/>
    <col min="13" max="13" width="8.44140625" style="2" bestFit="1" customWidth="1"/>
    <col min="14" max="14" width="8.5546875" style="2" bestFit="1" customWidth="1"/>
    <col min="15" max="16384" width="9.44140625" style="2"/>
  </cols>
  <sheetData>
    <row r="1" spans="1:18" ht="21" customHeight="1" x14ac:dyDescent="0.25">
      <c r="A1" s="66" t="s">
        <v>7</v>
      </c>
      <c r="B1" s="14" t="s">
        <v>8</v>
      </c>
      <c r="C1" s="68" t="s">
        <v>9</v>
      </c>
      <c r="D1" s="69"/>
      <c r="E1" s="69"/>
      <c r="F1" s="69"/>
      <c r="G1" s="69"/>
      <c r="H1" s="69"/>
      <c r="I1" s="69"/>
      <c r="J1" s="69"/>
      <c r="K1" s="69"/>
      <c r="L1" s="69"/>
      <c r="M1" s="69"/>
      <c r="N1" s="70"/>
    </row>
    <row r="2" spans="1:18" ht="55.2" x14ac:dyDescent="0.25">
      <c r="A2" s="67"/>
      <c r="B2" s="14" t="s">
        <v>21</v>
      </c>
      <c r="C2" s="14" t="s">
        <v>11</v>
      </c>
      <c r="D2" s="14" t="s">
        <v>12</v>
      </c>
      <c r="E2" s="14" t="s">
        <v>13</v>
      </c>
      <c r="F2" s="14" t="s">
        <v>14</v>
      </c>
      <c r="G2" s="14" t="s">
        <v>73</v>
      </c>
      <c r="H2" s="14" t="s">
        <v>15</v>
      </c>
      <c r="I2" s="14" t="s">
        <v>16</v>
      </c>
      <c r="J2" s="14" t="s">
        <v>17</v>
      </c>
      <c r="K2" s="14" t="s">
        <v>18</v>
      </c>
      <c r="L2" s="14" t="s">
        <v>19</v>
      </c>
      <c r="M2" s="14" t="s">
        <v>74</v>
      </c>
      <c r="N2" s="14" t="s">
        <v>20</v>
      </c>
    </row>
    <row r="3" spans="1:18" x14ac:dyDescent="0.25">
      <c r="A3" s="55">
        <v>350.8991239079599</v>
      </c>
      <c r="B3" s="13">
        <v>45152</v>
      </c>
      <c r="C3" s="15">
        <v>13.851474095059995</v>
      </c>
      <c r="D3" s="15">
        <v>12.057675195500003</v>
      </c>
      <c r="E3" s="15">
        <v>8.4728357999999986</v>
      </c>
      <c r="F3" s="15">
        <v>90.433184199999985</v>
      </c>
      <c r="G3" s="15">
        <v>-1.3584992435000001</v>
      </c>
      <c r="H3" s="15">
        <v>55.857251286779992</v>
      </c>
      <c r="I3" s="15">
        <v>0.20029639999999996</v>
      </c>
      <c r="J3" s="15">
        <v>23.341709947499993</v>
      </c>
      <c r="K3" s="15">
        <v>58.920605750619984</v>
      </c>
      <c r="L3" s="15">
        <v>-2.0155676240000027</v>
      </c>
      <c r="M3" s="15">
        <v>62.025764499999994</v>
      </c>
      <c r="N3" s="15">
        <v>29.112393600000001</v>
      </c>
      <c r="O3" s="16"/>
    </row>
    <row r="4" spans="1:18" x14ac:dyDescent="0.25">
      <c r="A4" s="55">
        <v>157.48854018213999</v>
      </c>
      <c r="B4" s="17">
        <v>45159</v>
      </c>
      <c r="C4" s="18">
        <v>13.05371015617</v>
      </c>
      <c r="D4" s="18">
        <v>0.41203223900000063</v>
      </c>
      <c r="E4" s="18">
        <v>0.33294520000000027</v>
      </c>
      <c r="F4" s="18">
        <v>49.763994199999999</v>
      </c>
      <c r="G4" s="18">
        <v>2.9057344973000001</v>
      </c>
      <c r="H4" s="18">
        <v>-2.4317016773199853</v>
      </c>
      <c r="I4" s="18">
        <v>-0.37281069999999994</v>
      </c>
      <c r="J4" s="18">
        <v>17.467911172199997</v>
      </c>
      <c r="K4" s="18">
        <v>38.108691357790001</v>
      </c>
      <c r="L4" s="18">
        <v>-3.0238108629999996</v>
      </c>
      <c r="M4" s="18">
        <v>34.163293400000001</v>
      </c>
      <c r="N4" s="18">
        <v>7.1085512</v>
      </c>
      <c r="O4" s="16"/>
    </row>
    <row r="5" spans="1:18" x14ac:dyDescent="0.25">
      <c r="A5" s="55">
        <f>SUM(C5:N5)</f>
        <v>-46.81841252350997</v>
      </c>
      <c r="B5" s="13">
        <v>45166</v>
      </c>
      <c r="C5" s="15">
        <v>11.991181459180002</v>
      </c>
      <c r="D5" s="15">
        <v>-12.205613633299999</v>
      </c>
      <c r="E5" s="15">
        <v>0.27300289999999977</v>
      </c>
      <c r="F5" s="15">
        <v>-46.123204399999992</v>
      </c>
      <c r="G5" s="15">
        <v>-3.6762142592999996</v>
      </c>
      <c r="H5" s="15">
        <v>-26.558478480050002</v>
      </c>
      <c r="I5" s="15">
        <v>7.8169000000000002E-2</v>
      </c>
      <c r="J5" s="15">
        <v>1.8022123202999996</v>
      </c>
      <c r="K5" s="15">
        <v>13.521229969660007</v>
      </c>
      <c r="L5" s="15">
        <v>-2.5871555999999991</v>
      </c>
      <c r="M5" s="15">
        <v>2.7810629000000011</v>
      </c>
      <c r="N5" s="15">
        <v>13.885395300000001</v>
      </c>
      <c r="O5" s="16"/>
    </row>
    <row r="6" spans="1:18" x14ac:dyDescent="0.25">
      <c r="A6" s="55">
        <f>SUM(C6:N6)</f>
        <v>100.09154223808001</v>
      </c>
      <c r="B6" s="17">
        <v>45173</v>
      </c>
      <c r="C6" s="18">
        <v>-1.9992223371000011</v>
      </c>
      <c r="D6" s="18">
        <v>-3.0772757254000003</v>
      </c>
      <c r="E6" s="18">
        <v>-0.75351360000000012</v>
      </c>
      <c r="F6" s="18">
        <v>1.9268054000000001</v>
      </c>
      <c r="G6" s="18">
        <v>3.2217434627000006</v>
      </c>
      <c r="H6" s="18">
        <v>16.101870504420006</v>
      </c>
      <c r="I6" s="18">
        <v>-0.22427569999999999</v>
      </c>
      <c r="J6" s="18">
        <v>4.0952292423000003</v>
      </c>
      <c r="K6" s="18">
        <v>18.333153791159997</v>
      </c>
      <c r="L6" s="18">
        <v>3.8832547000000002</v>
      </c>
      <c r="M6" s="18">
        <v>25.367367899999998</v>
      </c>
      <c r="N6" s="18">
        <v>33.216404600000004</v>
      </c>
      <c r="O6" s="16"/>
    </row>
    <row r="7" spans="1:18" x14ac:dyDescent="0.25">
      <c r="P7" s="16"/>
    </row>
    <row r="8" spans="1:18" ht="14.4" x14ac:dyDescent="0.3">
      <c r="B8" s="12" t="s">
        <v>5</v>
      </c>
      <c r="C8" s="12"/>
      <c r="D8" s="12"/>
    </row>
    <row r="9" spans="1:18" ht="14.4" x14ac:dyDescent="0.3">
      <c r="B9" s="12" t="s">
        <v>86</v>
      </c>
      <c r="C9" s="12"/>
      <c r="D9" s="12"/>
    </row>
    <row r="10" spans="1:18" ht="14.4" x14ac:dyDescent="0.3">
      <c r="B10" s="12" t="s">
        <v>6</v>
      </c>
      <c r="C10" s="12"/>
      <c r="D10" s="12"/>
    </row>
    <row r="11" spans="1:18" ht="14.4" x14ac:dyDescent="0.3">
      <c r="B11" s="12" t="s">
        <v>77</v>
      </c>
      <c r="C11" s="13"/>
      <c r="D11" s="13"/>
    </row>
    <row r="12" spans="1:18" ht="14.4" x14ac:dyDescent="0.3">
      <c r="C12"/>
      <c r="D12"/>
      <c r="E12"/>
      <c r="F12"/>
      <c r="G12"/>
      <c r="H12"/>
      <c r="I12"/>
      <c r="J12"/>
      <c r="K12"/>
      <c r="L12"/>
      <c r="M12"/>
      <c r="N12"/>
    </row>
    <row r="13" spans="1:18" ht="14.4" x14ac:dyDescent="0.3">
      <c r="B13"/>
      <c r="C13"/>
      <c r="D13"/>
      <c r="E13"/>
      <c r="F13"/>
      <c r="G13"/>
      <c r="H13"/>
      <c r="I13"/>
      <c r="J13"/>
      <c r="K13"/>
      <c r="L13"/>
      <c r="M13"/>
      <c r="N13"/>
    </row>
    <row r="14" spans="1:18" ht="14.4" x14ac:dyDescent="0.3">
      <c r="B14"/>
      <c r="C14"/>
      <c r="D14"/>
      <c r="E14"/>
      <c r="F14"/>
      <c r="G14"/>
      <c r="H14"/>
      <c r="I14"/>
      <c r="J14"/>
      <c r="K14"/>
      <c r="L14"/>
      <c r="M14"/>
      <c r="N14"/>
      <c r="O14" s="52"/>
      <c r="P14"/>
      <c r="Q14"/>
      <c r="R14"/>
    </row>
    <row r="15" spans="1:18" ht="14.4" x14ac:dyDescent="0.3">
      <c r="B15"/>
      <c r="C15"/>
      <c r="D15"/>
      <c r="E15"/>
      <c r="F15"/>
      <c r="G15"/>
      <c r="H15"/>
      <c r="I15"/>
      <c r="J15"/>
      <c r="K15"/>
      <c r="L15"/>
      <c r="M15"/>
      <c r="N15"/>
      <c r="O15"/>
      <c r="P15"/>
      <c r="Q15"/>
      <c r="R15"/>
    </row>
    <row r="16" spans="1:18" ht="14.4" x14ac:dyDescent="0.3">
      <c r="C16" s="52"/>
      <c r="D16" s="52"/>
      <c r="E16" s="52"/>
      <c r="F16" s="52"/>
      <c r="G16" s="52"/>
      <c r="H16" s="52"/>
      <c r="I16" s="52"/>
      <c r="J16" s="52"/>
      <c r="K16" s="52"/>
      <c r="L16" s="52"/>
      <c r="M16" s="52"/>
      <c r="N16" s="52"/>
      <c r="O16"/>
    </row>
    <row r="17" spans="3:14" ht="14.4" x14ac:dyDescent="0.3">
      <c r="C17" s="52"/>
      <c r="D17" s="52"/>
      <c r="E17" s="52"/>
      <c r="F17" s="52"/>
      <c r="G17" s="52"/>
      <c r="H17" s="52"/>
      <c r="I17" s="52"/>
      <c r="J17" s="52"/>
      <c r="K17" s="52"/>
      <c r="L17" s="52"/>
      <c r="M17" s="52"/>
      <c r="N17" s="52"/>
    </row>
    <row r="18" spans="3:14" ht="14.4" x14ac:dyDescent="0.3">
      <c r="C18"/>
      <c r="D18"/>
      <c r="E18"/>
      <c r="F18"/>
      <c r="G18"/>
      <c r="H18"/>
      <c r="I18"/>
      <c r="J18"/>
      <c r="K18"/>
      <c r="L18"/>
      <c r="M18"/>
      <c r="N18"/>
    </row>
    <row r="19" spans="3:14" ht="14.4" x14ac:dyDescent="0.3">
      <c r="C19" s="52"/>
      <c r="D19" s="52"/>
      <c r="E19" s="52"/>
      <c r="F19" s="52"/>
      <c r="G19" s="52"/>
      <c r="H19" s="52"/>
      <c r="I19" s="52"/>
      <c r="J19" s="52"/>
      <c r="K19" s="52"/>
      <c r="L19" s="52"/>
      <c r="M19" s="52"/>
      <c r="N19" s="52"/>
    </row>
    <row r="20" spans="3:14" ht="14.4" x14ac:dyDescent="0.3">
      <c r="C20"/>
      <c r="D20"/>
    </row>
    <row r="21" spans="3:14" ht="14.4" x14ac:dyDescent="0.3">
      <c r="C21"/>
      <c r="D21"/>
    </row>
    <row r="22" spans="3:14" ht="14.4" x14ac:dyDescent="0.3">
      <c r="C22"/>
      <c r="D22"/>
    </row>
    <row r="23" spans="3:14" ht="14.4" x14ac:dyDescent="0.3">
      <c r="C23"/>
      <c r="D23"/>
    </row>
    <row r="24" spans="3:14" ht="14.4" x14ac:dyDescent="0.3">
      <c r="C24"/>
      <c r="D24"/>
    </row>
  </sheetData>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scale="63" fitToHeight="0" orientation="landscape" r:id="rId1"/>
  <ignoredErrors>
    <ignoredError sqref="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37"/>
  <sheetViews>
    <sheetView showGridLines="0" zoomScaleNormal="100" workbookViewId="0"/>
  </sheetViews>
  <sheetFormatPr defaultRowHeight="14.4" x14ac:dyDescent="0.3"/>
  <cols>
    <col min="1" max="1" width="41.5546875" customWidth="1"/>
    <col min="2" max="2" width="8.5546875" customWidth="1"/>
    <col min="3" max="4" width="14.5546875" customWidth="1"/>
    <col min="5" max="5" width="8.77734375" customWidth="1"/>
  </cols>
  <sheetData>
    <row r="1" spans="1:8" ht="55.2" x14ac:dyDescent="0.3">
      <c r="A1" s="38" t="str">
        <f>CONCATENATE("STI Constituents - ",'Weekly Top 10'!$C$5)</f>
        <v>STI Constituents - Week of 4 September 2023</v>
      </c>
      <c r="B1" s="21" t="s">
        <v>1</v>
      </c>
      <c r="C1" s="22" t="s">
        <v>75</v>
      </c>
      <c r="D1" s="22" t="s">
        <v>76</v>
      </c>
    </row>
    <row r="2" spans="1:8" x14ac:dyDescent="0.3">
      <c r="A2" s="23" t="s">
        <v>92</v>
      </c>
      <c r="B2" s="24" t="s">
        <v>26</v>
      </c>
      <c r="C2" s="25">
        <v>1.149713</v>
      </c>
      <c r="D2" s="25">
        <v>-1.4646600000000001</v>
      </c>
      <c r="E2" s="46"/>
      <c r="F2" s="50"/>
      <c r="H2" s="51"/>
    </row>
    <row r="3" spans="1:8" x14ac:dyDescent="0.3">
      <c r="A3" s="26" t="s">
        <v>81</v>
      </c>
      <c r="B3" s="27" t="s">
        <v>58</v>
      </c>
      <c r="C3" s="9">
        <v>-1.4288289999999999</v>
      </c>
      <c r="D3" s="9">
        <v>3.4036740000000001</v>
      </c>
      <c r="E3" s="46"/>
      <c r="F3" s="50"/>
      <c r="H3" s="51"/>
    </row>
    <row r="4" spans="1:8" x14ac:dyDescent="0.3">
      <c r="A4" s="6" t="s">
        <v>88</v>
      </c>
      <c r="B4" s="8" t="s">
        <v>87</v>
      </c>
      <c r="C4" s="7">
        <v>-1.905548</v>
      </c>
      <c r="D4" s="7">
        <v>3.1545380000000001</v>
      </c>
      <c r="E4" s="46"/>
      <c r="F4" s="50"/>
      <c r="H4" s="51"/>
    </row>
    <row r="5" spans="1:8" x14ac:dyDescent="0.3">
      <c r="A5" s="26" t="s">
        <v>65</v>
      </c>
      <c r="B5" s="27" t="s">
        <v>56</v>
      </c>
      <c r="C5" s="9">
        <v>1.588625</v>
      </c>
      <c r="D5" s="9">
        <v>0.36494700000000002</v>
      </c>
      <c r="E5" s="46"/>
      <c r="F5" s="50"/>
      <c r="H5" s="51"/>
    </row>
    <row r="6" spans="1:8" x14ac:dyDescent="0.3">
      <c r="A6" s="6" t="s">
        <v>89</v>
      </c>
      <c r="B6" s="8" t="s">
        <v>59</v>
      </c>
      <c r="C6" s="7">
        <v>0.44750193359999979</v>
      </c>
      <c r="D6" s="7">
        <v>-0.3935397254000001</v>
      </c>
      <c r="E6" s="46"/>
      <c r="F6" s="50"/>
      <c r="H6" s="51"/>
    </row>
    <row r="7" spans="1:8" x14ac:dyDescent="0.3">
      <c r="A7" s="26" t="s">
        <v>27</v>
      </c>
      <c r="B7" s="27" t="s">
        <v>22</v>
      </c>
      <c r="C7" s="9">
        <v>19.282554999999999</v>
      </c>
      <c r="D7" s="9">
        <v>-4.285838</v>
      </c>
      <c r="E7" s="46"/>
      <c r="F7" s="50"/>
      <c r="H7" s="51"/>
    </row>
    <row r="8" spans="1:8" x14ac:dyDescent="0.3">
      <c r="A8" s="6" t="s">
        <v>90</v>
      </c>
      <c r="B8" s="8" t="s">
        <v>91</v>
      </c>
      <c r="C8" s="54">
        <v>-0.93693099999999996</v>
      </c>
      <c r="D8" s="54">
        <v>0.93273499999999998</v>
      </c>
      <c r="E8" s="46"/>
      <c r="F8" s="50"/>
      <c r="H8" s="51"/>
    </row>
    <row r="9" spans="1:8" x14ac:dyDescent="0.3">
      <c r="A9" s="26" t="s">
        <v>83</v>
      </c>
      <c r="B9" s="27" t="s">
        <v>82</v>
      </c>
      <c r="C9" s="9">
        <v>-0.50132200000000005</v>
      </c>
      <c r="D9" s="9">
        <v>1.4317439999999999</v>
      </c>
      <c r="E9" s="46"/>
      <c r="F9" s="50"/>
      <c r="H9" s="51"/>
    </row>
    <row r="10" spans="1:8" x14ac:dyDescent="0.3">
      <c r="A10" s="6" t="s">
        <v>38</v>
      </c>
      <c r="B10" s="8" t="s">
        <v>37</v>
      </c>
      <c r="C10" s="7">
        <v>5.2220129999999987</v>
      </c>
      <c r="D10" s="7">
        <v>-1.9727539999999999</v>
      </c>
      <c r="E10" s="46"/>
      <c r="F10" s="50"/>
      <c r="H10" s="51"/>
    </row>
    <row r="11" spans="1:8" x14ac:dyDescent="0.3">
      <c r="A11" s="26" t="s">
        <v>66</v>
      </c>
      <c r="B11" s="27" t="s">
        <v>57</v>
      </c>
      <c r="C11" s="9">
        <v>2.8843842416999999</v>
      </c>
      <c r="D11" s="9">
        <v>-0.9731339577</v>
      </c>
      <c r="E11" s="46"/>
      <c r="F11" s="50"/>
      <c r="H11" s="51"/>
    </row>
    <row r="12" spans="1:8" x14ac:dyDescent="0.3">
      <c r="A12" s="6" t="s">
        <v>52</v>
      </c>
      <c r="B12" s="8" t="s">
        <v>50</v>
      </c>
      <c r="C12" s="7">
        <v>2.4844430000000002</v>
      </c>
      <c r="D12" s="7">
        <v>0.55874500000000005</v>
      </c>
      <c r="E12" s="46"/>
      <c r="F12" s="50"/>
      <c r="H12" s="51"/>
    </row>
    <row r="13" spans="1:8" x14ac:dyDescent="0.3">
      <c r="A13" s="26" t="s">
        <v>64</v>
      </c>
      <c r="B13" s="27" t="s">
        <v>54</v>
      </c>
      <c r="C13" s="9">
        <v>2.7892675887999978</v>
      </c>
      <c r="D13" s="9">
        <v>-1.6002966642000001</v>
      </c>
      <c r="E13" s="46"/>
      <c r="F13" s="50"/>
      <c r="H13" s="51"/>
    </row>
    <row r="14" spans="1:8" x14ac:dyDescent="0.3">
      <c r="A14" s="6" t="s">
        <v>35</v>
      </c>
      <c r="B14" s="8" t="s">
        <v>33</v>
      </c>
      <c r="C14" s="7">
        <v>1.543118</v>
      </c>
      <c r="D14" s="7">
        <v>3.515145</v>
      </c>
      <c r="E14" s="46"/>
      <c r="F14" s="50"/>
      <c r="H14" s="51"/>
    </row>
    <row r="15" spans="1:8" x14ac:dyDescent="0.3">
      <c r="A15" s="26" t="s">
        <v>259</v>
      </c>
      <c r="B15" s="27" t="s">
        <v>60</v>
      </c>
      <c r="C15" s="9">
        <v>-8.1658519999999992</v>
      </c>
      <c r="D15" s="9">
        <v>6.3290449999999998</v>
      </c>
      <c r="E15" s="46"/>
      <c r="F15" s="50"/>
      <c r="H15" s="51"/>
    </row>
    <row r="16" spans="1:8" x14ac:dyDescent="0.3">
      <c r="A16" s="6" t="s">
        <v>79</v>
      </c>
      <c r="B16" s="8" t="s">
        <v>78</v>
      </c>
      <c r="C16" s="7">
        <v>3.174442</v>
      </c>
      <c r="D16" s="7">
        <v>-1.699306</v>
      </c>
      <c r="E16" s="46"/>
      <c r="F16" s="50"/>
      <c r="H16" s="51"/>
    </row>
    <row r="17" spans="1:8" x14ac:dyDescent="0.3">
      <c r="A17" s="26" t="s">
        <v>42</v>
      </c>
      <c r="B17" s="27" t="s">
        <v>40</v>
      </c>
      <c r="C17" s="9">
        <v>-2.025388</v>
      </c>
      <c r="D17" s="9">
        <v>7.9535999999999996E-2</v>
      </c>
      <c r="E17" s="46"/>
      <c r="F17" s="50"/>
      <c r="H17" s="51"/>
    </row>
    <row r="18" spans="1:8" x14ac:dyDescent="0.3">
      <c r="A18" s="6" t="s">
        <v>28</v>
      </c>
      <c r="B18" s="8" t="s">
        <v>23</v>
      </c>
      <c r="C18" s="7">
        <v>10.971238</v>
      </c>
      <c r="D18" s="7">
        <v>4.6619919999999997</v>
      </c>
      <c r="E18" s="46"/>
      <c r="F18" s="50"/>
      <c r="H18" s="51"/>
    </row>
    <row r="19" spans="1:8" x14ac:dyDescent="0.3">
      <c r="A19" s="26" t="s">
        <v>36</v>
      </c>
      <c r="B19" s="27" t="s">
        <v>31</v>
      </c>
      <c r="C19" s="9">
        <v>-5.5051310000000004</v>
      </c>
      <c r="D19" s="9">
        <v>3.2043000000000002E-2</v>
      </c>
      <c r="E19" s="46"/>
      <c r="F19" s="50"/>
      <c r="H19" s="51"/>
    </row>
    <row r="20" spans="1:8" x14ac:dyDescent="0.3">
      <c r="A20" s="6" t="s">
        <v>254</v>
      </c>
      <c r="B20" s="8" t="s">
        <v>93</v>
      </c>
      <c r="C20" s="7">
        <v>-9.5609805999999971</v>
      </c>
      <c r="D20" s="7">
        <v>9.2266746999999985</v>
      </c>
      <c r="E20" s="46"/>
      <c r="F20" s="50"/>
      <c r="H20" s="51"/>
    </row>
    <row r="21" spans="1:8" x14ac:dyDescent="0.3">
      <c r="A21" s="26" t="s">
        <v>47</v>
      </c>
      <c r="B21" s="27" t="s">
        <v>44</v>
      </c>
      <c r="C21" s="9">
        <v>-14.786709</v>
      </c>
      <c r="D21" s="9">
        <v>31.908379</v>
      </c>
      <c r="E21" s="46"/>
      <c r="F21" s="50"/>
      <c r="H21" s="51"/>
    </row>
    <row r="22" spans="1:8" x14ac:dyDescent="0.3">
      <c r="A22" s="6" t="s">
        <v>30</v>
      </c>
      <c r="B22" s="8" t="s">
        <v>25</v>
      </c>
      <c r="C22" s="7">
        <v>3.8475920000000001</v>
      </c>
      <c r="D22" s="7">
        <v>-2.170061</v>
      </c>
      <c r="E22" s="46"/>
      <c r="F22" s="50"/>
      <c r="H22" s="51"/>
    </row>
    <row r="23" spans="1:8" x14ac:dyDescent="0.3">
      <c r="A23" s="26" t="s">
        <v>34</v>
      </c>
      <c r="B23" s="27" t="s">
        <v>32</v>
      </c>
      <c r="C23" s="9">
        <v>-9.736562000000001</v>
      </c>
      <c r="D23" s="9">
        <v>31.644891000000001</v>
      </c>
      <c r="E23" s="46"/>
      <c r="F23" s="50"/>
      <c r="H23" s="51"/>
    </row>
    <row r="24" spans="1:8" x14ac:dyDescent="0.3">
      <c r="A24" s="6" t="s">
        <v>51</v>
      </c>
      <c r="B24" s="8" t="s">
        <v>49</v>
      </c>
      <c r="C24" s="7">
        <v>-18.541594100000001</v>
      </c>
      <c r="D24" s="7">
        <v>27.986349199999999</v>
      </c>
      <c r="E24" s="46"/>
      <c r="F24" s="50"/>
      <c r="H24" s="51"/>
    </row>
    <row r="25" spans="1:8" x14ac:dyDescent="0.3">
      <c r="A25" s="26" t="s">
        <v>41</v>
      </c>
      <c r="B25" s="27" t="s">
        <v>39</v>
      </c>
      <c r="C25" s="9">
        <v>11.856851000000001</v>
      </c>
      <c r="D25" s="9">
        <v>-3.8785180000000001</v>
      </c>
      <c r="E25" s="46"/>
      <c r="F25" s="50"/>
      <c r="H25" s="51"/>
    </row>
    <row r="26" spans="1:8" x14ac:dyDescent="0.3">
      <c r="A26" s="6" t="s">
        <v>62</v>
      </c>
      <c r="B26" s="8" t="s">
        <v>53</v>
      </c>
      <c r="C26" s="7">
        <v>4.6217195000000002</v>
      </c>
      <c r="D26" s="7">
        <v>-5.4977165000000001</v>
      </c>
      <c r="E26" s="46"/>
      <c r="F26" s="50"/>
      <c r="H26" s="51"/>
    </row>
    <row r="27" spans="1:8" x14ac:dyDescent="0.3">
      <c r="A27" s="26" t="s">
        <v>29</v>
      </c>
      <c r="B27" s="27" t="s">
        <v>24</v>
      </c>
      <c r="C27" s="9">
        <v>8.8758320000000008</v>
      </c>
      <c r="D27" s="9">
        <v>3.5491100000000002</v>
      </c>
      <c r="E27" s="46"/>
      <c r="F27" s="50"/>
      <c r="H27" s="51"/>
    </row>
    <row r="28" spans="1:8" x14ac:dyDescent="0.3">
      <c r="A28" s="6" t="s">
        <v>67</v>
      </c>
      <c r="B28" s="8" t="s">
        <v>61</v>
      </c>
      <c r="C28" s="7">
        <v>-4.1454430000000002</v>
      </c>
      <c r="D28" s="7">
        <v>3.2077439999999999</v>
      </c>
      <c r="E28" s="46"/>
      <c r="F28" s="50"/>
      <c r="H28" s="51"/>
    </row>
    <row r="29" spans="1:8" x14ac:dyDescent="0.3">
      <c r="A29" s="26" t="s">
        <v>48</v>
      </c>
      <c r="B29" s="27" t="s">
        <v>45</v>
      </c>
      <c r="C29" s="9">
        <v>-8.6142459999999996</v>
      </c>
      <c r="D29" s="9">
        <v>10.066791</v>
      </c>
      <c r="E29" s="46"/>
      <c r="F29" s="50"/>
      <c r="H29" s="51"/>
    </row>
    <row r="30" spans="1:8" x14ac:dyDescent="0.3">
      <c r="A30" s="6" t="s">
        <v>46</v>
      </c>
      <c r="B30" s="8" t="s">
        <v>43</v>
      </c>
      <c r="C30" s="7">
        <v>2.3584239999999999</v>
      </c>
      <c r="D30" s="7">
        <v>3.8390439999999999</v>
      </c>
      <c r="E30" s="46"/>
      <c r="F30" s="50"/>
      <c r="H30" s="51"/>
    </row>
    <row r="31" spans="1:8" ht="15" thickBot="1" x14ac:dyDescent="0.35">
      <c r="A31" s="26" t="s">
        <v>63</v>
      </c>
      <c r="B31" s="27" t="s">
        <v>55</v>
      </c>
      <c r="C31" s="9">
        <v>29.776855999999999</v>
      </c>
      <c r="D31" s="9">
        <v>-18.285778000000001</v>
      </c>
      <c r="E31" s="46"/>
      <c r="F31" s="50"/>
      <c r="H31" s="51"/>
    </row>
    <row r="32" spans="1:8" ht="21" customHeight="1" thickBot="1" x14ac:dyDescent="0.35">
      <c r="A32" s="71" t="s">
        <v>68</v>
      </c>
      <c r="B32" s="72"/>
      <c r="C32" s="28">
        <f>SUM(C2:C31)</f>
        <v>27.020039564099989</v>
      </c>
      <c r="D32" s="28">
        <f>SUM(D2:D31)</f>
        <v>103.67152505269999</v>
      </c>
    </row>
    <row r="34" spans="1:7" x14ac:dyDescent="0.3">
      <c r="A34" s="12" t="s">
        <v>69</v>
      </c>
      <c r="B34" s="64"/>
      <c r="C34" s="64"/>
      <c r="D34" s="64"/>
      <c r="E34" s="64"/>
      <c r="F34" s="64"/>
      <c r="G34" s="64"/>
    </row>
    <row r="35" spans="1:7" x14ac:dyDescent="0.3">
      <c r="A35" s="12" t="s">
        <v>84</v>
      </c>
    </row>
    <row r="36" spans="1:7" x14ac:dyDescent="0.3">
      <c r="A36" s="12" t="s">
        <v>85</v>
      </c>
    </row>
    <row r="37" spans="1:7" x14ac:dyDescent="0.3">
      <c r="A37" s="12" t="s">
        <v>77</v>
      </c>
    </row>
  </sheetData>
  <mergeCells count="1">
    <mergeCell ref="A32:B3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J109"/>
  <sheetViews>
    <sheetView showGridLines="0" zoomScaleNormal="100" workbookViewId="0"/>
  </sheetViews>
  <sheetFormatPr defaultRowHeight="14.4" x14ac:dyDescent="0.3"/>
  <cols>
    <col min="1" max="1" width="51.77734375" customWidth="1"/>
    <col min="2" max="2" width="8.5546875" customWidth="1"/>
    <col min="3" max="3" width="14.5546875" customWidth="1"/>
    <col min="4" max="4" width="17.44140625" customWidth="1"/>
    <col min="5" max="5" width="22.5546875" customWidth="1"/>
    <col min="6" max="6" width="31.5546875" bestFit="1" customWidth="1"/>
    <col min="7" max="7" width="16.21875" bestFit="1" customWidth="1"/>
    <col min="8" max="8" width="12.5546875" bestFit="1" customWidth="1"/>
  </cols>
  <sheetData>
    <row r="1" spans="1:10" ht="55.2" x14ac:dyDescent="0.3">
      <c r="A1" s="38" t="str">
        <f>CONCATENATE("100 Most Traded Stocks YTD - ",'Weekly Top 10'!$C$5)</f>
        <v>100 Most Traded Stocks YTD - Week of 4 September 2023</v>
      </c>
      <c r="B1" s="21" t="s">
        <v>1</v>
      </c>
      <c r="C1" s="61" t="s">
        <v>105</v>
      </c>
      <c r="D1" s="22" t="s">
        <v>104</v>
      </c>
      <c r="E1" s="22" t="s">
        <v>106</v>
      </c>
      <c r="F1" s="22" t="s">
        <v>107</v>
      </c>
      <c r="H1" s="50"/>
    </row>
    <row r="2" spans="1:10" x14ac:dyDescent="0.3">
      <c r="A2" s="23" t="s">
        <v>27</v>
      </c>
      <c r="B2" s="24" t="s">
        <v>22</v>
      </c>
      <c r="C2" s="25">
        <v>127.5176024590059</v>
      </c>
      <c r="D2" s="25">
        <v>-999.23979199999997</v>
      </c>
      <c r="E2" s="25">
        <v>19.282554999999999</v>
      </c>
      <c r="F2" s="25" t="s">
        <v>14</v>
      </c>
      <c r="H2" s="51"/>
      <c r="J2" s="51"/>
    </row>
    <row r="3" spans="1:10" x14ac:dyDescent="0.3">
      <c r="A3" s="26" t="s">
        <v>29</v>
      </c>
      <c r="B3" s="27" t="s">
        <v>24</v>
      </c>
      <c r="C3" s="9">
        <v>84.671485954883039</v>
      </c>
      <c r="D3" s="9">
        <v>-635.75832000000003</v>
      </c>
      <c r="E3" s="9">
        <v>8.8758320000000008</v>
      </c>
      <c r="F3" s="9" t="s">
        <v>14</v>
      </c>
      <c r="H3" s="51"/>
      <c r="J3" s="51"/>
    </row>
    <row r="4" spans="1:10" x14ac:dyDescent="0.3">
      <c r="A4" s="6" t="s">
        <v>251</v>
      </c>
      <c r="B4" s="8" t="s">
        <v>23</v>
      </c>
      <c r="C4" s="7">
        <v>62.232870668654968</v>
      </c>
      <c r="D4" s="7">
        <v>-20.938012000000001</v>
      </c>
      <c r="E4" s="7">
        <v>10.971238</v>
      </c>
      <c r="F4" s="7" t="s">
        <v>14</v>
      </c>
      <c r="H4" s="51"/>
      <c r="J4" s="51"/>
    </row>
    <row r="5" spans="1:10" x14ac:dyDescent="0.3">
      <c r="A5" s="26" t="s">
        <v>51</v>
      </c>
      <c r="B5" s="27" t="s">
        <v>49</v>
      </c>
      <c r="C5" s="9">
        <v>50.417387971169589</v>
      </c>
      <c r="D5" s="9">
        <v>-295.88827989999999</v>
      </c>
      <c r="E5" s="9">
        <v>-18.541594100000001</v>
      </c>
      <c r="F5" s="9" t="s">
        <v>244</v>
      </c>
      <c r="H5" s="51"/>
      <c r="J5" s="51"/>
    </row>
    <row r="6" spans="1:10" x14ac:dyDescent="0.3">
      <c r="A6" s="6" t="s">
        <v>34</v>
      </c>
      <c r="B6" s="8" t="s">
        <v>32</v>
      </c>
      <c r="C6" s="7">
        <v>47.833626932514626</v>
      </c>
      <c r="D6" s="7">
        <v>56.210771999999999</v>
      </c>
      <c r="E6" s="7">
        <v>-9.7365619999999993</v>
      </c>
      <c r="F6" s="7" t="s">
        <v>15</v>
      </c>
      <c r="H6" s="51"/>
      <c r="J6" s="51"/>
    </row>
    <row r="7" spans="1:10" x14ac:dyDescent="0.3">
      <c r="A7" s="26" t="s">
        <v>254</v>
      </c>
      <c r="B7" s="27" t="s">
        <v>93</v>
      </c>
      <c r="C7" s="9">
        <v>43.747388370818712</v>
      </c>
      <c r="D7" s="9">
        <v>200.42342219999998</v>
      </c>
      <c r="E7" s="9">
        <v>-9.5609805999999988</v>
      </c>
      <c r="F7" s="9" t="s">
        <v>15</v>
      </c>
      <c r="H7" s="51"/>
      <c r="J7" s="51"/>
    </row>
    <row r="8" spans="1:10" x14ac:dyDescent="0.3">
      <c r="A8" s="6" t="s">
        <v>162</v>
      </c>
      <c r="B8" s="8" t="s">
        <v>58</v>
      </c>
      <c r="C8" s="7">
        <v>35.107836933157891</v>
      </c>
      <c r="D8" s="7">
        <v>-95.589428999999996</v>
      </c>
      <c r="E8" s="7">
        <v>-1.4288289999999999</v>
      </c>
      <c r="F8" s="54" t="s">
        <v>18</v>
      </c>
      <c r="H8" s="51"/>
      <c r="J8" s="51"/>
    </row>
    <row r="9" spans="1:10" x14ac:dyDescent="0.3">
      <c r="A9" s="26" t="s">
        <v>163</v>
      </c>
      <c r="B9" s="27" t="s">
        <v>55</v>
      </c>
      <c r="C9" s="9">
        <v>35.075592345450289</v>
      </c>
      <c r="D9" s="9">
        <v>47.908146000000002</v>
      </c>
      <c r="E9" s="9">
        <v>29.776855999999999</v>
      </c>
      <c r="F9" s="9" t="s">
        <v>15</v>
      </c>
      <c r="H9" s="51"/>
      <c r="J9" s="51"/>
    </row>
    <row r="10" spans="1:10" x14ac:dyDescent="0.3">
      <c r="A10" s="6" t="s">
        <v>165</v>
      </c>
      <c r="B10" s="8" t="s">
        <v>26</v>
      </c>
      <c r="C10" s="7">
        <v>32.077116666374273</v>
      </c>
      <c r="D10" s="7">
        <v>12.950628</v>
      </c>
      <c r="E10" s="7">
        <v>1.149713</v>
      </c>
      <c r="F10" s="7" t="s">
        <v>18</v>
      </c>
      <c r="H10" s="51"/>
      <c r="J10" s="51"/>
    </row>
    <row r="11" spans="1:10" x14ac:dyDescent="0.3">
      <c r="A11" s="26" t="s">
        <v>164</v>
      </c>
      <c r="B11" s="27" t="s">
        <v>37</v>
      </c>
      <c r="C11" s="9">
        <v>31.77315787690058</v>
      </c>
      <c r="D11" s="9">
        <v>80.908645000000007</v>
      </c>
      <c r="E11" s="9">
        <v>5.2220129999999996</v>
      </c>
      <c r="F11" s="9" t="s">
        <v>11</v>
      </c>
      <c r="H11" s="51"/>
      <c r="J11" s="51"/>
    </row>
    <row r="12" spans="1:10" x14ac:dyDescent="0.3">
      <c r="A12" s="6" t="s">
        <v>166</v>
      </c>
      <c r="B12" s="8" t="s">
        <v>33</v>
      </c>
      <c r="C12" s="7">
        <v>28.47637579707602</v>
      </c>
      <c r="D12" s="7">
        <v>-177.392248</v>
      </c>
      <c r="E12" s="7">
        <v>1.543118</v>
      </c>
      <c r="F12" s="7" t="s">
        <v>15</v>
      </c>
      <c r="H12" s="51"/>
      <c r="J12" s="51"/>
    </row>
    <row r="13" spans="1:10" x14ac:dyDescent="0.3">
      <c r="A13" s="26" t="s">
        <v>173</v>
      </c>
      <c r="B13" s="27" t="s">
        <v>44</v>
      </c>
      <c r="C13" s="9">
        <v>27.954107768713449</v>
      </c>
      <c r="D13" s="9">
        <v>165.531215</v>
      </c>
      <c r="E13" s="9">
        <v>-14.786709000000009</v>
      </c>
      <c r="F13" s="9" t="s">
        <v>20</v>
      </c>
      <c r="H13" s="51"/>
      <c r="J13" s="51"/>
    </row>
    <row r="14" spans="1:10" x14ac:dyDescent="0.3">
      <c r="A14" s="6" t="s">
        <v>169</v>
      </c>
      <c r="B14" s="8" t="s">
        <v>87</v>
      </c>
      <c r="C14" s="7">
        <v>24.43625750555556</v>
      </c>
      <c r="D14" s="7">
        <v>-94.989608000000004</v>
      </c>
      <c r="E14" s="7">
        <v>-1.905548</v>
      </c>
      <c r="F14" s="7" t="s">
        <v>14</v>
      </c>
      <c r="H14" s="51"/>
      <c r="J14" s="51"/>
    </row>
    <row r="15" spans="1:10" x14ac:dyDescent="0.3">
      <c r="A15" s="26" t="s">
        <v>167</v>
      </c>
      <c r="B15" s="27" t="s">
        <v>40</v>
      </c>
      <c r="C15" s="9">
        <v>23.15465924011696</v>
      </c>
      <c r="D15" s="9">
        <v>1.956126</v>
      </c>
      <c r="E15" s="9">
        <v>-2.025388</v>
      </c>
      <c r="F15" s="9" t="s">
        <v>18</v>
      </c>
      <c r="H15" s="51"/>
      <c r="J15" s="51"/>
    </row>
    <row r="16" spans="1:10" x14ac:dyDescent="0.3">
      <c r="A16" s="6" t="s">
        <v>168</v>
      </c>
      <c r="B16" s="8" t="s">
        <v>43</v>
      </c>
      <c r="C16" s="7">
        <v>23.153194720760229</v>
      </c>
      <c r="D16" s="7">
        <v>53.640768000000001</v>
      </c>
      <c r="E16" s="7">
        <v>2.3584239999999999</v>
      </c>
      <c r="F16" s="7" t="s">
        <v>12</v>
      </c>
      <c r="H16" s="51"/>
      <c r="J16" s="51"/>
    </row>
    <row r="17" spans="1:10" x14ac:dyDescent="0.3">
      <c r="A17" s="26" t="s">
        <v>177</v>
      </c>
      <c r="B17" s="27" t="s">
        <v>45</v>
      </c>
      <c r="C17" s="9">
        <v>20.17375926187135</v>
      </c>
      <c r="D17" s="9">
        <v>-276.80876499999999</v>
      </c>
      <c r="E17" s="9">
        <v>-8.6142459999999961</v>
      </c>
      <c r="F17" s="9" t="s">
        <v>245</v>
      </c>
      <c r="H17" s="51"/>
      <c r="J17" s="51"/>
    </row>
    <row r="18" spans="1:10" x14ac:dyDescent="0.3">
      <c r="A18" s="6" t="s">
        <v>171</v>
      </c>
      <c r="B18" s="8" t="s">
        <v>54</v>
      </c>
      <c r="C18" s="7">
        <v>17.36354538381914</v>
      </c>
      <c r="D18" s="7">
        <v>-17.312065310800001</v>
      </c>
      <c r="E18" s="7">
        <v>2.7892675888</v>
      </c>
      <c r="F18" s="7" t="s">
        <v>15</v>
      </c>
      <c r="H18" s="51"/>
      <c r="J18" s="51"/>
    </row>
    <row r="19" spans="1:10" x14ac:dyDescent="0.3">
      <c r="A19" s="26" t="s">
        <v>30</v>
      </c>
      <c r="B19" s="27" t="s">
        <v>25</v>
      </c>
      <c r="C19" s="9">
        <v>16.638427413099411</v>
      </c>
      <c r="D19" s="9">
        <v>110.302164</v>
      </c>
      <c r="E19" s="9">
        <v>3.8475920000000001</v>
      </c>
      <c r="F19" s="9" t="s">
        <v>14</v>
      </c>
      <c r="H19" s="51"/>
      <c r="J19" s="51"/>
    </row>
    <row r="20" spans="1:10" x14ac:dyDescent="0.3">
      <c r="A20" s="6" t="s">
        <v>41</v>
      </c>
      <c r="B20" s="8" t="s">
        <v>39</v>
      </c>
      <c r="C20" s="7">
        <v>15.982251206842101</v>
      </c>
      <c r="D20" s="7">
        <v>109.142509</v>
      </c>
      <c r="E20" s="7">
        <v>11.856851000000001</v>
      </c>
      <c r="F20" s="7" t="s">
        <v>15</v>
      </c>
      <c r="H20" s="51"/>
      <c r="J20" s="51"/>
    </row>
    <row r="21" spans="1:10" x14ac:dyDescent="0.3">
      <c r="A21" s="26" t="s">
        <v>172</v>
      </c>
      <c r="B21" s="27" t="s">
        <v>53</v>
      </c>
      <c r="C21" s="9">
        <v>15.750653734152051</v>
      </c>
      <c r="D21" s="9">
        <v>-49.095478</v>
      </c>
      <c r="E21" s="9">
        <v>4.6217195000000002</v>
      </c>
      <c r="F21" s="9" t="s">
        <v>12</v>
      </c>
      <c r="H21" s="51"/>
      <c r="J21" s="51"/>
    </row>
    <row r="22" spans="1:10" x14ac:dyDescent="0.3">
      <c r="A22" s="6" t="s">
        <v>36</v>
      </c>
      <c r="B22" s="8" t="s">
        <v>31</v>
      </c>
      <c r="C22" s="7">
        <v>15.463355463508769</v>
      </c>
      <c r="D22" s="7">
        <v>-86.731578999999996</v>
      </c>
      <c r="E22" s="7">
        <v>-5.5051310000000004</v>
      </c>
      <c r="F22" s="7" t="s">
        <v>15</v>
      </c>
      <c r="H22" s="51"/>
      <c r="J22" s="51"/>
    </row>
    <row r="23" spans="1:10" x14ac:dyDescent="0.3">
      <c r="A23" s="26" t="s">
        <v>170</v>
      </c>
      <c r="B23" s="27" t="s">
        <v>60</v>
      </c>
      <c r="C23" s="9">
        <v>14.99969347497076</v>
      </c>
      <c r="D23" s="9">
        <v>-85.776191999999995</v>
      </c>
      <c r="E23" s="9">
        <v>-8.1658519999999992</v>
      </c>
      <c r="F23" s="9" t="s">
        <v>18</v>
      </c>
      <c r="H23" s="51"/>
      <c r="J23" s="51"/>
    </row>
    <row r="24" spans="1:10" x14ac:dyDescent="0.3">
      <c r="A24" s="6" t="s">
        <v>175</v>
      </c>
      <c r="B24" s="8" t="s">
        <v>56</v>
      </c>
      <c r="C24" s="7">
        <v>13.100625815263159</v>
      </c>
      <c r="D24" s="7">
        <v>-155.10906600000001</v>
      </c>
      <c r="E24" s="7">
        <v>1.588625</v>
      </c>
      <c r="F24" s="7" t="s">
        <v>17</v>
      </c>
      <c r="H24" s="51"/>
      <c r="J24" s="51"/>
    </row>
    <row r="25" spans="1:10" x14ac:dyDescent="0.3">
      <c r="A25" s="26" t="s">
        <v>174</v>
      </c>
      <c r="B25" s="27" t="s">
        <v>50</v>
      </c>
      <c r="C25" s="9">
        <v>12.76454039846784</v>
      </c>
      <c r="D25" s="9">
        <v>19.009053999999999</v>
      </c>
      <c r="E25" s="9">
        <v>2.4844430000000002</v>
      </c>
      <c r="F25" s="9" t="s">
        <v>11</v>
      </c>
      <c r="H25" s="51"/>
      <c r="J25" s="51"/>
    </row>
    <row r="26" spans="1:10" x14ac:dyDescent="0.3">
      <c r="A26" s="6" t="s">
        <v>176</v>
      </c>
      <c r="B26" s="8" t="s">
        <v>82</v>
      </c>
      <c r="C26" s="7">
        <v>11.33283207304094</v>
      </c>
      <c r="D26" s="7">
        <v>-41.837547999999998</v>
      </c>
      <c r="E26" s="7">
        <v>-0.50132200000000005</v>
      </c>
      <c r="F26" s="7" t="s">
        <v>18</v>
      </c>
      <c r="H26" s="51"/>
      <c r="J26" s="51"/>
    </row>
    <row r="27" spans="1:10" x14ac:dyDescent="0.3">
      <c r="A27" s="26" t="s">
        <v>180</v>
      </c>
      <c r="B27" s="27" t="s">
        <v>78</v>
      </c>
      <c r="C27" s="9">
        <v>10.2227915148538</v>
      </c>
      <c r="D27" s="9">
        <v>-17.893325999999998</v>
      </c>
      <c r="E27" s="9">
        <v>3.174442</v>
      </c>
      <c r="F27" s="9" t="s">
        <v>18</v>
      </c>
      <c r="H27" s="51"/>
      <c r="J27" s="51"/>
    </row>
    <row r="28" spans="1:10" x14ac:dyDescent="0.3">
      <c r="A28" s="6" t="s">
        <v>179</v>
      </c>
      <c r="B28" s="8" t="s">
        <v>80</v>
      </c>
      <c r="C28" s="7">
        <v>10.20498768871345</v>
      </c>
      <c r="D28" s="7">
        <v>49.634120000000003</v>
      </c>
      <c r="E28" s="7">
        <v>-0.62653300000000001</v>
      </c>
      <c r="F28" s="7" t="s">
        <v>18</v>
      </c>
      <c r="H28" s="51"/>
      <c r="J28" s="51"/>
    </row>
    <row r="29" spans="1:10" x14ac:dyDescent="0.3">
      <c r="A29" s="26" t="s">
        <v>181</v>
      </c>
      <c r="B29" s="27" t="s">
        <v>57</v>
      </c>
      <c r="C29" s="9">
        <v>10.174867698079691</v>
      </c>
      <c r="D29" s="9">
        <v>-21.9706959116</v>
      </c>
      <c r="E29" s="9">
        <v>2.8843842417000003</v>
      </c>
      <c r="F29" s="9" t="s">
        <v>17</v>
      </c>
      <c r="H29" s="51"/>
      <c r="J29" s="51"/>
    </row>
    <row r="30" spans="1:10" x14ac:dyDescent="0.3">
      <c r="A30" s="6" t="s">
        <v>178</v>
      </c>
      <c r="B30" s="8" t="s">
        <v>94</v>
      </c>
      <c r="C30" s="7">
        <v>9.563353620409357</v>
      </c>
      <c r="D30" s="7">
        <v>-161.35521399999999</v>
      </c>
      <c r="E30" s="7">
        <v>1.962982</v>
      </c>
      <c r="F30" s="7" t="s">
        <v>18</v>
      </c>
      <c r="H30" s="51"/>
      <c r="J30" s="51"/>
    </row>
    <row r="31" spans="1:10" x14ac:dyDescent="0.3">
      <c r="A31" s="26" t="s">
        <v>182</v>
      </c>
      <c r="B31" s="27" t="s">
        <v>115</v>
      </c>
      <c r="C31" s="9">
        <v>8.5683455456140347</v>
      </c>
      <c r="D31" s="9">
        <v>11.643908</v>
      </c>
      <c r="E31" s="9">
        <v>3.7293769999999999</v>
      </c>
      <c r="F31" s="9" t="s">
        <v>15</v>
      </c>
      <c r="H31" s="51"/>
      <c r="J31" s="51"/>
    </row>
    <row r="32" spans="1:10" x14ac:dyDescent="0.3">
      <c r="A32" s="6" t="s">
        <v>114</v>
      </c>
      <c r="B32" s="8" t="s">
        <v>109</v>
      </c>
      <c r="C32" s="7">
        <v>7.6895321125730991</v>
      </c>
      <c r="D32" s="7">
        <v>-34.634219000000002</v>
      </c>
      <c r="E32" s="7">
        <v>3.3234810000000001</v>
      </c>
      <c r="F32" s="7" t="s">
        <v>18</v>
      </c>
      <c r="H32" s="51"/>
      <c r="J32" s="51"/>
    </row>
    <row r="33" spans="1:10" x14ac:dyDescent="0.3">
      <c r="A33" s="26" t="s">
        <v>184</v>
      </c>
      <c r="B33" s="27" t="s">
        <v>61</v>
      </c>
      <c r="C33" s="9">
        <v>7.4057131644444434</v>
      </c>
      <c r="D33" s="9">
        <v>13.02716</v>
      </c>
      <c r="E33" s="9">
        <v>-4.1454430000000002</v>
      </c>
      <c r="F33" s="9" t="s">
        <v>17</v>
      </c>
      <c r="H33" s="51"/>
      <c r="J33" s="51"/>
    </row>
    <row r="34" spans="1:10" x14ac:dyDescent="0.3">
      <c r="A34" s="6" t="s">
        <v>185</v>
      </c>
      <c r="B34" s="8" t="s">
        <v>97</v>
      </c>
      <c r="C34" s="7">
        <v>7.2294491147368429</v>
      </c>
      <c r="D34" s="7">
        <v>-25.088289</v>
      </c>
      <c r="E34" s="7">
        <v>-4.3933</v>
      </c>
      <c r="F34" s="7" t="s">
        <v>18</v>
      </c>
      <c r="H34" s="51"/>
      <c r="J34" s="51"/>
    </row>
    <row r="35" spans="1:10" x14ac:dyDescent="0.3">
      <c r="A35" s="26" t="s">
        <v>183</v>
      </c>
      <c r="B35" s="27" t="s">
        <v>255</v>
      </c>
      <c r="C35" s="9">
        <v>6.2765865529239768</v>
      </c>
      <c r="D35" s="9">
        <v>29.362152999999999</v>
      </c>
      <c r="E35" s="9">
        <v>3.6739799999999998</v>
      </c>
      <c r="F35" s="9" t="s">
        <v>245</v>
      </c>
      <c r="H35" s="51"/>
      <c r="J35" s="51"/>
    </row>
    <row r="36" spans="1:10" x14ac:dyDescent="0.3">
      <c r="A36" s="6" t="s">
        <v>188</v>
      </c>
      <c r="B36" s="8" t="s">
        <v>95</v>
      </c>
      <c r="C36" s="7">
        <v>6.1681729926409359</v>
      </c>
      <c r="D36" s="7">
        <v>33.316613094200001</v>
      </c>
      <c r="E36" s="7">
        <v>-0.820133</v>
      </c>
      <c r="F36" s="7" t="s">
        <v>245</v>
      </c>
      <c r="H36" s="51"/>
      <c r="J36" s="51"/>
    </row>
    <row r="37" spans="1:10" x14ac:dyDescent="0.3">
      <c r="A37" s="26" t="s">
        <v>190</v>
      </c>
      <c r="B37" s="27" t="s">
        <v>118</v>
      </c>
      <c r="C37" s="9">
        <v>5.828122252865497</v>
      </c>
      <c r="D37" s="9">
        <v>5.0537640000000019</v>
      </c>
      <c r="E37" s="9">
        <v>0.937052</v>
      </c>
      <c r="F37" s="9" t="s">
        <v>18</v>
      </c>
      <c r="H37" s="51"/>
      <c r="J37" s="51"/>
    </row>
    <row r="38" spans="1:10" x14ac:dyDescent="0.3">
      <c r="A38" s="6" t="s">
        <v>186</v>
      </c>
      <c r="B38" s="8" t="s">
        <v>116</v>
      </c>
      <c r="C38" s="7">
        <v>5.1389275413801165</v>
      </c>
      <c r="D38" s="7">
        <v>-85.637601500000002</v>
      </c>
      <c r="E38" s="7">
        <v>-7.0756500000000013</v>
      </c>
      <c r="F38" s="7" t="s">
        <v>18</v>
      </c>
      <c r="H38" s="51"/>
      <c r="J38" s="51"/>
    </row>
    <row r="39" spans="1:10" x14ac:dyDescent="0.3">
      <c r="A39" s="26" t="s">
        <v>191</v>
      </c>
      <c r="B39" s="27" t="s">
        <v>119</v>
      </c>
      <c r="C39" s="9">
        <v>4.6793719774269018</v>
      </c>
      <c r="D39" s="9">
        <v>2.392741</v>
      </c>
      <c r="E39" s="9">
        <v>1.7254160000000001</v>
      </c>
      <c r="F39" s="9" t="s">
        <v>245</v>
      </c>
      <c r="H39" s="51"/>
      <c r="J39" s="51"/>
    </row>
    <row r="40" spans="1:10" x14ac:dyDescent="0.3">
      <c r="A40" s="6" t="s">
        <v>187</v>
      </c>
      <c r="B40" s="8" t="s">
        <v>117</v>
      </c>
      <c r="C40" s="7">
        <v>4.459719973099415</v>
      </c>
      <c r="D40" s="7">
        <v>26.454995</v>
      </c>
      <c r="E40" s="7">
        <v>-1.434015</v>
      </c>
      <c r="F40" s="7" t="s">
        <v>12</v>
      </c>
      <c r="H40" s="51"/>
      <c r="J40" s="51"/>
    </row>
    <row r="41" spans="1:10" x14ac:dyDescent="0.3">
      <c r="A41" s="26" t="s">
        <v>192</v>
      </c>
      <c r="B41" s="27" t="s">
        <v>120</v>
      </c>
      <c r="C41" s="9">
        <v>3.9393318175438599</v>
      </c>
      <c r="D41" s="9">
        <v>-14.4593665</v>
      </c>
      <c r="E41" s="9">
        <v>0.14931</v>
      </c>
      <c r="F41" s="9" t="s">
        <v>245</v>
      </c>
      <c r="H41" s="51"/>
      <c r="J41" s="51"/>
    </row>
    <row r="42" spans="1:10" x14ac:dyDescent="0.3">
      <c r="A42" s="6" t="s">
        <v>189</v>
      </c>
      <c r="B42" s="8" t="s">
        <v>100</v>
      </c>
      <c r="C42" s="7">
        <v>3.7874838040935672</v>
      </c>
      <c r="D42" s="7">
        <v>-4.9317440000000001</v>
      </c>
      <c r="E42" s="7">
        <v>8.2553000000000001E-2</v>
      </c>
      <c r="F42" s="7" t="s">
        <v>15</v>
      </c>
      <c r="H42" s="51"/>
      <c r="J42" s="51"/>
    </row>
    <row r="43" spans="1:10" x14ac:dyDescent="0.3">
      <c r="A43" s="26" t="s">
        <v>195</v>
      </c>
      <c r="B43" s="27" t="s">
        <v>122</v>
      </c>
      <c r="C43" s="9">
        <v>3.6165189488888889</v>
      </c>
      <c r="D43" s="9">
        <v>1.724761</v>
      </c>
      <c r="E43" s="9">
        <v>0.89119400000000004</v>
      </c>
      <c r="F43" s="9" t="s">
        <v>12</v>
      </c>
      <c r="H43" s="51"/>
      <c r="J43" s="51"/>
    </row>
    <row r="44" spans="1:10" x14ac:dyDescent="0.3">
      <c r="A44" s="6" t="s">
        <v>194</v>
      </c>
      <c r="B44" s="8" t="s">
        <v>101</v>
      </c>
      <c r="C44" s="7">
        <v>3.42142378128655</v>
      </c>
      <c r="D44" s="7">
        <v>-11.5784015</v>
      </c>
      <c r="E44" s="7">
        <v>-0.232735</v>
      </c>
      <c r="F44" s="7" t="s">
        <v>18</v>
      </c>
      <c r="H44" s="51"/>
      <c r="J44" s="51"/>
    </row>
    <row r="45" spans="1:10" x14ac:dyDescent="0.3">
      <c r="A45" s="26" t="s">
        <v>110</v>
      </c>
      <c r="B45" s="27" t="s">
        <v>111</v>
      </c>
      <c r="C45" s="9">
        <v>3.3751207050292389</v>
      </c>
      <c r="D45" s="9">
        <v>11.970349499999999</v>
      </c>
      <c r="E45" s="9">
        <v>0.15087500000000001</v>
      </c>
      <c r="F45" s="9" t="s">
        <v>18</v>
      </c>
      <c r="H45" s="51"/>
      <c r="J45" s="51"/>
    </row>
    <row r="46" spans="1:10" x14ac:dyDescent="0.3">
      <c r="A46" s="6" t="s">
        <v>203</v>
      </c>
      <c r="B46" s="8" t="s">
        <v>112</v>
      </c>
      <c r="C46" s="7">
        <v>3.33464407508772</v>
      </c>
      <c r="D46" s="7">
        <v>-34.514314399999996</v>
      </c>
      <c r="E46" s="7">
        <v>-1.7961704999999999</v>
      </c>
      <c r="F46" s="7" t="s">
        <v>20</v>
      </c>
      <c r="H46" s="51"/>
      <c r="J46" s="51"/>
    </row>
    <row r="47" spans="1:10" x14ac:dyDescent="0.3">
      <c r="A47" s="26" t="s">
        <v>193</v>
      </c>
      <c r="B47" s="27" t="s">
        <v>121</v>
      </c>
      <c r="C47" s="9">
        <v>3.3205026783625731</v>
      </c>
      <c r="D47" s="9">
        <v>22.095941</v>
      </c>
      <c r="E47" s="9">
        <v>2.3936609999999998</v>
      </c>
      <c r="F47" s="9" t="s">
        <v>14</v>
      </c>
      <c r="H47" s="51"/>
      <c r="J47" s="51"/>
    </row>
    <row r="48" spans="1:10" x14ac:dyDescent="0.3">
      <c r="A48" s="6" t="s">
        <v>196</v>
      </c>
      <c r="B48" s="8" t="s">
        <v>96</v>
      </c>
      <c r="C48" s="7">
        <v>3.1641909485380117</v>
      </c>
      <c r="D48" s="7">
        <v>-13.483905</v>
      </c>
      <c r="E48" s="7">
        <v>0.76433399999999996</v>
      </c>
      <c r="F48" s="7" t="s">
        <v>12</v>
      </c>
      <c r="H48" s="51"/>
      <c r="J48" s="51"/>
    </row>
    <row r="49" spans="1:10" x14ac:dyDescent="0.3">
      <c r="A49" s="26" t="s">
        <v>103</v>
      </c>
      <c r="B49" s="27" t="s">
        <v>102</v>
      </c>
      <c r="C49" s="9">
        <v>3.0566884029239771</v>
      </c>
      <c r="D49" s="9">
        <v>-13.820459</v>
      </c>
      <c r="E49" s="9">
        <v>-0.42228300000000002</v>
      </c>
      <c r="F49" s="9" t="s">
        <v>12</v>
      </c>
      <c r="H49" s="51"/>
      <c r="J49" s="51"/>
    </row>
    <row r="50" spans="1:10" x14ac:dyDescent="0.3">
      <c r="A50" s="6" t="s">
        <v>200</v>
      </c>
      <c r="B50" s="8" t="s">
        <v>126</v>
      </c>
      <c r="C50" s="7">
        <v>2.9962116484210517</v>
      </c>
      <c r="D50" s="7">
        <v>-17.211738499999999</v>
      </c>
      <c r="E50" s="7">
        <v>-3.9044914999999998</v>
      </c>
      <c r="F50" s="7" t="s">
        <v>244</v>
      </c>
      <c r="H50" s="51"/>
      <c r="J50" s="51"/>
    </row>
    <row r="51" spans="1:10" x14ac:dyDescent="0.3">
      <c r="A51" s="26" t="s">
        <v>201</v>
      </c>
      <c r="B51" s="27" t="s">
        <v>127</v>
      </c>
      <c r="C51" s="9">
        <v>2.7531452971226322</v>
      </c>
      <c r="D51" s="9">
        <v>4.5315223430799998</v>
      </c>
      <c r="E51" s="9">
        <v>0.5336114286000001</v>
      </c>
      <c r="F51" s="9" t="s">
        <v>11</v>
      </c>
      <c r="H51" s="51"/>
      <c r="J51" s="51"/>
    </row>
    <row r="52" spans="1:10" x14ac:dyDescent="0.3">
      <c r="A52" s="6" t="s">
        <v>205</v>
      </c>
      <c r="B52" s="8" t="s">
        <v>129</v>
      </c>
      <c r="C52" s="7">
        <v>2.505356726432749</v>
      </c>
      <c r="D52" s="7">
        <v>7.2816090000000013</v>
      </c>
      <c r="E52" s="7">
        <v>1.721703</v>
      </c>
      <c r="F52" s="7" t="s">
        <v>18</v>
      </c>
      <c r="H52" s="51"/>
      <c r="J52" s="51"/>
    </row>
    <row r="53" spans="1:10" x14ac:dyDescent="0.3">
      <c r="A53" s="26" t="s">
        <v>207</v>
      </c>
      <c r="B53" s="27" t="s">
        <v>113</v>
      </c>
      <c r="C53" s="9">
        <v>2.4210925064327489</v>
      </c>
      <c r="D53" s="9">
        <v>-4.2301032000000003</v>
      </c>
      <c r="E53" s="9">
        <v>0.7734647</v>
      </c>
      <c r="F53" s="9" t="s">
        <v>247</v>
      </c>
      <c r="H53" s="51"/>
      <c r="J53" s="51"/>
    </row>
    <row r="54" spans="1:10" x14ac:dyDescent="0.3">
      <c r="A54" s="6" t="s">
        <v>198</v>
      </c>
      <c r="B54" s="8" t="s">
        <v>124</v>
      </c>
      <c r="C54" s="7">
        <v>2.2440055901754392</v>
      </c>
      <c r="D54" s="7">
        <v>10.975607999999999</v>
      </c>
      <c r="E54" s="7">
        <v>-0.806612</v>
      </c>
      <c r="F54" s="7" t="s">
        <v>246</v>
      </c>
      <c r="H54" s="51"/>
      <c r="J54" s="51"/>
    </row>
    <row r="55" spans="1:10" x14ac:dyDescent="0.3">
      <c r="A55" s="26" t="s">
        <v>208</v>
      </c>
      <c r="B55" s="27" t="s">
        <v>131</v>
      </c>
      <c r="C55" s="9">
        <v>2.1392027187134497</v>
      </c>
      <c r="D55" s="9">
        <v>-19.825012000000001</v>
      </c>
      <c r="E55" s="9">
        <v>-0.84331100000000003</v>
      </c>
      <c r="F55" s="9" t="s">
        <v>18</v>
      </c>
      <c r="H55" s="51"/>
      <c r="J55" s="51"/>
    </row>
    <row r="56" spans="1:10" x14ac:dyDescent="0.3">
      <c r="A56" s="6" t="s">
        <v>219</v>
      </c>
      <c r="B56" s="8" t="s">
        <v>141</v>
      </c>
      <c r="C56" s="7">
        <v>2.021634225730994</v>
      </c>
      <c r="D56" s="7">
        <v>14.477885000000001</v>
      </c>
      <c r="E56" s="7">
        <v>6.2091E-2</v>
      </c>
      <c r="F56" s="7" t="s">
        <v>15</v>
      </c>
      <c r="H56" s="51"/>
      <c r="J56" s="51"/>
    </row>
    <row r="57" spans="1:10" x14ac:dyDescent="0.3">
      <c r="A57" s="26" t="s">
        <v>206</v>
      </c>
      <c r="B57" s="27" t="s">
        <v>130</v>
      </c>
      <c r="C57" s="9">
        <v>1.9069533417696729</v>
      </c>
      <c r="D57" s="9">
        <v>-18.103044214800001</v>
      </c>
      <c r="E57" s="9">
        <v>-6.057601599149999</v>
      </c>
      <c r="F57" s="9" t="s">
        <v>18</v>
      </c>
      <c r="H57" s="51"/>
      <c r="J57" s="51"/>
    </row>
    <row r="58" spans="1:10" x14ac:dyDescent="0.3">
      <c r="A58" s="6" t="s">
        <v>197</v>
      </c>
      <c r="B58" s="8" t="s">
        <v>123</v>
      </c>
      <c r="C58" s="7">
        <v>1.8886912052631581</v>
      </c>
      <c r="D58" s="7">
        <v>-24.546158999999999</v>
      </c>
      <c r="E58" s="7">
        <v>-0.57699900000000004</v>
      </c>
      <c r="F58" s="7" t="s">
        <v>246</v>
      </c>
      <c r="H58" s="51"/>
      <c r="J58" s="51"/>
    </row>
    <row r="59" spans="1:10" x14ac:dyDescent="0.3">
      <c r="A59" s="26" t="s">
        <v>204</v>
      </c>
      <c r="B59" s="27" t="s">
        <v>59</v>
      </c>
      <c r="C59" s="9">
        <v>1.774064037228275</v>
      </c>
      <c r="D59" s="9">
        <v>10.5804319313</v>
      </c>
      <c r="E59" s="9">
        <v>0.44750193360000023</v>
      </c>
      <c r="F59" s="9" t="s">
        <v>12</v>
      </c>
      <c r="H59" s="51"/>
      <c r="J59" s="51"/>
    </row>
    <row r="60" spans="1:10" x14ac:dyDescent="0.3">
      <c r="A60" s="6" t="s">
        <v>218</v>
      </c>
      <c r="B60" s="8" t="s">
        <v>140</v>
      </c>
      <c r="C60" s="7">
        <v>1.731471919298246</v>
      </c>
      <c r="D60" s="7">
        <v>-4.3474930000000001</v>
      </c>
      <c r="E60" s="7">
        <v>0.168767</v>
      </c>
      <c r="F60" s="7" t="s">
        <v>18</v>
      </c>
      <c r="H60" s="51"/>
      <c r="J60" s="51"/>
    </row>
    <row r="61" spans="1:10" x14ac:dyDescent="0.3">
      <c r="A61" s="26" t="s">
        <v>199</v>
      </c>
      <c r="B61" s="27" t="s">
        <v>125</v>
      </c>
      <c r="C61" s="9">
        <v>1.7158507601754391</v>
      </c>
      <c r="D61" s="9">
        <v>21.382311999999999</v>
      </c>
      <c r="E61" s="9">
        <v>0.203211</v>
      </c>
      <c r="F61" s="9" t="s">
        <v>11</v>
      </c>
      <c r="H61" s="51"/>
      <c r="J61" s="51"/>
    </row>
    <row r="62" spans="1:10" x14ac:dyDescent="0.3">
      <c r="A62" s="6" t="s">
        <v>210</v>
      </c>
      <c r="B62" s="8" t="s">
        <v>133</v>
      </c>
      <c r="C62" s="7">
        <v>1.6218808286549711</v>
      </c>
      <c r="D62" s="7">
        <v>-16.493190999999999</v>
      </c>
      <c r="E62" s="7">
        <v>-1.1447929999999999</v>
      </c>
      <c r="F62" s="7" t="s">
        <v>18</v>
      </c>
      <c r="H62" s="51"/>
      <c r="J62" s="51"/>
    </row>
    <row r="63" spans="1:10" x14ac:dyDescent="0.3">
      <c r="A63" s="26" t="s">
        <v>202</v>
      </c>
      <c r="B63" s="27" t="s">
        <v>128</v>
      </c>
      <c r="C63" s="9">
        <v>1.608306861403509</v>
      </c>
      <c r="D63" s="9">
        <v>27.8130612</v>
      </c>
      <c r="E63" s="9">
        <v>0</v>
      </c>
      <c r="F63" s="9" t="s">
        <v>247</v>
      </c>
      <c r="H63" s="51"/>
      <c r="J63" s="51"/>
    </row>
    <row r="64" spans="1:10" x14ac:dyDescent="0.3">
      <c r="A64" s="6" t="s">
        <v>213</v>
      </c>
      <c r="B64" s="8" t="s">
        <v>135</v>
      </c>
      <c r="C64" s="7">
        <v>1.487289742690058</v>
      </c>
      <c r="D64" s="7">
        <v>8.8604970000000005</v>
      </c>
      <c r="E64" s="7">
        <v>1.5678909999999999</v>
      </c>
      <c r="F64" s="7" t="s">
        <v>245</v>
      </c>
      <c r="H64" s="51"/>
      <c r="J64" s="51"/>
    </row>
    <row r="65" spans="1:10" x14ac:dyDescent="0.3">
      <c r="A65" s="26" t="s">
        <v>214</v>
      </c>
      <c r="B65" s="27" t="s">
        <v>136</v>
      </c>
      <c r="C65" s="9">
        <v>1.468402532761512</v>
      </c>
      <c r="D65" s="9">
        <v>-28.737098644499998</v>
      </c>
      <c r="E65" s="9">
        <v>-1.8210919497</v>
      </c>
      <c r="F65" s="9" t="s">
        <v>18</v>
      </c>
      <c r="H65" s="51"/>
      <c r="J65" s="51"/>
    </row>
    <row r="66" spans="1:10" x14ac:dyDescent="0.3">
      <c r="A66" s="6" t="s">
        <v>209</v>
      </c>
      <c r="B66" s="8" t="s">
        <v>132</v>
      </c>
      <c r="C66" s="7">
        <v>1.4103999959064331</v>
      </c>
      <c r="D66" s="7">
        <v>-15.896372</v>
      </c>
      <c r="E66" s="7">
        <v>2.947E-3</v>
      </c>
      <c r="F66" s="7" t="s">
        <v>247</v>
      </c>
      <c r="H66" s="51"/>
      <c r="J66" s="51"/>
    </row>
    <row r="67" spans="1:10" x14ac:dyDescent="0.3">
      <c r="A67" s="26" t="s">
        <v>215</v>
      </c>
      <c r="B67" s="27" t="s">
        <v>137</v>
      </c>
      <c r="C67" s="9">
        <v>1.3853625526315791</v>
      </c>
      <c r="D67" s="9">
        <v>9.0189859999999999</v>
      </c>
      <c r="E67" s="9">
        <v>-0.95486099999999996</v>
      </c>
      <c r="F67" s="9" t="s">
        <v>246</v>
      </c>
      <c r="H67" s="51"/>
      <c r="J67" s="51"/>
    </row>
    <row r="68" spans="1:10" x14ac:dyDescent="0.3">
      <c r="A68" s="6" t="s">
        <v>211</v>
      </c>
      <c r="B68" s="8" t="s">
        <v>98</v>
      </c>
      <c r="C68" s="7">
        <v>1.3444328558431169</v>
      </c>
      <c r="D68" s="7">
        <v>-0.68572199346000029</v>
      </c>
      <c r="E68" s="7">
        <v>-8.7185226239999969E-2</v>
      </c>
      <c r="F68" s="7" t="s">
        <v>15</v>
      </c>
      <c r="H68" s="51"/>
      <c r="J68" s="51"/>
    </row>
    <row r="69" spans="1:10" x14ac:dyDescent="0.3">
      <c r="A69" s="26" t="s">
        <v>212</v>
      </c>
      <c r="B69" s="27" t="s">
        <v>134</v>
      </c>
      <c r="C69" s="9">
        <v>1.2708540035087721</v>
      </c>
      <c r="D69" s="9">
        <v>2.8813715000000002</v>
      </c>
      <c r="E69" s="9">
        <v>0.1277374</v>
      </c>
      <c r="F69" s="9" t="s">
        <v>247</v>
      </c>
      <c r="H69" s="51"/>
      <c r="J69" s="51"/>
    </row>
    <row r="70" spans="1:10" x14ac:dyDescent="0.3">
      <c r="A70" s="6" t="s">
        <v>227</v>
      </c>
      <c r="B70" s="8" t="s">
        <v>148</v>
      </c>
      <c r="C70" s="7">
        <v>1.1705309971929831</v>
      </c>
      <c r="D70" s="7">
        <v>11.4930235</v>
      </c>
      <c r="E70" s="7">
        <v>-0.56236549999999996</v>
      </c>
      <c r="F70" s="7" t="s">
        <v>15</v>
      </c>
      <c r="H70" s="51"/>
      <c r="J70" s="51"/>
    </row>
    <row r="71" spans="1:10" x14ac:dyDescent="0.3">
      <c r="A71" s="26" t="s">
        <v>225</v>
      </c>
      <c r="B71" s="27" t="s">
        <v>146</v>
      </c>
      <c r="C71" s="9">
        <v>1.1068214304093569</v>
      </c>
      <c r="D71" s="9">
        <v>-8.2837519999999998</v>
      </c>
      <c r="E71" s="9">
        <v>-0.1131515</v>
      </c>
      <c r="F71" s="9" t="s">
        <v>17</v>
      </c>
      <c r="H71" s="51"/>
      <c r="J71" s="51"/>
    </row>
    <row r="72" spans="1:10" x14ac:dyDescent="0.3">
      <c r="A72" s="6" t="s">
        <v>220</v>
      </c>
      <c r="B72" s="8" t="s">
        <v>142</v>
      </c>
      <c r="C72" s="7">
        <v>1.087963202923977</v>
      </c>
      <c r="D72" s="7">
        <v>9.8073420000000002</v>
      </c>
      <c r="E72" s="7">
        <v>4.033188</v>
      </c>
      <c r="F72" s="7" t="s">
        <v>244</v>
      </c>
      <c r="H72" s="51"/>
      <c r="J72" s="51"/>
    </row>
    <row r="73" spans="1:10" x14ac:dyDescent="0.3">
      <c r="A73" s="26" t="s">
        <v>223</v>
      </c>
      <c r="B73" s="27" t="s">
        <v>144</v>
      </c>
      <c r="C73" s="9">
        <v>1.0691252481934059</v>
      </c>
      <c r="D73" s="9">
        <v>-42.063384178820002</v>
      </c>
      <c r="E73" s="9">
        <v>-0.54140242743</v>
      </c>
      <c r="F73" s="9" t="s">
        <v>18</v>
      </c>
      <c r="H73" s="51"/>
      <c r="J73" s="51"/>
    </row>
    <row r="74" spans="1:10" x14ac:dyDescent="0.3">
      <c r="A74" s="6" t="s">
        <v>237</v>
      </c>
      <c r="B74" s="8" t="s">
        <v>256</v>
      </c>
      <c r="C74" s="7">
        <v>1.052890247368421</v>
      </c>
      <c r="D74" s="7">
        <v>-2.8560452999999999</v>
      </c>
      <c r="E74" s="7">
        <v>-0.1023269</v>
      </c>
      <c r="F74" s="7" t="s">
        <v>246</v>
      </c>
      <c r="H74" s="51"/>
      <c r="J74" s="51"/>
    </row>
    <row r="75" spans="1:10" x14ac:dyDescent="0.3">
      <c r="A75" s="26" t="s">
        <v>217</v>
      </c>
      <c r="B75" s="27" t="s">
        <v>139</v>
      </c>
      <c r="C75" s="9">
        <v>0.99609009356725142</v>
      </c>
      <c r="D75" s="9">
        <v>21.568001500000001</v>
      </c>
      <c r="E75" s="9">
        <v>1.7797E-2</v>
      </c>
      <c r="F75" s="9" t="s">
        <v>18</v>
      </c>
      <c r="H75" s="51"/>
      <c r="J75" s="51"/>
    </row>
    <row r="76" spans="1:10" x14ac:dyDescent="0.3">
      <c r="A76" s="6" t="s">
        <v>239</v>
      </c>
      <c r="B76" s="8" t="s">
        <v>158</v>
      </c>
      <c r="C76" s="7">
        <v>0.95631788538011697</v>
      </c>
      <c r="D76" s="7">
        <v>-5.5934945000000003</v>
      </c>
      <c r="E76" s="7">
        <v>-0.59570100000000004</v>
      </c>
      <c r="F76" s="7" t="s">
        <v>12</v>
      </c>
      <c r="H76" s="51"/>
      <c r="J76" s="51"/>
    </row>
    <row r="77" spans="1:10" x14ac:dyDescent="0.3">
      <c r="A77" s="26" t="s">
        <v>216</v>
      </c>
      <c r="B77" s="27" t="s">
        <v>138</v>
      </c>
      <c r="C77" s="9">
        <v>0.9526735871345029</v>
      </c>
      <c r="D77" s="9">
        <v>9.4714999999999994E-2</v>
      </c>
      <c r="E77" s="9">
        <v>-7.1155999999999997E-2</v>
      </c>
      <c r="F77" s="9" t="s">
        <v>245</v>
      </c>
      <c r="H77" s="51"/>
      <c r="J77" s="51"/>
    </row>
    <row r="78" spans="1:10" x14ac:dyDescent="0.3">
      <c r="A78" s="6" t="s">
        <v>242</v>
      </c>
      <c r="B78" s="8" t="s">
        <v>160</v>
      </c>
      <c r="C78" s="7">
        <v>0.91158334912280692</v>
      </c>
      <c r="D78" s="7">
        <v>0.95564559999999976</v>
      </c>
      <c r="E78" s="7">
        <v>-0.29235740000000005</v>
      </c>
      <c r="F78" s="7" t="s">
        <v>15</v>
      </c>
      <c r="H78" s="51"/>
      <c r="J78" s="51"/>
    </row>
    <row r="79" spans="1:10" x14ac:dyDescent="0.3">
      <c r="A79" s="26" t="s">
        <v>224</v>
      </c>
      <c r="B79" s="27" t="s">
        <v>145</v>
      </c>
      <c r="C79" s="9">
        <v>0.9105948801169591</v>
      </c>
      <c r="D79" s="9">
        <v>-18.845614999999999</v>
      </c>
      <c r="E79" s="9">
        <v>-0.24123700000000001</v>
      </c>
      <c r="F79" s="9" t="s">
        <v>18</v>
      </c>
      <c r="H79" s="51"/>
      <c r="J79" s="51"/>
    </row>
    <row r="80" spans="1:10" x14ac:dyDescent="0.3">
      <c r="A80" s="6" t="s">
        <v>221</v>
      </c>
      <c r="B80" s="8" t="s">
        <v>108</v>
      </c>
      <c r="C80" s="7">
        <v>0.88552392782748546</v>
      </c>
      <c r="D80" s="7">
        <v>41.223985302199999</v>
      </c>
      <c r="E80" s="7">
        <v>0.59581561710000008</v>
      </c>
      <c r="F80" s="7" t="s">
        <v>246</v>
      </c>
      <c r="H80" s="51"/>
      <c r="J80" s="51"/>
    </row>
    <row r="81" spans="1:10" x14ac:dyDescent="0.3">
      <c r="A81" s="26" t="s">
        <v>233</v>
      </c>
      <c r="B81" s="27" t="s">
        <v>154</v>
      </c>
      <c r="C81" s="9">
        <v>0.86714090643274855</v>
      </c>
      <c r="D81" s="9">
        <v>9.4912849999999995</v>
      </c>
      <c r="E81" s="9">
        <v>0.21699350000000001</v>
      </c>
      <c r="F81" s="9" t="s">
        <v>18</v>
      </c>
      <c r="H81" s="51"/>
      <c r="J81" s="51"/>
    </row>
    <row r="82" spans="1:10" x14ac:dyDescent="0.3">
      <c r="A82" s="6" t="s">
        <v>222</v>
      </c>
      <c r="B82" s="8" t="s">
        <v>143</v>
      </c>
      <c r="C82" s="7">
        <v>0.86624203368421049</v>
      </c>
      <c r="D82" s="7">
        <v>7.2111904999999998</v>
      </c>
      <c r="E82" s="7">
        <v>5.9624999999999999E-3</v>
      </c>
      <c r="F82" s="7" t="s">
        <v>246</v>
      </c>
      <c r="H82" s="51"/>
      <c r="J82" s="51"/>
    </row>
    <row r="83" spans="1:10" x14ac:dyDescent="0.3">
      <c r="A83" s="26" t="s">
        <v>234</v>
      </c>
      <c r="B83" s="27" t="s">
        <v>91</v>
      </c>
      <c r="C83" s="9">
        <v>0.8030842222222222</v>
      </c>
      <c r="D83" s="9">
        <v>-0.79187149999999995</v>
      </c>
      <c r="E83" s="9">
        <v>-0.93693099999999996</v>
      </c>
      <c r="F83" s="9" t="s">
        <v>12</v>
      </c>
      <c r="H83" s="51"/>
      <c r="J83" s="51"/>
    </row>
    <row r="84" spans="1:10" x14ac:dyDescent="0.3">
      <c r="A84" s="6" t="s">
        <v>232</v>
      </c>
      <c r="B84" s="8" t="s">
        <v>153</v>
      </c>
      <c r="C84" s="7">
        <v>0.80297518128654966</v>
      </c>
      <c r="D84" s="7">
        <v>7.0352040000000002</v>
      </c>
      <c r="E84" s="7">
        <v>5.5183999999999997E-2</v>
      </c>
      <c r="F84" s="7" t="s">
        <v>15</v>
      </c>
      <c r="H84" s="51"/>
      <c r="J84" s="51"/>
    </row>
    <row r="85" spans="1:10" x14ac:dyDescent="0.3">
      <c r="A85" s="26" t="s">
        <v>260</v>
      </c>
      <c r="B85" s="27" t="s">
        <v>261</v>
      </c>
      <c r="C85" s="9">
        <v>0.78036569368421049</v>
      </c>
      <c r="D85" s="9">
        <v>-18.6208785</v>
      </c>
      <c r="E85" s="9">
        <v>-1.3760399999999999</v>
      </c>
      <c r="F85" s="9" t="s">
        <v>18</v>
      </c>
      <c r="H85" s="51"/>
      <c r="J85" s="51"/>
    </row>
    <row r="86" spans="1:10" x14ac:dyDescent="0.3">
      <c r="A86" s="6" t="s">
        <v>229</v>
      </c>
      <c r="B86" s="8" t="s">
        <v>150</v>
      </c>
      <c r="C86" s="7">
        <v>0.74571707777777785</v>
      </c>
      <c r="D86" s="7">
        <v>1.7082281000000001</v>
      </c>
      <c r="E86" s="7">
        <v>-0.10205210000000001</v>
      </c>
      <c r="F86" s="7" t="s">
        <v>11</v>
      </c>
      <c r="H86" s="51"/>
      <c r="J86" s="51"/>
    </row>
    <row r="87" spans="1:10" x14ac:dyDescent="0.3">
      <c r="A87" s="26" t="s">
        <v>238</v>
      </c>
      <c r="B87" s="27" t="s">
        <v>157</v>
      </c>
      <c r="C87" s="9">
        <v>0.74425065789473688</v>
      </c>
      <c r="D87" s="9">
        <v>12.257809</v>
      </c>
      <c r="E87" s="9">
        <v>0.43581700000000001</v>
      </c>
      <c r="F87" s="9" t="s">
        <v>12</v>
      </c>
      <c r="H87" s="51"/>
      <c r="J87" s="51"/>
    </row>
    <row r="88" spans="1:10" x14ac:dyDescent="0.3">
      <c r="A88" s="6" t="s">
        <v>235</v>
      </c>
      <c r="B88" s="8" t="s">
        <v>155</v>
      </c>
      <c r="C88" s="7">
        <v>0.7419174364912281</v>
      </c>
      <c r="D88" s="7">
        <v>-8.1885840000000005</v>
      </c>
      <c r="E88" s="7">
        <v>-9.2715500000000006E-2</v>
      </c>
      <c r="F88" s="7" t="s">
        <v>18</v>
      </c>
      <c r="H88" s="51"/>
      <c r="J88" s="51"/>
    </row>
    <row r="89" spans="1:10" x14ac:dyDescent="0.3">
      <c r="A89" s="26" t="s">
        <v>230</v>
      </c>
      <c r="B89" s="27" t="s">
        <v>151</v>
      </c>
      <c r="C89" s="9">
        <v>0.73884357602339179</v>
      </c>
      <c r="D89" s="9">
        <v>6.7479370000000003</v>
      </c>
      <c r="E89" s="9">
        <v>-2.3619999999999999E-2</v>
      </c>
      <c r="F89" s="9" t="s">
        <v>17</v>
      </c>
      <c r="H89" s="51"/>
      <c r="J89" s="51"/>
    </row>
    <row r="90" spans="1:10" x14ac:dyDescent="0.3">
      <c r="A90" s="6" t="s">
        <v>252</v>
      </c>
      <c r="B90" s="8" t="s">
        <v>253</v>
      </c>
      <c r="C90" s="7">
        <v>0.73237635964912284</v>
      </c>
      <c r="D90" s="7">
        <v>-5.3034224999999999</v>
      </c>
      <c r="E90" s="7">
        <v>-0.15964</v>
      </c>
      <c r="F90" s="7" t="s">
        <v>17</v>
      </c>
      <c r="H90" s="51"/>
      <c r="J90" s="51"/>
    </row>
    <row r="91" spans="1:10" x14ac:dyDescent="0.3">
      <c r="A91" s="26" t="s">
        <v>226</v>
      </c>
      <c r="B91" s="27" t="s">
        <v>147</v>
      </c>
      <c r="C91" s="9">
        <v>0.69690146315789481</v>
      </c>
      <c r="D91" s="9">
        <v>-9.9005877000000009</v>
      </c>
      <c r="E91" s="9">
        <v>0.30269509999999999</v>
      </c>
      <c r="F91" s="9" t="s">
        <v>246</v>
      </c>
      <c r="H91" s="51"/>
      <c r="J91" s="51"/>
    </row>
    <row r="92" spans="1:10" x14ac:dyDescent="0.3">
      <c r="A92" s="6" t="s">
        <v>240</v>
      </c>
      <c r="B92" s="8" t="s">
        <v>99</v>
      </c>
      <c r="C92" s="7">
        <v>0.67498379539479536</v>
      </c>
      <c r="D92" s="7">
        <v>-21.4683090278</v>
      </c>
      <c r="E92" s="7">
        <v>-0.2574584846500001</v>
      </c>
      <c r="F92" s="7" t="s">
        <v>18</v>
      </c>
      <c r="H92" s="51"/>
      <c r="J92" s="51"/>
    </row>
    <row r="93" spans="1:10" x14ac:dyDescent="0.3">
      <c r="A93" s="26" t="s">
        <v>258</v>
      </c>
      <c r="B93" s="27" t="s">
        <v>257</v>
      </c>
      <c r="C93" s="9">
        <v>0.61124397076023396</v>
      </c>
      <c r="D93" s="9">
        <v>27.130696999999987</v>
      </c>
      <c r="E93" s="9">
        <v>8.5496000000000003E-2</v>
      </c>
      <c r="F93" s="9" t="s">
        <v>14</v>
      </c>
      <c r="H93" s="51"/>
      <c r="J93" s="51"/>
    </row>
    <row r="94" spans="1:10" x14ac:dyDescent="0.3">
      <c r="A94" s="6" t="s">
        <v>228</v>
      </c>
      <c r="B94" s="8" t="s">
        <v>149</v>
      </c>
      <c r="C94" s="7">
        <v>0.59385170350877192</v>
      </c>
      <c r="D94" s="7">
        <v>2.7689685000000002</v>
      </c>
      <c r="E94" s="7">
        <v>7.6684000000000002E-2</v>
      </c>
      <c r="F94" s="7" t="s">
        <v>15</v>
      </c>
      <c r="H94" s="51"/>
      <c r="J94" s="51"/>
    </row>
    <row r="95" spans="1:10" x14ac:dyDescent="0.3">
      <c r="A95" s="26" t="s">
        <v>241</v>
      </c>
      <c r="B95" s="27" t="s">
        <v>159</v>
      </c>
      <c r="C95" s="9">
        <v>0.56891638001252043</v>
      </c>
      <c r="D95" s="9">
        <v>-11.516736407400002</v>
      </c>
      <c r="E95" s="9">
        <v>0.18329616900000012</v>
      </c>
      <c r="F95" s="9" t="s">
        <v>18</v>
      </c>
      <c r="H95" s="51"/>
      <c r="J95" s="51"/>
    </row>
    <row r="96" spans="1:10" x14ac:dyDescent="0.3">
      <c r="A96" s="6" t="s">
        <v>243</v>
      </c>
      <c r="B96" s="8" t="s">
        <v>161</v>
      </c>
      <c r="C96" s="7">
        <v>0.56201880935672521</v>
      </c>
      <c r="D96" s="7">
        <v>-6.0590420999999992</v>
      </c>
      <c r="E96" s="7">
        <v>-5.1121999999999999E-3</v>
      </c>
      <c r="F96" s="7" t="s">
        <v>16</v>
      </c>
      <c r="H96" s="51"/>
      <c r="J96" s="51"/>
    </row>
    <row r="97" spans="1:10" x14ac:dyDescent="0.3">
      <c r="A97" s="26" t="s">
        <v>270</v>
      </c>
      <c r="B97" s="27" t="s">
        <v>271</v>
      </c>
      <c r="C97" s="9">
        <v>0.49084826567251466</v>
      </c>
      <c r="D97" s="9">
        <v>2.8463175000000001</v>
      </c>
      <c r="E97" s="9">
        <v>1.4048354999999999</v>
      </c>
      <c r="F97" s="9" t="s">
        <v>245</v>
      </c>
      <c r="H97" s="51"/>
      <c r="J97" s="51"/>
    </row>
    <row r="98" spans="1:10" x14ac:dyDescent="0.3">
      <c r="A98" s="6" t="s">
        <v>262</v>
      </c>
      <c r="B98" s="8" t="s">
        <v>263</v>
      </c>
      <c r="C98" s="7">
        <v>0.48928309883040938</v>
      </c>
      <c r="D98" s="7">
        <v>-7.1836380000000002</v>
      </c>
      <c r="E98" s="7">
        <v>0.28254499999999999</v>
      </c>
      <c r="F98" s="7" t="s">
        <v>245</v>
      </c>
      <c r="H98" s="51"/>
      <c r="J98" s="51"/>
    </row>
    <row r="99" spans="1:10" x14ac:dyDescent="0.3">
      <c r="A99" s="26" t="s">
        <v>281</v>
      </c>
      <c r="B99" s="27" t="s">
        <v>282</v>
      </c>
      <c r="C99" s="9">
        <v>0.46163885713450292</v>
      </c>
      <c r="D99" s="9">
        <v>-6.735697</v>
      </c>
      <c r="E99" s="9">
        <v>-2.168400000000013E-2</v>
      </c>
      <c r="F99" s="9" t="s">
        <v>12</v>
      </c>
      <c r="H99" s="51"/>
      <c r="J99" s="51"/>
    </row>
    <row r="100" spans="1:10" x14ac:dyDescent="0.3">
      <c r="A100" s="6" t="s">
        <v>236</v>
      </c>
      <c r="B100" s="8" t="s">
        <v>156</v>
      </c>
      <c r="C100" s="7">
        <v>0.45748426029239769</v>
      </c>
      <c r="D100" s="7">
        <v>4.3316220000000003</v>
      </c>
      <c r="E100" s="7">
        <v>-0.1116385</v>
      </c>
      <c r="F100" s="7" t="s">
        <v>18</v>
      </c>
      <c r="H100" s="51"/>
      <c r="J100" s="51"/>
    </row>
    <row r="101" spans="1:10" x14ac:dyDescent="0.3">
      <c r="A101" s="62" t="s">
        <v>231</v>
      </c>
      <c r="B101" s="63" t="s">
        <v>152</v>
      </c>
      <c r="C101" s="10">
        <v>0.45168731929824557</v>
      </c>
      <c r="D101" s="10">
        <v>-6.7559424999999997</v>
      </c>
      <c r="E101" s="10">
        <v>2.4931499999999999E-2</v>
      </c>
      <c r="F101" s="10" t="s">
        <v>12</v>
      </c>
      <c r="H101" s="51"/>
      <c r="J101" s="51"/>
    </row>
    <row r="102" spans="1:10" x14ac:dyDescent="0.3">
      <c r="A102" s="59"/>
      <c r="B102" s="11"/>
      <c r="C102" s="11"/>
      <c r="D102" s="60"/>
      <c r="E102" s="60"/>
      <c r="F102" s="60"/>
      <c r="G102" s="46"/>
      <c r="H102" s="50"/>
      <c r="J102" s="51"/>
    </row>
    <row r="104" spans="1:10" x14ac:dyDescent="0.3">
      <c r="A104" s="12" t="s">
        <v>69</v>
      </c>
    </row>
    <row r="105" spans="1:10" x14ac:dyDescent="0.3">
      <c r="A105" s="12" t="s">
        <v>84</v>
      </c>
    </row>
    <row r="106" spans="1:10" x14ac:dyDescent="0.3">
      <c r="A106" s="12" t="s">
        <v>250</v>
      </c>
    </row>
    <row r="107" spans="1:10" x14ac:dyDescent="0.3">
      <c r="A107" s="12" t="s">
        <v>249</v>
      </c>
    </row>
    <row r="108" spans="1:10" x14ac:dyDescent="0.3">
      <c r="A108" s="12" t="s">
        <v>266</v>
      </c>
    </row>
    <row r="109" spans="1:10" x14ac:dyDescent="0.3">
      <c r="A109" s="12" t="s">
        <v>77</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Candace Li</cp:lastModifiedBy>
  <cp:lastPrinted>2021-05-10T01:23:04Z</cp:lastPrinted>
  <dcterms:created xsi:type="dcterms:W3CDTF">2020-01-13T01:31:10Z</dcterms:created>
  <dcterms:modified xsi:type="dcterms:W3CDTF">2023-09-11T02:37:13Z</dcterms:modified>
</cp:coreProperties>
</file>