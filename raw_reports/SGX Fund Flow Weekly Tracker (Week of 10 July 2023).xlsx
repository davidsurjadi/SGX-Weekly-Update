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codeName="ThisWorkbook"/>
  <mc:AlternateContent xmlns:mc="http://schemas.openxmlformats.org/markup-compatibility/2006">
    <mc:Choice Requires="x15">
      <x15ac:absPath xmlns:x15ac="http://schemas.microsoft.com/office/spreadsheetml/2010/11/ac" url="https://singaporeexchange.sharepoint.com/sites/sgxfiles/EQ - Private/Analysis and Research/Production/Insti fund flow tracker files/Draft reports/Final reports/Final reports/Weekly excel files/"/>
    </mc:Choice>
  </mc:AlternateContent>
  <xr:revisionPtr revIDLastSave="30" documentId="13_ncr:1_{19728012-28DE-41A5-89C7-9CF7BAA7180C}" xr6:coauthVersionLast="47" xr6:coauthVersionMax="47" xr10:uidLastSave="{02E67D8E-D23E-4C27-953A-7D923F76099C}"/>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c r="A5" i="3"/>
  <c r="A5" i="2"/>
  <c r="A3" i="2"/>
  <c r="A4" i="3"/>
  <c r="A4" i="2"/>
  <c r="A3" i="3" l="1"/>
  <c r="A1" i="5" l="1"/>
  <c r="C32" i="4" l="1"/>
  <c r="D32" i="4"/>
  <c r="A1" i="4" l="1"/>
  <c r="C18" i="1" l="1"/>
  <c r="F18" i="1" s="1"/>
  <c r="F5" i="1"/>
</calcChain>
</file>

<file path=xl/sharedStrings.xml><?xml version="1.0" encoding="utf-8"?>
<sst xmlns="http://schemas.openxmlformats.org/spreadsheetml/2006/main" count="519" uniqueCount="283">
  <si>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</si>
  <si>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</si>
  <si>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</si>
  <si>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</si>
  <si>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</si>
  <si>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</si>
  <si>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</si>
  <si>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</si>
  <si>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</si>
  <si>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</si>
  <si>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</si>
  <si>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</si>
  <si>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</si>
  <si>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</si>
  <si>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</si>
  <si>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</si>
  <si>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</si>
  <si>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</si>
  <si>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</si>
  <si>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</si>
  <si>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</si>
  <si>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</si>
  <si>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</si>
  <si>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</si>
  <si>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</si>
  <si>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</si>
  <si>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</si>
  <si>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</si>
  <si>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</si>
  <si>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</si>
  <si>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</si>
  <si>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</si>
  <si>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</si>
  <si>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</si>
  <si>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</si>
  <si>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</si>
  <si>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</si>
  <si>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</si>
  <si>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</si>
  <si>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</si>
  <si>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</si>
  <si>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</si>
  <si>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</si>
  <si>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</si>
  <si>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</si>
  <si>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</si>
  <si>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</si>
  <si>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</si>
  <si>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</si>
  <si>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</si>
  <si>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</si>
  <si>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</si>
  <si>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</si>
  <si>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</si>
  <si>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</si>
  <si>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</si>
  <si>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</si>
  <si>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</si>
  <si>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</si>
  <si>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</si>
  <si>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</si>
  <si>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</si>
  <si>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</si>
  <si>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</si>
  <si>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</si>
  <si>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</si>
  <si>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</si>
  <si>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</si>
  <si>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</si>
  <si>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</si>
  <si>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</si>
  <si>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</si>
  <si>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</si>
  <si>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</si>
  <si>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</si>
  <si>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</si>
  <si>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</si>
  <si>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</si>
  <si>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</si>
  <si>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</si>
  <si>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</si>
  <si>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</si>
  <si>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</si>
  <si>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</si>
  <si>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</si>
  <si>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</si>
  <si>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</si>
  <si>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</si>
  <si>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</si>
  <si>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</si>
  <si>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</si>
  <si>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</si>
  <si>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</si>
  <si>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</si>
  <si>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</si>
  <si>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</si>
  <si>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</si>
  <si>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</si>
  <si>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</si>
  <si>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</si>
  <si>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</si>
  <si>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</si>
  <si>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</si>
  <si>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</si>
  <si>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</si>
  <si>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</si>
  <si>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</si>
  <si>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</si>
  <si>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</si>
  <si>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</si>
  <si>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</si>
  <si>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</si>
  <si>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</si>
  <si>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</si>
  <si>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</si>
  <si>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</si>
  <si>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</si>
  <si>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</si>
  <si>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</si>
  <si>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</si>
  <si>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</si>
  <si>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</si>
  <si>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</si>
  <si>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</si>
  <si>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</si>
  <si>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</si>
  <si>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</si>
  <si>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</si>
  <si>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AUE</t>
  </si>
  <si>
    <t>CY6U</t>
  </si>
  <si>
    <t>DCRU</t>
  </si>
  <si>
    <t>J85</t>
  </si>
  <si>
    <t>RE4</t>
  </si>
  <si>
    <t>C2PU</t>
  </si>
  <si>
    <t>T13</t>
  </si>
  <si>
    <t>AIY</t>
  </si>
  <si>
    <t>BTOU</t>
  </si>
  <si>
    <t>BVA</t>
  </si>
  <si>
    <t>I07</t>
  </si>
  <si>
    <t>SK6U</t>
  </si>
  <si>
    <t>O5RU</t>
  </si>
  <si>
    <t>NO4</t>
  </si>
  <si>
    <t>CC3</t>
  </si>
  <si>
    <t>AP4</t>
  </si>
  <si>
    <t>OXMU</t>
  </si>
  <si>
    <t>5VJ</t>
  </si>
  <si>
    <t>CRPU</t>
  </si>
  <si>
    <t>Z25</t>
  </si>
  <si>
    <t>A50</t>
  </si>
  <si>
    <t>S08</t>
  </si>
  <si>
    <t>G92</t>
  </si>
  <si>
    <t>O9E</t>
  </si>
  <si>
    <t>H30</t>
  </si>
  <si>
    <t>UD2</t>
  </si>
  <si>
    <t>S59</t>
  </si>
  <si>
    <t>Q5T</t>
  </si>
  <si>
    <t>P40U</t>
  </si>
  <si>
    <t>M1GU</t>
  </si>
  <si>
    <t>5FW</t>
  </si>
  <si>
    <t>F03</t>
  </si>
  <si>
    <t>P34</t>
  </si>
  <si>
    <t>CWBU</t>
  </si>
  <si>
    <t>F83</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</si>
  <si>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</si>
  <si>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</si>
  <si>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</si>
  <si>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</si>
  <si>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</si>
  <si>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</si>
  <si>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</si>
  <si>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</si>
  <si>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</si>
  <si>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</si>
  <si>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</si>
  <si>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</si>
  <si>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</si>
  <si>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</si>
  <si>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</si>
  <si>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</si>
  <si>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</si>
  <si>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</si>
  <si>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</si>
  <si>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</si>
  <si>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</si>
  <si>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</si>
  <si>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</si>
  <si>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</si>
  <si>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</si>
  <si>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</si>
  <si>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</si>
  <si>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</si>
  <si>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</si>
  <si>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</si>
  <si>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</si>
  <si>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</si>
  <si>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</si>
  <si>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</si>
  <si>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</si>
  <si>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</si>
  <si>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</si>
  <si>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</si>
  <si>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</si>
  <si>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</si>
  <si>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</si>
  <si>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</si>
  <si>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Golden Energy</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</si>
  <si>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</si>
  <si>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</si>
  <si>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</si>
  <si>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</si>
  <si>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</si>
  <si>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</si>
  <si>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</si>
  <si>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</si>
  <si>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</si>
  <si>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</si>
  <si>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</si>
  <si>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</si>
  <si>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</si>
  <si>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</si>
  <si>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</si>
  <si>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</si>
  <si>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</si>
  <si>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</si>
  <si>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</si>
  <si>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</si>
  <si>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</si>
  <si>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Halcyon Agri</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</si>
  <si>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</si>
  <si>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</si>
  <si>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</si>
  <si>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</si>
  <si>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</si>
  <si>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</si>
  <si>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</si>
  <si>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</si>
  <si>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</si>
  <si>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</si>
  <si>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</si>
  <si>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</si>
  <si>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</si>
  <si>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</si>
  <si>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Acesian Partners</t>
  </si>
  <si>
    <t>Food Empire</t>
  </si>
  <si>
    <t>Delfi</t>
  </si>
  <si>
    <t>KepPacOakReitUSD</t>
  </si>
  <si>
    <t>Cromwell Reit EUR</t>
  </si>
  <si>
    <t>COSCO SHP SG</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</si>
  <si>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</si>
  <si>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</si>
  <si>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</si>
  <si>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</si>
  <si>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</si>
  <si>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</si>
  <si>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</si>
  <si>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</si>
  <si>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</si>
  <si>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</si>
  <si>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</si>
  <si>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</si>
  <si>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</si>
  <si>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</si>
  <si>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</si>
  <si>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</si>
  <si>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</si>
  <si>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</si>
  <si>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</si>
  <si>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</si>
  <si>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Week of 10 July 2023</t>
  </si>
  <si>
    <r>
      <t>Institutional investors net</t>
    </r>
    <r>
      <rPr>
        <b/>
        <sz val="11"/>
        <rFont val="Arial"/>
        <family val="2"/>
      </rPr>
      <t xml:space="preserve"> buy</t>
    </r>
    <r>
      <rPr>
        <sz val="11"/>
        <rFont val="Arial"/>
        <family val="2"/>
      </rPr>
      <t xml:space="preserve"> (+S$12.1m) vs. (-S$109.4m) a week ago</t>
    </r>
  </si>
  <si>
    <r>
      <t>Retail investors net</t>
    </r>
    <r>
      <rPr>
        <b/>
        <sz val="11"/>
        <rFont val="Arial"/>
        <family val="2"/>
      </rPr>
      <t xml:space="preserve"> sell </t>
    </r>
    <r>
      <rPr>
        <sz val="11"/>
        <rFont val="Arial"/>
        <family val="2"/>
      </rPr>
      <t>(-S$313.6m) vs. (+S$230.8m) a week ago</t>
    </r>
  </si>
  <si>
    <t>5I4</t>
  </si>
  <si>
    <t>Thomson Medical Group</t>
  </si>
  <si>
    <t>Geo Energy Resources</t>
  </si>
  <si>
    <t>Golden Agri-Resources</t>
  </si>
  <si>
    <t>Haw Par Corp</t>
  </si>
  <si>
    <t>Raffles Medical Group</t>
  </si>
  <si>
    <t>Parkwaylife REIT</t>
  </si>
  <si>
    <t>ICP</t>
  </si>
  <si>
    <t>Keppel DC REIT</t>
  </si>
  <si>
    <t>Mapletree Panasia Commercial Trust</t>
  </si>
  <si>
    <t>Suntec REIT</t>
  </si>
  <si>
    <t>Nanofilm Technologies International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</si>
</sst>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6"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8"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10" xfId="0" applyNumberFormat="1" applyFont="1" applyFill="1" applyBorder="1" applyAlignment="1">
      <alignment vertical="center" wrapText="1"/>
    </xf>
    <xf numFmtId="49" fontId="5" fillId="2" borderId="11" xfId="0" applyNumberFormat="1" applyFont="1" applyFill="1" applyBorder="1" applyAlignment="1">
      <alignment horizontal="right" vertical="center" wrapText="1"/>
    </xf>
    <xf numFmtId="164" fontId="3" fillId="4" borderId="11" xfId="0" applyNumberFormat="1" applyFont="1" applyFill="1" applyBorder="1" applyAlignment="1">
      <alignment horizontal="left"/>
    </xf>
    <xf numFmtId="0" fontId="3" fillId="4" borderId="11" xfId="0" applyFont="1" applyFill="1" applyBorder="1" applyAlignment="1">
      <alignment horizontal="left"/>
    </xf>
    <xf numFmtId="164" fontId="3" fillId="4" borderId="11"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2"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10" xfId="0" applyFont="1" applyFill="1" applyBorder="1" applyAlignment="1">
      <alignment vertical="center" wrapText="1"/>
    </xf>
    <xf numFmtId="0" fontId="3" fillId="4" borderId="0" xfId="0" applyFont="1" applyFill="1" applyAlignment="1">
      <alignment horizontal="left"/>
    </xf>
    <xf numFmtId="0" fontId="3" fillId="0" borderId="17" xfId="0" applyFont="1" applyBorder="1" applyAlignment="1">
      <alignment horizontal="left"/>
    </xf>
    <xf numFmtId="0" fontId="14" fillId="5" borderId="11"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6" xfId="0" applyFont="1" applyBorder="1" applyAlignment="1">
      <alignment vertical="center"/>
    </xf>
    <xf numFmtId="164" fontId="3" fillId="4" borderId="5" xfId="0" applyNumberFormat="1" applyFont="1" applyFill="1" applyBorder="1" applyAlignment="1">
      <alignment horizontal="right"/>
    </xf>
    <xf numFmtId="164" fontId="3" fillId="0" borderId="5" xfId="0" applyNumberFormat="1" applyFont="1" applyBorder="1" applyAlignment="1">
      <alignment horizontal="right"/>
    </xf>
    <xf numFmtId="164" fontId="3" fillId="0" borderId="7" xfId="0" applyNumberFormat="1" applyFont="1" applyBorder="1" applyAlignment="1">
      <alignment horizontal="right"/>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6" xfId="0" applyNumberFormat="1" applyFont="1" applyFill="1" applyBorder="1" applyAlignment="1">
      <alignment horizontal="center"/>
    </xf>
    <xf numFmtId="0" fontId="15" fillId="0" borderId="0" xfId="0" applyFont="1"/>
    <xf numFmtId="49" fontId="5" fillId="3" borderId="18" xfId="0" applyNumberFormat="1" applyFont="1" applyFill="1" applyBorder="1" applyAlignment="1">
      <alignment horizontal="right" vertical="center" wrapText="1"/>
    </xf>
    <xf numFmtId="0" fontId="14" fillId="0" borderId="0" xfId="0" applyFont="1" applyAlignment="1">
      <alignment vertical="center"/>
    </xf>
    <xf numFmtId="0" fontId="15" fillId="5" borderId="4" xfId="0" applyFont="1" applyFill="1" applyBorder="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10" xfId="0" applyNumberFormat="1" applyFont="1" applyFill="1" applyBorder="1" applyAlignment="1">
      <alignment horizontal="right" vertical="center" wrapText="1"/>
    </xf>
    <xf numFmtId="164" fontId="3" fillId="0" borderId="6" xfId="0" applyNumberFormat="1" applyFont="1" applyBorder="1" applyAlignment="1">
      <alignment horizontal="left"/>
    </xf>
    <xf numFmtId="0" fontId="3" fillId="0" borderId="6" xfId="0" applyFont="1" applyBorder="1" applyAlignment="1">
      <alignment horizontal="left"/>
    </xf>
    <xf numFmtId="0" fontId="17" fillId="0" borderId="0" xfId="0" applyFont="1"/>
    <xf numFmtId="0" fontId="13" fillId="0" borderId="0" xfId="0" applyFont="1" applyAlignment="1">
      <alignment horizontal="left" wrapText="1"/>
    </xf>
    <xf numFmtId="49" fontId="5" fillId="2" borderId="15" xfId="0" applyNumberFormat="1" applyFont="1" applyFill="1" applyBorder="1" applyAlignment="1">
      <alignment horizontal="center" vertical="center" wrapText="1"/>
    </xf>
    <xf numFmtId="49" fontId="5" fillId="2" borderId="16"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9" xfId="0" applyNumberFormat="1" applyFont="1" applyFill="1" applyBorder="1" applyAlignment="1">
      <alignment horizontal="center" vertical="center" wrapText="1"/>
    </xf>
    <xf numFmtId="49" fontId="8" fillId="0" borderId="13" xfId="0" applyNumberFormat="1" applyFont="1" applyBorder="1" applyAlignment="1">
      <alignment horizontal="left" vertical="center" wrapText="1"/>
    </xf>
    <xf numFmtId="49" fontId="8" fillId="0" borderId="14"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33203125" defaultRowHeight="13.8" x14ac:dyDescent="0.25"/>
  <cols>
    <col min="1" max="1" width="43.44140625" style="2" customWidth="1"/>
    <col min="2" max="2" width="7" style="2" customWidth="1"/>
    <col min="3" max="3" width="17.33203125" style="2" customWidth="1"/>
    <col min="4" max="4" width="41.6640625" style="2" customWidth="1"/>
    <col min="5" max="5" width="7" style="2" customWidth="1"/>
    <col min="6" max="6" width="17.33203125" style="2" customWidth="1"/>
    <col min="7" max="7" width="26.33203125" style="2" customWidth="1"/>
    <col min="8" max="8" width="9.33203125" style="2"/>
    <col min="9" max="9" width="17" style="51" bestFit="1" customWidth="1"/>
    <col min="10" max="10" width="10.44140625" style="2" bestFit="1" customWidth="1"/>
    <col min="11" max="11" width="9.33203125" style="2"/>
    <col min="12" max="12" width="10.6640625" style="2" bestFit="1" customWidth="1"/>
    <col min="13" max="16384" width="9.33203125" style="2"/>
  </cols>
  <sheetData>
    <row r="1" spans="1:13" x14ac:dyDescent="0.25">
      <c r="A1" s="1" t="s">
        <v>268</v>
      </c>
    </row>
    <row r="2" spans="1:13" x14ac:dyDescent="0.25">
      <c r="A2" s="59" t="s">
        <v>269</v>
      </c>
    </row>
    <row r="3" spans="1:13" x14ac:dyDescent="0.25">
      <c r="A3" s="59" t="s">
        <v>270</v>
      </c>
    </row>
    <row r="5" spans="1:13" ht="29.25" customHeight="1" x14ac:dyDescent="0.25">
      <c r="A5" s="3" t="s">
        <v>0</v>
      </c>
      <c r="B5" s="3" t="s">
        <v>1</v>
      </c>
      <c r="C5" s="4" t="s">
        <v>268</v>
      </c>
      <c r="D5" s="48" t="s">
        <v>2</v>
      </c>
      <c r="E5" s="48" t="s">
        <v>1</v>
      </c>
      <c r="F5" s="60" t="str">
        <f>+C5</f>
        <v>Week of 10 July 2023</v>
      </c>
    </row>
    <row r="6" spans="1:13" ht="14.4" x14ac:dyDescent="0.3">
      <c r="A6" s="41" t="s">
        <v>260</v>
      </c>
      <c r="B6" s="39" t="s">
        <v>93</v>
      </c>
      <c r="C6" s="45">
        <v>75.141435599999994</v>
      </c>
      <c r="D6" s="41" t="s">
        <v>29</v>
      </c>
      <c r="E6" s="39" t="s">
        <v>24</v>
      </c>
      <c r="F6" s="7">
        <v>-61.374271999999998</v>
      </c>
      <c r="K6" s="56"/>
      <c r="L6"/>
      <c r="M6"/>
    </row>
    <row r="7" spans="1:13" ht="14.4" x14ac:dyDescent="0.3">
      <c r="A7" s="42" t="s">
        <v>46</v>
      </c>
      <c r="B7" s="11" t="s">
        <v>43</v>
      </c>
      <c r="C7" s="46">
        <v>11.125873</v>
      </c>
      <c r="D7" s="42" t="s">
        <v>28</v>
      </c>
      <c r="E7" s="11" t="s">
        <v>23</v>
      </c>
      <c r="F7" s="9">
        <v>-40.559669</v>
      </c>
      <c r="K7" s="56"/>
      <c r="L7"/>
      <c r="M7"/>
    </row>
    <row r="8" spans="1:13" ht="14.4" x14ac:dyDescent="0.3">
      <c r="A8" s="43" t="s">
        <v>42</v>
      </c>
      <c r="B8" s="39" t="s">
        <v>40</v>
      </c>
      <c r="C8" s="45">
        <v>11.063974</v>
      </c>
      <c r="D8" s="43" t="s">
        <v>280</v>
      </c>
      <c r="E8" s="39" t="s">
        <v>60</v>
      </c>
      <c r="F8" s="7">
        <v>-4.9958369999999999</v>
      </c>
      <c r="K8" s="56"/>
      <c r="L8"/>
      <c r="M8"/>
    </row>
    <row r="9" spans="1:13" ht="14.4" x14ac:dyDescent="0.3">
      <c r="A9" s="42" t="s">
        <v>67</v>
      </c>
      <c r="B9" s="11" t="s">
        <v>61</v>
      </c>
      <c r="C9" s="46">
        <v>8.2193109999999994</v>
      </c>
      <c r="D9" s="42" t="s">
        <v>38</v>
      </c>
      <c r="E9" s="11" t="s">
        <v>37</v>
      </c>
      <c r="F9" s="9">
        <v>-4.6018014999999997</v>
      </c>
      <c r="K9" s="56"/>
      <c r="L9"/>
      <c r="M9"/>
    </row>
    <row r="10" spans="1:13" ht="14.4" x14ac:dyDescent="0.3">
      <c r="A10" s="43" t="s">
        <v>34</v>
      </c>
      <c r="B10" s="39" t="s">
        <v>32</v>
      </c>
      <c r="C10" s="45">
        <v>4.6592099999999999</v>
      </c>
      <c r="D10" s="62" t="s">
        <v>282</v>
      </c>
      <c r="E10" s="39" t="s">
        <v>120</v>
      </c>
      <c r="F10" s="7">
        <v>-4.1678009999999999</v>
      </c>
      <c r="K10" s="56"/>
      <c r="L10"/>
      <c r="M10"/>
    </row>
    <row r="11" spans="1:13" ht="14.4" x14ac:dyDescent="0.3">
      <c r="A11" s="42" t="s">
        <v>63</v>
      </c>
      <c r="B11" s="11" t="s">
        <v>55</v>
      </c>
      <c r="C11" s="46">
        <v>4.1272320000000002</v>
      </c>
      <c r="D11" s="42" t="s">
        <v>35</v>
      </c>
      <c r="E11" s="11" t="s">
        <v>33</v>
      </c>
      <c r="F11" s="9">
        <v>-4.0692709999999996</v>
      </c>
      <c r="K11" s="56"/>
      <c r="L11"/>
      <c r="M11"/>
    </row>
    <row r="12" spans="1:13" ht="14.4" x14ac:dyDescent="0.3">
      <c r="A12" s="43" t="s">
        <v>88</v>
      </c>
      <c r="B12" s="39" t="s">
        <v>87</v>
      </c>
      <c r="C12" s="45">
        <v>3.863639</v>
      </c>
      <c r="D12" s="62" t="s">
        <v>51</v>
      </c>
      <c r="E12" s="39" t="s">
        <v>49</v>
      </c>
      <c r="F12" s="7">
        <v>-3.9187982000000008</v>
      </c>
      <c r="K12" s="56"/>
      <c r="L12"/>
      <c r="M12"/>
    </row>
    <row r="13" spans="1:13" ht="14.4" x14ac:dyDescent="0.3">
      <c r="A13" s="42" t="s">
        <v>278</v>
      </c>
      <c r="B13" s="11" t="s">
        <v>271</v>
      </c>
      <c r="C13" s="46">
        <v>3.7630771969999999</v>
      </c>
      <c r="D13" s="42" t="s">
        <v>274</v>
      </c>
      <c r="E13" s="11" t="s">
        <v>117</v>
      </c>
      <c r="F13" s="9">
        <v>-3.5523375000000001</v>
      </c>
      <c r="K13" s="56"/>
      <c r="L13"/>
      <c r="M13"/>
    </row>
    <row r="14" spans="1:13" ht="14.4" x14ac:dyDescent="0.3">
      <c r="A14" s="43" t="s">
        <v>41</v>
      </c>
      <c r="B14" s="39" t="s">
        <v>39</v>
      </c>
      <c r="C14" s="45">
        <v>3.594614</v>
      </c>
      <c r="D14" s="43" t="s">
        <v>277</v>
      </c>
      <c r="E14" s="39" t="s">
        <v>133</v>
      </c>
      <c r="F14" s="7">
        <v>-3.1620010000000001</v>
      </c>
      <c r="K14" s="56"/>
      <c r="L14"/>
      <c r="M14"/>
    </row>
    <row r="15" spans="1:13" ht="14.4" x14ac:dyDescent="0.3">
      <c r="A15" s="44" t="s">
        <v>279</v>
      </c>
      <c r="B15" s="40" t="s">
        <v>80</v>
      </c>
      <c r="C15" s="47">
        <v>2.9901800000000001</v>
      </c>
      <c r="D15" s="44" t="s">
        <v>281</v>
      </c>
      <c r="E15" s="40" t="s">
        <v>94</v>
      </c>
      <c r="F15" s="10">
        <v>-2.4099689999999998</v>
      </c>
      <c r="K15" s="56"/>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50" t="s">
        <v>3</v>
      </c>
      <c r="B18" s="3" t="s">
        <v>1</v>
      </c>
      <c r="C18" s="4" t="str">
        <f>C5</f>
        <v>Week of 10 July 2023</v>
      </c>
      <c r="D18" s="5" t="s">
        <v>4</v>
      </c>
      <c r="E18" s="48" t="s">
        <v>1</v>
      </c>
      <c r="F18" s="60" t="str">
        <f>+C18</f>
        <v>Week of 10 July 2023</v>
      </c>
    </row>
    <row r="19" spans="1:13" ht="14.4" x14ac:dyDescent="0.3">
      <c r="A19" s="41" t="s">
        <v>29</v>
      </c>
      <c r="B19" s="39" t="s">
        <v>24</v>
      </c>
      <c r="C19" s="45">
        <v>16.040793000000001</v>
      </c>
      <c r="D19" s="41" t="s">
        <v>260</v>
      </c>
      <c r="E19" s="39" t="s">
        <v>93</v>
      </c>
      <c r="F19" s="7">
        <v>-99.369543100000016</v>
      </c>
      <c r="H19"/>
      <c r="I19" s="49"/>
      <c r="K19" s="56"/>
      <c r="L19"/>
      <c r="M19"/>
    </row>
    <row r="20" spans="1:13" ht="14.4" x14ac:dyDescent="0.3">
      <c r="A20" s="42" t="s">
        <v>66</v>
      </c>
      <c r="B20" s="11" t="s">
        <v>57</v>
      </c>
      <c r="C20" s="46">
        <v>4.0486948442999999</v>
      </c>
      <c r="D20" s="42" t="s">
        <v>27</v>
      </c>
      <c r="E20" s="11" t="s">
        <v>22</v>
      </c>
      <c r="F20" s="9">
        <v>-58.893548000000003</v>
      </c>
      <c r="H20"/>
      <c r="I20" s="49"/>
      <c r="K20" s="56"/>
      <c r="L20"/>
      <c r="M20"/>
    </row>
    <row r="21" spans="1:13" ht="14.4" x14ac:dyDescent="0.3">
      <c r="A21" s="43" t="s">
        <v>282</v>
      </c>
      <c r="B21" s="39" t="s">
        <v>120</v>
      </c>
      <c r="C21" s="45">
        <v>3.1414780000000002</v>
      </c>
      <c r="D21" s="43" t="s">
        <v>51</v>
      </c>
      <c r="E21" s="39" t="s">
        <v>49</v>
      </c>
      <c r="F21" s="7">
        <v>-20.701525499999999</v>
      </c>
      <c r="H21"/>
      <c r="I21" s="49"/>
      <c r="K21" s="56"/>
      <c r="L21"/>
      <c r="M21"/>
    </row>
    <row r="22" spans="1:13" ht="14.4" x14ac:dyDescent="0.3">
      <c r="A22" s="42" t="s">
        <v>274</v>
      </c>
      <c r="B22" s="11" t="s">
        <v>117</v>
      </c>
      <c r="C22" s="46">
        <v>3.0208810000000001</v>
      </c>
      <c r="D22" s="42" t="s">
        <v>88</v>
      </c>
      <c r="E22" s="11" t="s">
        <v>87</v>
      </c>
      <c r="F22" s="9">
        <v>-17.697240000000001</v>
      </c>
      <c r="H22"/>
      <c r="I22" s="49"/>
      <c r="K22" s="56"/>
      <c r="L22"/>
      <c r="M22"/>
    </row>
    <row r="23" spans="1:13" ht="14.4" x14ac:dyDescent="0.3">
      <c r="A23" s="43" t="s">
        <v>275</v>
      </c>
      <c r="B23" s="39" t="s">
        <v>123</v>
      </c>
      <c r="C23" s="45">
        <v>2.279938</v>
      </c>
      <c r="D23" s="43" t="s">
        <v>92</v>
      </c>
      <c r="E23" s="39" t="s">
        <v>26</v>
      </c>
      <c r="F23" s="7">
        <v>-13.961949000000001</v>
      </c>
      <c r="H23"/>
      <c r="I23" s="61"/>
      <c r="K23" s="56"/>
      <c r="L23"/>
      <c r="M23"/>
    </row>
    <row r="24" spans="1:13" ht="14.4" x14ac:dyDescent="0.3">
      <c r="A24" s="42" t="s">
        <v>281</v>
      </c>
      <c r="B24" s="11" t="s">
        <v>94</v>
      </c>
      <c r="C24" s="46">
        <v>1.919057</v>
      </c>
      <c r="D24" s="42" t="s">
        <v>34</v>
      </c>
      <c r="E24" s="11" t="s">
        <v>32</v>
      </c>
      <c r="F24" s="9">
        <v>-12.685942000000001</v>
      </c>
      <c r="H24"/>
      <c r="I24" s="49"/>
      <c r="K24" s="56"/>
      <c r="L24"/>
      <c r="M24"/>
    </row>
    <row r="25" spans="1:13" ht="14.4" x14ac:dyDescent="0.3">
      <c r="A25" s="43" t="s">
        <v>272</v>
      </c>
      <c r="B25" s="39" t="s">
        <v>148</v>
      </c>
      <c r="C25" s="45">
        <v>1.8889252000000001</v>
      </c>
      <c r="D25" s="43" t="s">
        <v>35</v>
      </c>
      <c r="E25" s="39" t="s">
        <v>33</v>
      </c>
      <c r="F25" s="7">
        <v>-11.274020999999999</v>
      </c>
      <c r="H25"/>
      <c r="I25" s="49"/>
      <c r="K25" s="56"/>
      <c r="L25"/>
      <c r="M25"/>
    </row>
    <row r="26" spans="1:13" ht="14.4" x14ac:dyDescent="0.3">
      <c r="A26" s="42" t="s">
        <v>277</v>
      </c>
      <c r="B26" s="11" t="s">
        <v>133</v>
      </c>
      <c r="C26" s="46">
        <v>1.817224</v>
      </c>
      <c r="D26" s="42" t="s">
        <v>46</v>
      </c>
      <c r="E26" s="11" t="s">
        <v>43</v>
      </c>
      <c r="F26" s="9">
        <v>-11.018928000000001</v>
      </c>
      <c r="H26"/>
      <c r="I26" s="49"/>
      <c r="K26" s="56"/>
      <c r="L26"/>
      <c r="M26"/>
    </row>
    <row r="27" spans="1:13" ht="14.4" x14ac:dyDescent="0.3">
      <c r="A27" s="43" t="s">
        <v>273</v>
      </c>
      <c r="B27" s="39" t="s">
        <v>132</v>
      </c>
      <c r="C27" s="45">
        <v>1.4126125</v>
      </c>
      <c r="D27" s="43" t="s">
        <v>81</v>
      </c>
      <c r="E27" s="39" t="s">
        <v>58</v>
      </c>
      <c r="F27" s="7">
        <v>-10.562462</v>
      </c>
      <c r="H27"/>
      <c r="I27" s="49"/>
      <c r="K27" s="56"/>
      <c r="L27"/>
      <c r="M27"/>
    </row>
    <row r="28" spans="1:13" ht="14.4" x14ac:dyDescent="0.3">
      <c r="A28" s="44" t="s">
        <v>276</v>
      </c>
      <c r="B28" s="40" t="s">
        <v>124</v>
      </c>
      <c r="C28" s="47">
        <v>1.1997230000000001</v>
      </c>
      <c r="D28" s="44" t="s">
        <v>30</v>
      </c>
      <c r="E28" s="40" t="s">
        <v>25</v>
      </c>
      <c r="F28" s="10">
        <v>-7.5091419999999998</v>
      </c>
      <c r="H28"/>
      <c r="I28" s="49"/>
      <c r="K28" s="56"/>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9"/>
    </row>
    <row r="38" spans="1:9" customFormat="1" ht="14.4" x14ac:dyDescent="0.3">
      <c r="A38" s="32" t="s">
        <v>71</v>
      </c>
      <c r="B38" s="30"/>
      <c r="C38" s="31"/>
      <c r="D38" s="31"/>
      <c r="E38" s="30"/>
      <c r="F38" s="30"/>
      <c r="I38" s="49"/>
    </row>
    <row r="39" spans="1:9" s="36" customFormat="1" ht="19.2" customHeight="1" x14ac:dyDescent="0.3">
      <c r="A39" s="33" t="s">
        <v>72</v>
      </c>
      <c r="B39" s="34"/>
      <c r="C39" s="35"/>
      <c r="D39" s="35"/>
      <c r="E39" s="34"/>
      <c r="F39" s="34"/>
      <c r="I39" s="52"/>
    </row>
    <row r="40" spans="1:9" ht="169.2" customHeight="1" x14ac:dyDescent="0.25">
      <c r="A40" s="69" t="s">
        <v>254</v>
      </c>
      <c r="B40" s="69"/>
      <c r="C40" s="69"/>
      <c r="D40" s="69"/>
      <c r="E40" s="69"/>
      <c r="F40" s="69"/>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33203125" defaultRowHeight="13.8" x14ac:dyDescent="0.25"/>
  <cols>
    <col min="1" max="1" width="9.33203125" style="2"/>
    <col min="2" max="2" width="16" style="2" customWidth="1"/>
    <col min="3" max="3" width="11.44140625" style="2" customWidth="1"/>
    <col min="4" max="4" width="11" style="2" customWidth="1"/>
    <col min="5" max="5" width="10.33203125" style="2" customWidth="1"/>
    <col min="6" max="6" width="10.44140625" style="2" customWidth="1"/>
    <col min="7" max="7" width="8" style="2" customWidth="1"/>
    <col min="8" max="8" width="11.44140625" style="2" bestFit="1" customWidth="1"/>
    <col min="9" max="9" width="12.44140625" style="2" bestFit="1" customWidth="1"/>
    <col min="10" max="10" width="9.33203125" style="2" customWidth="1"/>
    <col min="11" max="11" width="7.44140625" style="2" bestFit="1" customWidth="1"/>
    <col min="12" max="12" width="13.33203125" style="2" customWidth="1"/>
    <col min="13" max="13" width="7.6640625" style="2" bestFit="1" customWidth="1"/>
    <col min="14" max="14" width="8.6640625" style="2" bestFit="1" customWidth="1"/>
    <col min="15" max="16384" width="9.33203125" style="2"/>
  </cols>
  <sheetData>
    <row r="1" spans="1:15" ht="15" customHeight="1" x14ac:dyDescent="0.25">
      <c r="A1" s="70" t="s">
        <v>7</v>
      </c>
      <c r="B1" s="14" t="s">
        <v>8</v>
      </c>
      <c r="C1" s="72" t="s">
        <v>9</v>
      </c>
      <c r="D1" s="73"/>
      <c r="E1" s="73"/>
      <c r="F1" s="73"/>
      <c r="G1" s="73"/>
      <c r="H1" s="73"/>
      <c r="I1" s="73"/>
      <c r="J1" s="73"/>
      <c r="K1" s="73"/>
      <c r="L1" s="73"/>
      <c r="M1" s="73"/>
      <c r="N1" s="74"/>
    </row>
    <row r="2" spans="1:15" ht="65.7" customHeight="1" x14ac:dyDescent="0.25">
      <c r="A2" s="71"/>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8">
        <f>SUM(C3:N3)</f>
        <v>-9.4808749176300058</v>
      </c>
      <c r="B3" s="13">
        <v>45096</v>
      </c>
      <c r="C3" s="15">
        <v>2.4525464469999991</v>
      </c>
      <c r="D3" s="15">
        <v>-2.9058956256000008</v>
      </c>
      <c r="E3" s="15">
        <v>1.3407385999999999</v>
      </c>
      <c r="F3" s="15">
        <v>57.073805899999989</v>
      </c>
      <c r="G3" s="15">
        <v>-1.3023060665999999</v>
      </c>
      <c r="H3" s="15">
        <v>-3.5956942790599991</v>
      </c>
      <c r="I3" s="15">
        <v>-0.19614830000000011</v>
      </c>
      <c r="J3" s="15">
        <v>-24.600561051</v>
      </c>
      <c r="K3" s="15">
        <v>-35.64398524237</v>
      </c>
      <c r="L3" s="15">
        <v>-18.294140599999999</v>
      </c>
      <c r="M3" s="15">
        <v>30.6962899</v>
      </c>
      <c r="N3" s="15">
        <v>-14.505524599999999</v>
      </c>
      <c r="O3" s="16"/>
    </row>
    <row r="4" spans="1:15" x14ac:dyDescent="0.25">
      <c r="A4" s="58">
        <f>SUM(C4:N4)</f>
        <v>112.12907210536</v>
      </c>
      <c r="B4" s="17">
        <v>45103</v>
      </c>
      <c r="C4" s="18">
        <v>4.9530746426800016</v>
      </c>
      <c r="D4" s="18">
        <v>11.627537726799996</v>
      </c>
      <c r="E4" s="18">
        <v>-1.7777651000000001</v>
      </c>
      <c r="F4" s="18">
        <v>39.629808199999992</v>
      </c>
      <c r="G4" s="18">
        <v>-0.38169723000000011</v>
      </c>
      <c r="H4" s="18">
        <v>33.206204357280008</v>
      </c>
      <c r="I4" s="18">
        <v>1.23538E-2</v>
      </c>
      <c r="J4" s="18">
        <v>3.6530416703999991</v>
      </c>
      <c r="K4" s="18">
        <v>10.532361738200002</v>
      </c>
      <c r="L4" s="18">
        <v>-1.4149542000000008</v>
      </c>
      <c r="M4" s="18">
        <v>6.6947645999999992</v>
      </c>
      <c r="N4" s="18">
        <v>5.3943419000000006</v>
      </c>
      <c r="O4" s="16"/>
    </row>
    <row r="5" spans="1:15" x14ac:dyDescent="0.25">
      <c r="A5" s="58">
        <f>SUM(C5:N5)</f>
        <v>-109.42700198053001</v>
      </c>
      <c r="B5" s="13">
        <v>45110</v>
      </c>
      <c r="C5" s="15">
        <v>6.2477133414000008</v>
      </c>
      <c r="D5" s="15">
        <v>8.6005979516000011</v>
      </c>
      <c r="E5" s="15">
        <v>-2.9532739000000001</v>
      </c>
      <c r="F5" s="15">
        <v>-89.073918700000007</v>
      </c>
      <c r="G5" s="15">
        <v>0.32087899360000022</v>
      </c>
      <c r="H5" s="15">
        <v>11.733031710480001</v>
      </c>
      <c r="I5" s="15">
        <v>8.5402999999999979E-2</v>
      </c>
      <c r="J5" s="15">
        <v>12.212044799099999</v>
      </c>
      <c r="K5" s="15">
        <v>-45.104048676710001</v>
      </c>
      <c r="L5" s="15">
        <v>-4.0212768999999993</v>
      </c>
      <c r="M5" s="15">
        <v>8.9356581999999989</v>
      </c>
      <c r="N5" s="15">
        <v>-16.4098118</v>
      </c>
      <c r="O5" s="16"/>
    </row>
    <row r="6" spans="1:15" x14ac:dyDescent="0.25">
      <c r="A6" s="58">
        <f>SUM(C6:N6)</f>
        <v>12.11239201633</v>
      </c>
      <c r="B6" s="17">
        <v>45117</v>
      </c>
      <c r="C6" s="18">
        <v>-0.52950752892999986</v>
      </c>
      <c r="D6" s="18">
        <v>11.227990200800001</v>
      </c>
      <c r="E6" s="18">
        <v>0.46253510000000031</v>
      </c>
      <c r="F6" s="18">
        <v>-98.883094700000001</v>
      </c>
      <c r="G6" s="18">
        <v>-3.325504433299999</v>
      </c>
      <c r="H6" s="18">
        <v>90.679747588369992</v>
      </c>
      <c r="I6" s="18">
        <v>-0.84328350000000007</v>
      </c>
      <c r="J6" s="18">
        <v>6.8828730453000002</v>
      </c>
      <c r="K6" s="18">
        <v>13.64870684409</v>
      </c>
      <c r="L6" s="18">
        <v>-2.2484869999999999</v>
      </c>
      <c r="M6" s="18">
        <v>-2.6320832000000012</v>
      </c>
      <c r="N6" s="18">
        <v>-2.3275003999999999</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5"/>
      <c r="I12"/>
      <c r="J12" s="55"/>
      <c r="K12" s="55"/>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c r="D15"/>
      <c r="E15"/>
      <c r="F15"/>
      <c r="G15"/>
      <c r="H15"/>
      <c r="I15"/>
      <c r="J15"/>
      <c r="K15"/>
      <c r="L15"/>
      <c r="M15"/>
      <c r="N15"/>
      <c r="O15" s="55"/>
    </row>
    <row r="16" spans="1:15" ht="14.4" x14ac:dyDescent="0.3">
      <c r="C16" s="55"/>
      <c r="D16" s="55"/>
      <c r="E16" s="55"/>
      <c r="F16" s="55"/>
      <c r="G16" s="55"/>
      <c r="H16" s="55"/>
      <c r="I16" s="55"/>
      <c r="J16" s="55"/>
      <c r="K16" s="55"/>
      <c r="L16" s="55"/>
      <c r="M16" s="55"/>
      <c r="N16" s="55"/>
    </row>
    <row r="17" spans="3:14" ht="14.4" x14ac:dyDescent="0.3">
      <c r="C17" s="55"/>
      <c r="D17" s="55"/>
      <c r="E17" s="55"/>
      <c r="F17" s="55"/>
      <c r="G17" s="55"/>
      <c r="H17" s="55"/>
      <c r="I17" s="55"/>
      <c r="J17" s="55"/>
      <c r="K17" s="55"/>
      <c r="L17" s="55"/>
      <c r="M17" s="55"/>
      <c r="N17" s="55"/>
    </row>
    <row r="18" spans="3:14" ht="14.4" x14ac:dyDescent="0.3">
      <c r="C18"/>
      <c r="D18"/>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3:N5 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33203125" defaultRowHeight="13.8" x14ac:dyDescent="0.25"/>
  <cols>
    <col min="1" max="1" width="9.33203125" style="2"/>
    <col min="2" max="2" width="15.88671875" style="2" customWidth="1"/>
    <col min="3" max="3" width="11.33203125" style="2" bestFit="1" customWidth="1"/>
    <col min="4" max="4" width="11.5546875" style="2" bestFit="1" customWidth="1"/>
    <col min="5" max="5" width="10.6640625" style="2" bestFit="1" customWidth="1"/>
    <col min="6" max="6" width="10.5546875" style="2" bestFit="1" customWidth="1"/>
    <col min="7" max="7" width="8.33203125" style="2" customWidth="1"/>
    <col min="8" max="8" width="11.5546875" style="2" bestFit="1" customWidth="1"/>
    <col min="9" max="9" width="12.5546875" style="2" bestFit="1" customWidth="1"/>
    <col min="10" max="10" width="8.5546875" style="2" customWidth="1"/>
    <col min="11" max="11" width="8.33203125" style="2" bestFit="1" customWidth="1"/>
    <col min="12" max="12" width="12.6640625" style="2" customWidth="1"/>
    <col min="13" max="13" width="8.33203125" style="2" bestFit="1" customWidth="1"/>
    <col min="14" max="14" width="8.6640625" style="2" bestFit="1" customWidth="1"/>
    <col min="15" max="16384" width="9.33203125" style="2"/>
  </cols>
  <sheetData>
    <row r="1" spans="1:18" ht="21" customHeight="1" x14ac:dyDescent="0.25">
      <c r="A1" s="70" t="s">
        <v>7</v>
      </c>
      <c r="B1" s="14" t="s">
        <v>8</v>
      </c>
      <c r="C1" s="72" t="s">
        <v>9</v>
      </c>
      <c r="D1" s="73"/>
      <c r="E1" s="73"/>
      <c r="F1" s="73"/>
      <c r="G1" s="73"/>
      <c r="H1" s="73"/>
      <c r="I1" s="73"/>
      <c r="J1" s="73"/>
      <c r="K1" s="73"/>
      <c r="L1" s="73"/>
      <c r="M1" s="73"/>
      <c r="N1" s="74"/>
    </row>
    <row r="2" spans="1:18" ht="55.2" x14ac:dyDescent="0.25">
      <c r="A2" s="71"/>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8">
        <f>SUM(C3:N3)</f>
        <v>105.62416759223001</v>
      </c>
      <c r="B3" s="13">
        <v>45096</v>
      </c>
      <c r="C3" s="15">
        <v>5.1587032036299991</v>
      </c>
      <c r="D3" s="15">
        <v>16.344411404599999</v>
      </c>
      <c r="E3" s="15">
        <v>0.13671910000000001</v>
      </c>
      <c r="F3" s="15">
        <v>-9.6302070999999891</v>
      </c>
      <c r="G3" s="15">
        <v>3.6506953118999999</v>
      </c>
      <c r="H3" s="15">
        <v>-13.222260106169999</v>
      </c>
      <c r="I3" s="15">
        <v>0.42476740000000002</v>
      </c>
      <c r="J3" s="15">
        <v>34.635644297900001</v>
      </c>
      <c r="K3" s="15">
        <v>41.260347580370002</v>
      </c>
      <c r="L3" s="15">
        <v>21.382431</v>
      </c>
      <c r="M3" s="15">
        <v>6.3391298000000003</v>
      </c>
      <c r="N3" s="15">
        <v>-0.85621429999999998</v>
      </c>
      <c r="O3" s="16"/>
    </row>
    <row r="4" spans="1:18" x14ac:dyDescent="0.25">
      <c r="A4" s="58">
        <f>SUM(C4:N4)</f>
        <v>16.450896166610011</v>
      </c>
      <c r="B4" s="17">
        <v>45103</v>
      </c>
      <c r="C4" s="18">
        <v>-8.7050645257199992</v>
      </c>
      <c r="D4" s="18">
        <v>-8.3689770579999987</v>
      </c>
      <c r="E4" s="18">
        <v>0.36096389999999995</v>
      </c>
      <c r="F4" s="18">
        <v>28.429099400000002</v>
      </c>
      <c r="G4" s="18">
        <v>8.2996368000000098E-2</v>
      </c>
      <c r="H4" s="18">
        <v>-7.3661166688799993</v>
      </c>
      <c r="I4" s="18">
        <v>-3.9999999999901226E-6</v>
      </c>
      <c r="J4" s="18">
        <v>10.8783368924</v>
      </c>
      <c r="K4" s="18">
        <v>12.497347758810001</v>
      </c>
      <c r="L4" s="18">
        <v>9.7618724000000086</v>
      </c>
      <c r="M4" s="18">
        <v>-3.1142794</v>
      </c>
      <c r="N4" s="18">
        <v>-18.005278900000004</v>
      </c>
      <c r="O4" s="16"/>
    </row>
    <row r="5" spans="1:18" x14ac:dyDescent="0.25">
      <c r="A5" s="58">
        <f>SUM(C5:N5)</f>
        <v>230.83521722953998</v>
      </c>
      <c r="B5" s="13">
        <v>45110</v>
      </c>
      <c r="C5" s="15">
        <v>4.9126550770400002</v>
      </c>
      <c r="D5" s="15">
        <v>-7.6358583457</v>
      </c>
      <c r="E5" s="15">
        <v>2.4036217999999998</v>
      </c>
      <c r="F5" s="15">
        <v>182.35044339999999</v>
      </c>
      <c r="G5" s="15">
        <v>-0.70840890760000008</v>
      </c>
      <c r="H5" s="15">
        <v>-7.4286601838200017</v>
      </c>
      <c r="I5" s="15">
        <v>7.7701300000000001E-2</v>
      </c>
      <c r="J5" s="15">
        <v>4.7188580824999997</v>
      </c>
      <c r="K5" s="15">
        <v>35.099667807119999</v>
      </c>
      <c r="L5" s="15">
        <v>12.8799203</v>
      </c>
      <c r="M5" s="15">
        <v>5.6279731000000002</v>
      </c>
      <c r="N5" s="15">
        <v>-1.4626961999999999</v>
      </c>
      <c r="O5" s="16"/>
    </row>
    <row r="6" spans="1:18" x14ac:dyDescent="0.25">
      <c r="A6" s="58">
        <f>SUM(C6:N6)</f>
        <v>-313.55948282656999</v>
      </c>
      <c r="B6" s="17">
        <v>45117</v>
      </c>
      <c r="C6" s="18">
        <v>-11.463206455070001</v>
      </c>
      <c r="D6" s="18">
        <v>-12.0001876454</v>
      </c>
      <c r="E6" s="18">
        <v>-1.4877260999999999</v>
      </c>
      <c r="F6" s="18">
        <v>-74.473886900000011</v>
      </c>
      <c r="G6" s="18">
        <v>3.434736841699999</v>
      </c>
      <c r="H6" s="18">
        <v>-143.37695302598999</v>
      </c>
      <c r="I6" s="18">
        <v>0.84551019999999999</v>
      </c>
      <c r="J6" s="18">
        <v>-7.5251978557000001</v>
      </c>
      <c r="K6" s="18">
        <v>-40.584645686110001</v>
      </c>
      <c r="L6" s="18">
        <v>-1.5890304</v>
      </c>
      <c r="M6" s="18">
        <v>-21.839332200000001</v>
      </c>
      <c r="N6" s="18">
        <v>-3.4995636000000001</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5"/>
      <c r="P14"/>
      <c r="Q14"/>
      <c r="R14"/>
    </row>
    <row r="15" spans="1:18" ht="14.4" x14ac:dyDescent="0.3">
      <c r="B15"/>
      <c r="C15"/>
      <c r="D15"/>
      <c r="E15"/>
      <c r="F15"/>
      <c r="G15"/>
      <c r="H15"/>
      <c r="I15"/>
      <c r="J15"/>
      <c r="K15"/>
      <c r="L15"/>
      <c r="M15"/>
      <c r="N15"/>
      <c r="O15"/>
      <c r="P15"/>
      <c r="Q15"/>
      <c r="R15"/>
    </row>
    <row r="16" spans="1:18" ht="14.4" x14ac:dyDescent="0.3">
      <c r="C16" s="55"/>
      <c r="D16" s="55"/>
      <c r="E16" s="55"/>
      <c r="F16" s="55"/>
      <c r="G16" s="55"/>
      <c r="H16" s="55"/>
      <c r="I16" s="55"/>
      <c r="J16" s="55"/>
      <c r="K16" s="55"/>
      <c r="L16" s="55"/>
      <c r="M16" s="55"/>
      <c r="N16" s="55"/>
      <c r="O16"/>
    </row>
    <row r="17" spans="3:14" ht="14.4" x14ac:dyDescent="0.3">
      <c r="C17"/>
      <c r="D17"/>
      <c r="E17"/>
      <c r="F17"/>
      <c r="G17"/>
      <c r="H17"/>
      <c r="I17"/>
      <c r="J17"/>
      <c r="K17"/>
      <c r="L17"/>
      <c r="M17"/>
      <c r="N17"/>
    </row>
    <row r="18" spans="3:14" ht="14.4" x14ac:dyDescent="0.3">
      <c r="C18"/>
      <c r="D18"/>
      <c r="E18"/>
      <c r="F18"/>
      <c r="G18"/>
      <c r="H18"/>
      <c r="I18"/>
      <c r="J18"/>
      <c r="K18"/>
      <c r="L18"/>
      <c r="M18"/>
      <c r="N18"/>
    </row>
    <row r="19" spans="3:14" ht="14.4" x14ac:dyDescent="0.3">
      <c r="C19" s="55"/>
      <c r="D19" s="55"/>
      <c r="E19" s="55"/>
      <c r="F19" s="55"/>
      <c r="G19" s="55"/>
      <c r="H19" s="55"/>
      <c r="I19" s="55"/>
      <c r="J19" s="55"/>
      <c r="K19" s="55"/>
      <c r="L19" s="55"/>
      <c r="M19" s="55"/>
      <c r="N19" s="55"/>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3:N5 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6640625" customWidth="1"/>
    <col min="2" max="2" width="8.6640625" customWidth="1"/>
    <col min="3" max="3" width="14.6640625" customWidth="1"/>
    <col min="4" max="4" width="14.5546875" customWidth="1"/>
    <col min="5" max="5" width="8.88671875" customWidth="1"/>
  </cols>
  <sheetData>
    <row r="1" spans="1:8" ht="55.2" x14ac:dyDescent="0.3">
      <c r="A1" s="38" t="str">
        <f>CONCATENATE("STI Constituents - ",'Weekly Top 10'!$C$5)</f>
        <v>STI Constituents - Week of 10 July 2023</v>
      </c>
      <c r="B1" s="21" t="s">
        <v>1</v>
      </c>
      <c r="C1" s="22" t="s">
        <v>75</v>
      </c>
      <c r="D1" s="22" t="s">
        <v>76</v>
      </c>
    </row>
    <row r="2" spans="1:8" x14ac:dyDescent="0.3">
      <c r="A2" s="23" t="s">
        <v>92</v>
      </c>
      <c r="B2" s="24" t="s">
        <v>26</v>
      </c>
      <c r="C2" s="25">
        <v>2.204129</v>
      </c>
      <c r="D2" s="25">
        <v>-13.961949000000001</v>
      </c>
      <c r="E2" s="49"/>
      <c r="F2" s="53"/>
      <c r="H2" s="54"/>
    </row>
    <row r="3" spans="1:8" x14ac:dyDescent="0.3">
      <c r="A3" s="26" t="s">
        <v>81</v>
      </c>
      <c r="B3" s="27" t="s">
        <v>58</v>
      </c>
      <c r="C3" s="9">
        <v>1.983711</v>
      </c>
      <c r="D3" s="9">
        <v>-10.562462</v>
      </c>
      <c r="E3" s="49"/>
      <c r="F3" s="53"/>
      <c r="H3" s="54"/>
    </row>
    <row r="4" spans="1:8" x14ac:dyDescent="0.3">
      <c r="A4" s="6" t="s">
        <v>88</v>
      </c>
      <c r="B4" s="8" t="s">
        <v>87</v>
      </c>
      <c r="C4" s="7">
        <v>3.863639</v>
      </c>
      <c r="D4" s="7">
        <v>-17.697240000000001</v>
      </c>
      <c r="E4" s="49"/>
      <c r="F4" s="53"/>
      <c r="H4" s="54"/>
    </row>
    <row r="5" spans="1:8" x14ac:dyDescent="0.3">
      <c r="A5" s="26" t="s">
        <v>65</v>
      </c>
      <c r="B5" s="27" t="s">
        <v>56</v>
      </c>
      <c r="C5" s="9">
        <v>-0.88400800000000002</v>
      </c>
      <c r="D5" s="9">
        <v>-5.5480099999999997</v>
      </c>
      <c r="E5" s="49"/>
      <c r="F5" s="53"/>
      <c r="H5" s="54"/>
    </row>
    <row r="6" spans="1:8" x14ac:dyDescent="0.3">
      <c r="A6" s="6" t="s">
        <v>89</v>
      </c>
      <c r="B6" s="8" t="s">
        <v>59</v>
      </c>
      <c r="C6" s="7">
        <v>2.2297156008000001</v>
      </c>
      <c r="D6" s="7">
        <v>-2.8713826454000002</v>
      </c>
      <c r="E6" s="49"/>
      <c r="F6" s="53"/>
      <c r="H6" s="54"/>
    </row>
    <row r="7" spans="1:8" x14ac:dyDescent="0.3">
      <c r="A7" s="26" t="s">
        <v>27</v>
      </c>
      <c r="B7" s="27" t="s">
        <v>22</v>
      </c>
      <c r="C7" s="9">
        <v>0.83911199999999997</v>
      </c>
      <c r="D7" s="9">
        <v>-58.893548000000003</v>
      </c>
      <c r="E7" s="49"/>
      <c r="F7" s="53"/>
      <c r="H7" s="54"/>
    </row>
    <row r="8" spans="1:8" x14ac:dyDescent="0.3">
      <c r="A8" s="6" t="s">
        <v>90</v>
      </c>
      <c r="B8" s="8" t="s">
        <v>91</v>
      </c>
      <c r="C8" s="57">
        <v>-0.79878400000000005</v>
      </c>
      <c r="D8" s="57">
        <v>0.78796049999999995</v>
      </c>
      <c r="E8" s="49"/>
      <c r="F8" s="53"/>
      <c r="H8" s="54"/>
    </row>
    <row r="9" spans="1:8" x14ac:dyDescent="0.3">
      <c r="A9" s="26" t="s">
        <v>83</v>
      </c>
      <c r="B9" s="27" t="s">
        <v>82</v>
      </c>
      <c r="C9" s="9">
        <v>1.681481</v>
      </c>
      <c r="D9" s="9">
        <v>-1.3543369999999999</v>
      </c>
      <c r="E9" s="49"/>
      <c r="F9" s="53"/>
      <c r="H9" s="54"/>
    </row>
    <row r="10" spans="1:8" x14ac:dyDescent="0.3">
      <c r="A10" s="6" t="s">
        <v>38</v>
      </c>
      <c r="B10" s="8" t="s">
        <v>37</v>
      </c>
      <c r="C10" s="7">
        <v>-4.6018014999999997</v>
      </c>
      <c r="D10" s="7">
        <v>-0.68794500000000003</v>
      </c>
      <c r="E10" s="49"/>
      <c r="F10" s="53"/>
      <c r="H10" s="54"/>
    </row>
    <row r="11" spans="1:8" x14ac:dyDescent="0.3">
      <c r="A11" s="26" t="s">
        <v>66</v>
      </c>
      <c r="B11" s="27" t="s">
        <v>57</v>
      </c>
      <c r="C11" s="9">
        <v>0.99777554530000034</v>
      </c>
      <c r="D11" s="9">
        <v>4.0486948442999999</v>
      </c>
      <c r="E11" s="49"/>
      <c r="F11" s="53"/>
      <c r="H11" s="54"/>
    </row>
    <row r="12" spans="1:8" x14ac:dyDescent="0.3">
      <c r="A12" s="6" t="s">
        <v>52</v>
      </c>
      <c r="B12" s="8" t="s">
        <v>50</v>
      </c>
      <c r="C12" s="7">
        <v>-3.8543000000000931E-2</v>
      </c>
      <c r="D12" s="7">
        <v>-3.012724</v>
      </c>
      <c r="E12" s="49"/>
      <c r="F12" s="53"/>
      <c r="H12" s="54"/>
    </row>
    <row r="13" spans="1:8" x14ac:dyDescent="0.3">
      <c r="A13" s="26" t="s">
        <v>64</v>
      </c>
      <c r="B13" s="27" t="s">
        <v>54</v>
      </c>
      <c r="C13" s="9">
        <v>0.85932692039999736</v>
      </c>
      <c r="D13" s="9">
        <v>-1.8562898735</v>
      </c>
      <c r="E13" s="49"/>
      <c r="F13" s="53"/>
      <c r="H13" s="54"/>
    </row>
    <row r="14" spans="1:8" x14ac:dyDescent="0.3">
      <c r="A14" s="6" t="s">
        <v>35</v>
      </c>
      <c r="B14" s="8" t="s">
        <v>33</v>
      </c>
      <c r="C14" s="7">
        <v>-4.0692709999999996</v>
      </c>
      <c r="D14" s="7">
        <v>-11.274020999999999</v>
      </c>
      <c r="E14" s="49"/>
      <c r="F14" s="53"/>
      <c r="H14" s="54"/>
    </row>
    <row r="15" spans="1:8" x14ac:dyDescent="0.3">
      <c r="A15" s="26" t="s">
        <v>265</v>
      </c>
      <c r="B15" s="27" t="s">
        <v>60</v>
      </c>
      <c r="C15" s="9">
        <v>-4.9958369999999999</v>
      </c>
      <c r="D15" s="9">
        <v>-2.3031259999999998</v>
      </c>
      <c r="E15" s="49"/>
      <c r="F15" s="53"/>
      <c r="H15" s="54"/>
    </row>
    <row r="16" spans="1:8" x14ac:dyDescent="0.3">
      <c r="A16" s="6" t="s">
        <v>79</v>
      </c>
      <c r="B16" s="8" t="s">
        <v>78</v>
      </c>
      <c r="C16" s="7">
        <v>-0.55287500000000001</v>
      </c>
      <c r="D16" s="7">
        <v>-0.83619699999999997</v>
      </c>
      <c r="E16" s="49"/>
      <c r="F16" s="53"/>
      <c r="H16" s="54"/>
    </row>
    <row r="17" spans="1:8" x14ac:dyDescent="0.3">
      <c r="A17" s="26" t="s">
        <v>42</v>
      </c>
      <c r="B17" s="27" t="s">
        <v>40</v>
      </c>
      <c r="C17" s="9">
        <v>11.063974</v>
      </c>
      <c r="D17" s="9">
        <v>-6.029731</v>
      </c>
      <c r="E17" s="49"/>
      <c r="F17" s="53"/>
      <c r="H17" s="54"/>
    </row>
    <row r="18" spans="1:8" x14ac:dyDescent="0.3">
      <c r="A18" s="6" t="s">
        <v>28</v>
      </c>
      <c r="B18" s="8" t="s">
        <v>23</v>
      </c>
      <c r="C18" s="7">
        <v>-40.559669</v>
      </c>
      <c r="D18" s="7">
        <v>-6.6892040000000001</v>
      </c>
      <c r="E18" s="49"/>
      <c r="F18" s="53"/>
      <c r="H18" s="54"/>
    </row>
    <row r="19" spans="1:8" x14ac:dyDescent="0.3">
      <c r="A19" s="26" t="s">
        <v>36</v>
      </c>
      <c r="B19" s="27" t="s">
        <v>31</v>
      </c>
      <c r="C19" s="9">
        <v>2.3769659999999999</v>
      </c>
      <c r="D19" s="9">
        <v>-4.0439800000000004</v>
      </c>
      <c r="E19" s="49"/>
      <c r="F19" s="53"/>
      <c r="H19" s="54"/>
    </row>
    <row r="20" spans="1:8" x14ac:dyDescent="0.3">
      <c r="A20" s="6" t="s">
        <v>260</v>
      </c>
      <c r="B20" s="8" t="s">
        <v>93</v>
      </c>
      <c r="C20" s="7">
        <v>75.141435599999994</v>
      </c>
      <c r="D20" s="7">
        <v>-99.369543100000016</v>
      </c>
      <c r="E20" s="49"/>
      <c r="F20" s="53"/>
      <c r="H20" s="54"/>
    </row>
    <row r="21" spans="1:8" x14ac:dyDescent="0.3">
      <c r="A21" s="26" t="s">
        <v>47</v>
      </c>
      <c r="B21" s="27" t="s">
        <v>44</v>
      </c>
      <c r="C21" s="9">
        <v>-2.2307739999999998</v>
      </c>
      <c r="D21" s="9">
        <v>-3.304935</v>
      </c>
      <c r="E21" s="49"/>
      <c r="F21" s="53"/>
      <c r="H21" s="54"/>
    </row>
    <row r="22" spans="1:8" x14ac:dyDescent="0.3">
      <c r="A22" s="6" t="s">
        <v>30</v>
      </c>
      <c r="B22" s="8" t="s">
        <v>25</v>
      </c>
      <c r="C22" s="7">
        <v>-1.09877</v>
      </c>
      <c r="D22" s="7">
        <v>-7.5091419999999998</v>
      </c>
      <c r="E22" s="49"/>
      <c r="F22" s="53"/>
      <c r="H22" s="54"/>
    </row>
    <row r="23" spans="1:8" x14ac:dyDescent="0.3">
      <c r="A23" s="26" t="s">
        <v>34</v>
      </c>
      <c r="B23" s="27" t="s">
        <v>32</v>
      </c>
      <c r="C23" s="9">
        <v>4.6592099999999999</v>
      </c>
      <c r="D23" s="9">
        <v>-12.685942000000001</v>
      </c>
      <c r="E23" s="49"/>
      <c r="F23" s="53"/>
      <c r="H23" s="54"/>
    </row>
    <row r="24" spans="1:8" x14ac:dyDescent="0.3">
      <c r="A24" s="6" t="s">
        <v>51</v>
      </c>
      <c r="B24" s="8" t="s">
        <v>49</v>
      </c>
      <c r="C24" s="7">
        <v>-3.9187982000000008</v>
      </c>
      <c r="D24" s="7">
        <v>-20.701525499999999</v>
      </c>
      <c r="E24" s="49"/>
      <c r="F24" s="53"/>
      <c r="H24" s="54"/>
    </row>
    <row r="25" spans="1:8" x14ac:dyDescent="0.3">
      <c r="A25" s="26" t="s">
        <v>41</v>
      </c>
      <c r="B25" s="27" t="s">
        <v>39</v>
      </c>
      <c r="C25" s="9">
        <v>3.594614</v>
      </c>
      <c r="D25" s="9">
        <v>-6.2461710000000004</v>
      </c>
      <c r="E25" s="49"/>
      <c r="F25" s="53"/>
      <c r="H25" s="54"/>
    </row>
    <row r="26" spans="1:8" x14ac:dyDescent="0.3">
      <c r="A26" s="6" t="s">
        <v>62</v>
      </c>
      <c r="B26" s="8" t="s">
        <v>53</v>
      </c>
      <c r="C26" s="7">
        <v>1.3497110000000001</v>
      </c>
      <c r="D26" s="7">
        <v>-0.72704049999999998</v>
      </c>
      <c r="E26" s="49"/>
      <c r="F26" s="53"/>
      <c r="H26" s="54"/>
    </row>
    <row r="27" spans="1:8" x14ac:dyDescent="0.3">
      <c r="A27" s="26" t="s">
        <v>29</v>
      </c>
      <c r="B27" s="27" t="s">
        <v>24</v>
      </c>
      <c r="C27" s="9">
        <v>-61.374271999999998</v>
      </c>
      <c r="D27" s="9">
        <v>16.040793000000001</v>
      </c>
      <c r="E27" s="49"/>
      <c r="F27" s="53"/>
      <c r="H27" s="54"/>
    </row>
    <row r="28" spans="1:8" x14ac:dyDescent="0.3">
      <c r="A28" s="6" t="s">
        <v>67</v>
      </c>
      <c r="B28" s="8" t="s">
        <v>61</v>
      </c>
      <c r="C28" s="7">
        <v>8.2193109999999994</v>
      </c>
      <c r="D28" s="7">
        <v>-6.3578840000000003</v>
      </c>
      <c r="E28" s="49"/>
      <c r="F28" s="53"/>
      <c r="H28" s="54"/>
    </row>
    <row r="29" spans="1:8" x14ac:dyDescent="0.3">
      <c r="A29" s="26" t="s">
        <v>48</v>
      </c>
      <c r="B29" s="27" t="s">
        <v>45</v>
      </c>
      <c r="C29" s="9">
        <v>1.502337</v>
      </c>
      <c r="D29" s="9">
        <v>-2.1198440000000001</v>
      </c>
      <c r="E29" s="49"/>
      <c r="F29" s="53"/>
      <c r="H29" s="54"/>
    </row>
    <row r="30" spans="1:8" x14ac:dyDescent="0.3">
      <c r="A30" s="6" t="s">
        <v>46</v>
      </c>
      <c r="B30" s="8" t="s">
        <v>43</v>
      </c>
      <c r="C30" s="7">
        <v>11.125873</v>
      </c>
      <c r="D30" s="7">
        <v>-11.018928000000001</v>
      </c>
      <c r="E30" s="49"/>
      <c r="F30" s="53"/>
      <c r="H30" s="54"/>
    </row>
    <row r="31" spans="1:8" ht="15" thickBot="1" x14ac:dyDescent="0.35">
      <c r="A31" s="26" t="s">
        <v>63</v>
      </c>
      <c r="B31" s="27" t="s">
        <v>55</v>
      </c>
      <c r="C31" s="9">
        <v>4.1272320000000002</v>
      </c>
      <c r="D31" s="9">
        <v>0.13857800000000001</v>
      </c>
      <c r="E31" s="49"/>
      <c r="F31" s="53"/>
      <c r="H31" s="54"/>
    </row>
    <row r="32" spans="1:8" ht="21" customHeight="1" thickBot="1" x14ac:dyDescent="0.35">
      <c r="A32" s="75" t="s">
        <v>68</v>
      </c>
      <c r="B32" s="76"/>
      <c r="C32" s="28">
        <f>SUM(C2:C31)</f>
        <v>12.696150966500007</v>
      </c>
      <c r="D32" s="28">
        <f>SUM(D2:D31)</f>
        <v>-296.64707527460007</v>
      </c>
    </row>
    <row r="34" spans="1:7" x14ac:dyDescent="0.3">
      <c r="A34" s="12" t="s">
        <v>69</v>
      </c>
      <c r="B34" s="68"/>
      <c r="C34" s="68"/>
      <c r="D34" s="68"/>
      <c r="E34" s="68"/>
      <c r="F34" s="68"/>
      <c r="G34" s="68"/>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8"/>
  <sheetViews>
    <sheetView showGridLines="0" zoomScaleNormal="100" workbookViewId="0"/>
  </sheetViews>
  <sheetFormatPr defaultRowHeight="14.4" x14ac:dyDescent="0.3"/>
  <cols>
    <col min="1" max="1" width="51.88671875" customWidth="1"/>
    <col min="2" max="2" width="8.6640625" customWidth="1"/>
    <col min="3" max="3" width="14.5546875" customWidth="1"/>
    <col min="4" max="4" width="17.33203125" customWidth="1"/>
    <col min="5" max="5" width="22.5546875" customWidth="1"/>
    <col min="6" max="6" width="31.5546875" bestFit="1" customWidth="1"/>
    <col min="7" max="7" width="16.109375" bestFit="1" customWidth="1"/>
    <col min="8" max="8" width="12.6640625" bestFit="1" customWidth="1"/>
  </cols>
  <sheetData>
    <row r="1" spans="1:10" ht="55.2" x14ac:dyDescent="0.3">
      <c r="A1" s="38" t="str">
        <f>CONCATENATE("100 Most Traded Stocks YTD - ",'Weekly Top 10'!$C$5)</f>
        <v>100 Most Traded Stocks YTD - Week of 10 July 2023</v>
      </c>
      <c r="B1" s="21" t="s">
        <v>1</v>
      </c>
      <c r="C1" s="65" t="s">
        <v>105</v>
      </c>
      <c r="D1" s="22" t="s">
        <v>104</v>
      </c>
      <c r="E1" s="22" t="s">
        <v>106</v>
      </c>
      <c r="F1" s="22" t="s">
        <v>107</v>
      </c>
      <c r="H1" s="53"/>
    </row>
    <row r="2" spans="1:10" x14ac:dyDescent="0.3">
      <c r="A2" s="23" t="s">
        <v>27</v>
      </c>
      <c r="B2" s="24" t="s">
        <v>22</v>
      </c>
      <c r="C2" s="25">
        <v>135.43271662624062</v>
      </c>
      <c r="D2" s="25">
        <v>-1403.362545</v>
      </c>
      <c r="E2" s="25">
        <v>0.83911199999999997</v>
      </c>
      <c r="F2" s="25" t="s">
        <v>14</v>
      </c>
      <c r="I2" s="49"/>
      <c r="J2" s="54"/>
    </row>
    <row r="3" spans="1:10" x14ac:dyDescent="0.3">
      <c r="A3" s="26" t="s">
        <v>29</v>
      </c>
      <c r="B3" s="27" t="s">
        <v>24</v>
      </c>
      <c r="C3" s="9">
        <v>86.909987667556393</v>
      </c>
      <c r="D3" s="9">
        <v>-765.97668199999998</v>
      </c>
      <c r="E3" s="9">
        <v>-61.374271999999998</v>
      </c>
      <c r="F3" s="9" t="s">
        <v>14</v>
      </c>
      <c r="I3" s="49"/>
      <c r="J3" s="54"/>
    </row>
    <row r="4" spans="1:10" x14ac:dyDescent="0.3">
      <c r="A4" s="6" t="s">
        <v>257</v>
      </c>
      <c r="B4" s="8" t="s">
        <v>23</v>
      </c>
      <c r="C4" s="7">
        <v>60.767404883759404</v>
      </c>
      <c r="D4" s="7">
        <v>-176.142381</v>
      </c>
      <c r="E4" s="7">
        <v>-40.559669</v>
      </c>
      <c r="F4" s="7" t="s">
        <v>14</v>
      </c>
      <c r="I4" s="49"/>
      <c r="J4" s="54"/>
    </row>
    <row r="5" spans="1:10" x14ac:dyDescent="0.3">
      <c r="A5" s="26" t="s">
        <v>51</v>
      </c>
      <c r="B5" s="27" t="s">
        <v>49</v>
      </c>
      <c r="C5" s="9">
        <v>51.077117905037596</v>
      </c>
      <c r="D5" s="9">
        <v>-200.31637809999998</v>
      </c>
      <c r="E5" s="9">
        <v>-3.9187982000000003</v>
      </c>
      <c r="F5" s="9" t="s">
        <v>250</v>
      </c>
      <c r="I5" s="49"/>
      <c r="J5" s="54"/>
    </row>
    <row r="6" spans="1:10" x14ac:dyDescent="0.3">
      <c r="A6" s="6" t="s">
        <v>34</v>
      </c>
      <c r="B6" s="8" t="s">
        <v>32</v>
      </c>
      <c r="C6" s="7">
        <v>47.140320907218047</v>
      </c>
      <c r="D6" s="7">
        <v>123.31548100000001</v>
      </c>
      <c r="E6" s="7">
        <v>4.6592099999999999</v>
      </c>
      <c r="F6" s="7" t="s">
        <v>15</v>
      </c>
      <c r="I6" s="49"/>
      <c r="J6" s="54"/>
    </row>
    <row r="7" spans="1:10" x14ac:dyDescent="0.3">
      <c r="A7" s="26" t="s">
        <v>260</v>
      </c>
      <c r="B7" s="27" t="s">
        <v>93</v>
      </c>
      <c r="C7" s="9">
        <v>42.412582148706754</v>
      </c>
      <c r="D7" s="9">
        <v>142.3184708</v>
      </c>
      <c r="E7" s="9">
        <v>75.141435599999994</v>
      </c>
      <c r="F7" s="9" t="s">
        <v>15</v>
      </c>
      <c r="I7" s="49"/>
      <c r="J7" s="54"/>
    </row>
    <row r="8" spans="1:10" x14ac:dyDescent="0.3">
      <c r="A8" s="6" t="s">
        <v>165</v>
      </c>
      <c r="B8" s="8" t="s">
        <v>58</v>
      </c>
      <c r="C8" s="7">
        <v>37.388453634135345</v>
      </c>
      <c r="D8" s="7">
        <v>-106.483138</v>
      </c>
      <c r="E8" s="7">
        <v>1.983711</v>
      </c>
      <c r="F8" s="57" t="s">
        <v>18</v>
      </c>
      <c r="I8" s="49"/>
      <c r="J8" s="54"/>
    </row>
    <row r="9" spans="1:10" x14ac:dyDescent="0.3">
      <c r="A9" s="26" t="s">
        <v>166</v>
      </c>
      <c r="B9" s="27" t="s">
        <v>55</v>
      </c>
      <c r="C9" s="9">
        <v>34.626967747308271</v>
      </c>
      <c r="D9" s="9">
        <v>-14.420795999999999</v>
      </c>
      <c r="E9" s="9">
        <v>4.1272320000000002</v>
      </c>
      <c r="F9" s="9" t="s">
        <v>15</v>
      </c>
      <c r="I9" s="49"/>
      <c r="J9" s="54"/>
    </row>
    <row r="10" spans="1:10" x14ac:dyDescent="0.3">
      <c r="A10" s="6" t="s">
        <v>167</v>
      </c>
      <c r="B10" s="8" t="s">
        <v>37</v>
      </c>
      <c r="C10" s="7">
        <v>33.639342924135327</v>
      </c>
      <c r="D10" s="7">
        <v>136.8701275</v>
      </c>
      <c r="E10" s="7">
        <v>-4.6018014999999997</v>
      </c>
      <c r="F10" s="7" t="s">
        <v>11</v>
      </c>
      <c r="I10" s="49"/>
      <c r="J10" s="54"/>
    </row>
    <row r="11" spans="1:10" x14ac:dyDescent="0.3">
      <c r="A11" s="26" t="s">
        <v>168</v>
      </c>
      <c r="B11" s="27" t="s">
        <v>26</v>
      </c>
      <c r="C11" s="9">
        <v>31.706542429699251</v>
      </c>
      <c r="D11" s="9">
        <v>-34.307256000000002</v>
      </c>
      <c r="E11" s="9">
        <v>2.204129</v>
      </c>
      <c r="F11" s="9" t="s">
        <v>18</v>
      </c>
      <c r="I11" s="49"/>
      <c r="J11" s="54"/>
    </row>
    <row r="12" spans="1:10" x14ac:dyDescent="0.3">
      <c r="A12" s="6" t="s">
        <v>169</v>
      </c>
      <c r="B12" s="8" t="s">
        <v>33</v>
      </c>
      <c r="C12" s="7">
        <v>28.931121919548868</v>
      </c>
      <c r="D12" s="7">
        <v>-168.964776</v>
      </c>
      <c r="E12" s="7">
        <v>-4.0692709999999996</v>
      </c>
      <c r="F12" s="7" t="s">
        <v>15</v>
      </c>
      <c r="I12" s="49"/>
      <c r="J12" s="54"/>
    </row>
    <row r="13" spans="1:10" x14ac:dyDescent="0.3">
      <c r="A13" s="26" t="s">
        <v>172</v>
      </c>
      <c r="B13" s="27" t="s">
        <v>87</v>
      </c>
      <c r="C13" s="9">
        <v>24.691377750751879</v>
      </c>
      <c r="D13" s="9">
        <v>-58.675234000000003</v>
      </c>
      <c r="E13" s="9">
        <v>3.863639</v>
      </c>
      <c r="F13" s="9" t="s">
        <v>14</v>
      </c>
      <c r="I13" s="49"/>
      <c r="J13" s="54"/>
    </row>
    <row r="14" spans="1:10" x14ac:dyDescent="0.3">
      <c r="A14" s="6" t="s">
        <v>170</v>
      </c>
      <c r="B14" s="8" t="s">
        <v>40</v>
      </c>
      <c r="C14" s="7">
        <v>24.06519137909774</v>
      </c>
      <c r="D14" s="7">
        <v>5.3385540000000002</v>
      </c>
      <c r="E14" s="7">
        <v>11.063974</v>
      </c>
      <c r="F14" s="7" t="s">
        <v>18</v>
      </c>
      <c r="I14" s="49"/>
      <c r="J14" s="54"/>
    </row>
    <row r="15" spans="1:10" x14ac:dyDescent="0.3">
      <c r="A15" s="26" t="s">
        <v>171</v>
      </c>
      <c r="B15" s="27" t="s">
        <v>43</v>
      </c>
      <c r="C15" s="9">
        <v>23.594504312556388</v>
      </c>
      <c r="D15" s="9">
        <v>27.944624000000001</v>
      </c>
      <c r="E15" s="9">
        <v>11.125873</v>
      </c>
      <c r="F15" s="9" t="s">
        <v>12</v>
      </c>
      <c r="I15" s="49"/>
      <c r="J15" s="54"/>
    </row>
    <row r="16" spans="1:10" x14ac:dyDescent="0.3">
      <c r="A16" s="6" t="s">
        <v>176</v>
      </c>
      <c r="B16" s="8" t="s">
        <v>44</v>
      </c>
      <c r="C16" s="7">
        <v>21.476080254511281</v>
      </c>
      <c r="D16" s="7">
        <v>151.76953</v>
      </c>
      <c r="E16" s="7">
        <v>-2.2307739999999998</v>
      </c>
      <c r="F16" s="7" t="s">
        <v>20</v>
      </c>
      <c r="I16" s="49"/>
      <c r="J16" s="54"/>
    </row>
    <row r="17" spans="1:10" x14ac:dyDescent="0.3">
      <c r="A17" s="26" t="s">
        <v>174</v>
      </c>
      <c r="B17" s="27" t="s">
        <v>54</v>
      </c>
      <c r="C17" s="9">
        <v>18.581156240668658</v>
      </c>
      <c r="D17" s="9">
        <v>-3.236157282199998</v>
      </c>
      <c r="E17" s="9">
        <v>0.85932692039999969</v>
      </c>
      <c r="F17" s="9" t="s">
        <v>15</v>
      </c>
      <c r="I17" s="49"/>
      <c r="J17" s="54"/>
    </row>
    <row r="18" spans="1:10" x14ac:dyDescent="0.3">
      <c r="A18" s="6" t="s">
        <v>36</v>
      </c>
      <c r="B18" s="8" t="s">
        <v>31</v>
      </c>
      <c r="C18" s="7">
        <v>17.003073680150372</v>
      </c>
      <c r="D18" s="7">
        <v>-61.640762000000002</v>
      </c>
      <c r="E18" s="7">
        <v>2.3769659999999999</v>
      </c>
      <c r="F18" s="7" t="s">
        <v>15</v>
      </c>
      <c r="I18" s="49"/>
      <c r="J18" s="54"/>
    </row>
    <row r="19" spans="1:10" x14ac:dyDescent="0.3">
      <c r="A19" s="26" t="s">
        <v>175</v>
      </c>
      <c r="B19" s="27" t="s">
        <v>53</v>
      </c>
      <c r="C19" s="9">
        <v>16.6012277281203</v>
      </c>
      <c r="D19" s="9">
        <v>-52.498567000000001</v>
      </c>
      <c r="E19" s="9">
        <v>1.3497110000000001</v>
      </c>
      <c r="F19" s="9" t="s">
        <v>12</v>
      </c>
      <c r="I19" s="49"/>
      <c r="J19" s="54"/>
    </row>
    <row r="20" spans="1:10" x14ac:dyDescent="0.3">
      <c r="A20" s="6" t="s">
        <v>30</v>
      </c>
      <c r="B20" s="8" t="s">
        <v>25</v>
      </c>
      <c r="C20" s="7">
        <v>16.51762462255639</v>
      </c>
      <c r="D20" s="7">
        <v>71.754761000000002</v>
      </c>
      <c r="E20" s="7">
        <v>-1.09877</v>
      </c>
      <c r="F20" s="7" t="s">
        <v>14</v>
      </c>
      <c r="I20" s="49"/>
      <c r="J20" s="54"/>
    </row>
    <row r="21" spans="1:10" x14ac:dyDescent="0.3">
      <c r="A21" s="26" t="s">
        <v>41</v>
      </c>
      <c r="B21" s="27" t="s">
        <v>39</v>
      </c>
      <c r="C21" s="9">
        <v>16.121988510075187</v>
      </c>
      <c r="D21" s="9">
        <v>44.875121</v>
      </c>
      <c r="E21" s="9">
        <v>3.594614</v>
      </c>
      <c r="F21" s="9" t="s">
        <v>15</v>
      </c>
      <c r="I21" s="49"/>
      <c r="J21" s="54"/>
    </row>
    <row r="22" spans="1:10" x14ac:dyDescent="0.3">
      <c r="A22" s="6" t="s">
        <v>173</v>
      </c>
      <c r="B22" s="8" t="s">
        <v>60</v>
      </c>
      <c r="C22" s="7">
        <v>16.00050792120301</v>
      </c>
      <c r="D22" s="7">
        <v>-48.103071999999997</v>
      </c>
      <c r="E22" s="7">
        <v>-4.9958369999999999</v>
      </c>
      <c r="F22" s="7" t="s">
        <v>18</v>
      </c>
      <c r="I22" s="49"/>
      <c r="J22" s="54"/>
    </row>
    <row r="23" spans="1:10" x14ac:dyDescent="0.3">
      <c r="A23" s="26" t="s">
        <v>180</v>
      </c>
      <c r="B23" s="27" t="s">
        <v>45</v>
      </c>
      <c r="C23" s="9">
        <v>14.86540768969925</v>
      </c>
      <c r="D23" s="9">
        <v>-81.270612</v>
      </c>
      <c r="E23" s="9">
        <v>1.502337</v>
      </c>
      <c r="F23" s="9" t="s">
        <v>251</v>
      </c>
      <c r="I23" s="49"/>
      <c r="J23" s="54"/>
    </row>
    <row r="24" spans="1:10" x14ac:dyDescent="0.3">
      <c r="A24" s="6" t="s">
        <v>178</v>
      </c>
      <c r="B24" s="8" t="s">
        <v>56</v>
      </c>
      <c r="C24" s="7">
        <v>13.664812785789469</v>
      </c>
      <c r="D24" s="7">
        <v>-143.33113499999999</v>
      </c>
      <c r="E24" s="7">
        <v>-0.88400800000000002</v>
      </c>
      <c r="F24" s="7" t="s">
        <v>17</v>
      </c>
      <c r="I24" s="49"/>
      <c r="J24" s="54"/>
    </row>
    <row r="25" spans="1:10" x14ac:dyDescent="0.3">
      <c r="A25" s="26" t="s">
        <v>177</v>
      </c>
      <c r="B25" s="27" t="s">
        <v>50</v>
      </c>
      <c r="C25" s="9">
        <v>13.18447327345865</v>
      </c>
      <c r="D25" s="9">
        <v>15.780403</v>
      </c>
      <c r="E25" s="9">
        <v>-3.8543000000000001E-2</v>
      </c>
      <c r="F25" s="9" t="s">
        <v>11</v>
      </c>
      <c r="I25" s="49"/>
      <c r="J25" s="54"/>
    </row>
    <row r="26" spans="1:10" x14ac:dyDescent="0.3">
      <c r="A26" s="6" t="s">
        <v>179</v>
      </c>
      <c r="B26" s="8" t="s">
        <v>82</v>
      </c>
      <c r="C26" s="7">
        <v>11.951400784887221</v>
      </c>
      <c r="D26" s="7">
        <v>-1.179845</v>
      </c>
      <c r="E26" s="7">
        <v>1.681481</v>
      </c>
      <c r="F26" s="7" t="s">
        <v>18</v>
      </c>
      <c r="I26" s="49"/>
      <c r="J26" s="54"/>
    </row>
    <row r="27" spans="1:10" x14ac:dyDescent="0.3">
      <c r="A27" s="26" t="s">
        <v>182</v>
      </c>
      <c r="B27" s="27" t="s">
        <v>80</v>
      </c>
      <c r="C27" s="9">
        <v>11.13816444864662</v>
      </c>
      <c r="D27" s="9">
        <v>37.641911</v>
      </c>
      <c r="E27" s="9">
        <v>2.9901800000000001</v>
      </c>
      <c r="F27" s="9" t="s">
        <v>18</v>
      </c>
      <c r="I27" s="49"/>
      <c r="J27" s="54"/>
    </row>
    <row r="28" spans="1:10" x14ac:dyDescent="0.3">
      <c r="A28" s="6" t="s">
        <v>183</v>
      </c>
      <c r="B28" s="8" t="s">
        <v>78</v>
      </c>
      <c r="C28" s="7">
        <v>10.463845139398501</v>
      </c>
      <c r="D28" s="7">
        <v>-33.054090000000002</v>
      </c>
      <c r="E28" s="7">
        <v>-0.55287500000000001</v>
      </c>
      <c r="F28" s="7" t="s">
        <v>18</v>
      </c>
      <c r="I28" s="49"/>
      <c r="J28" s="54"/>
    </row>
    <row r="29" spans="1:10" x14ac:dyDescent="0.3">
      <c r="A29" s="26" t="s">
        <v>181</v>
      </c>
      <c r="B29" s="27" t="s">
        <v>94</v>
      </c>
      <c r="C29" s="9">
        <v>10.30590306082707</v>
      </c>
      <c r="D29" s="9">
        <v>-144.064896</v>
      </c>
      <c r="E29" s="9">
        <v>-2.4099689999999998</v>
      </c>
      <c r="F29" s="9" t="s">
        <v>18</v>
      </c>
      <c r="I29" s="49"/>
      <c r="J29" s="54"/>
    </row>
    <row r="30" spans="1:10" x14ac:dyDescent="0.3">
      <c r="A30" s="6" t="s">
        <v>184</v>
      </c>
      <c r="B30" s="8" t="s">
        <v>57</v>
      </c>
      <c r="C30" s="7">
        <v>10.24547832498787</v>
      </c>
      <c r="D30" s="7">
        <v>-7.1748580999000025</v>
      </c>
      <c r="E30" s="7">
        <v>0.99777554529999934</v>
      </c>
      <c r="F30" s="7" t="s">
        <v>17</v>
      </c>
      <c r="I30" s="49"/>
      <c r="J30" s="54"/>
    </row>
    <row r="31" spans="1:10" x14ac:dyDescent="0.3">
      <c r="A31" s="26" t="s">
        <v>185</v>
      </c>
      <c r="B31" s="27" t="s">
        <v>115</v>
      </c>
      <c r="C31" s="9">
        <v>8.863604438345865</v>
      </c>
      <c r="D31" s="9">
        <v>-34.990864000000002</v>
      </c>
      <c r="E31" s="9">
        <v>2.8587570000000002</v>
      </c>
      <c r="F31" s="9" t="s">
        <v>15</v>
      </c>
      <c r="I31" s="49"/>
      <c r="J31" s="54"/>
    </row>
    <row r="32" spans="1:10" x14ac:dyDescent="0.3">
      <c r="A32" s="6" t="s">
        <v>114</v>
      </c>
      <c r="B32" s="8" t="s">
        <v>109</v>
      </c>
      <c r="C32" s="7">
        <v>7.9927752593984955</v>
      </c>
      <c r="D32" s="7">
        <v>-28.587012999999999</v>
      </c>
      <c r="E32" s="7">
        <v>1.243379</v>
      </c>
      <c r="F32" s="7" t="s">
        <v>18</v>
      </c>
      <c r="I32" s="49"/>
      <c r="J32" s="54"/>
    </row>
    <row r="33" spans="1:10" x14ac:dyDescent="0.3">
      <c r="A33" s="26" t="s">
        <v>187</v>
      </c>
      <c r="B33" s="27" t="s">
        <v>61</v>
      </c>
      <c r="C33" s="9">
        <v>7.2808726542857141</v>
      </c>
      <c r="D33" s="9">
        <v>12.535368999999999</v>
      </c>
      <c r="E33" s="9">
        <v>8.2193109999999994</v>
      </c>
      <c r="F33" s="9" t="s">
        <v>17</v>
      </c>
      <c r="I33" s="49"/>
      <c r="J33" s="54"/>
    </row>
    <row r="34" spans="1:10" x14ac:dyDescent="0.3">
      <c r="A34" s="6" t="s">
        <v>188</v>
      </c>
      <c r="B34" s="8" t="s">
        <v>97</v>
      </c>
      <c r="C34" s="7">
        <v>6.6850808963157897</v>
      </c>
      <c r="D34" s="7">
        <v>17.430072500000001</v>
      </c>
      <c r="E34" s="7">
        <v>1.663349</v>
      </c>
      <c r="F34" s="7" t="s">
        <v>18</v>
      </c>
      <c r="I34" s="49"/>
      <c r="J34" s="54"/>
    </row>
    <row r="35" spans="1:10" x14ac:dyDescent="0.3">
      <c r="A35" s="26" t="s">
        <v>186</v>
      </c>
      <c r="B35" s="27" t="s">
        <v>261</v>
      </c>
      <c r="C35" s="9">
        <v>6.3495687432330827</v>
      </c>
      <c r="D35" s="9">
        <v>-2.970078</v>
      </c>
      <c r="E35" s="9">
        <v>-5.9449000000000002E-2</v>
      </c>
      <c r="F35" s="9" t="s">
        <v>251</v>
      </c>
      <c r="I35" s="49"/>
      <c r="J35" s="54"/>
    </row>
    <row r="36" spans="1:10" x14ac:dyDescent="0.3">
      <c r="A36" s="6" t="s">
        <v>193</v>
      </c>
      <c r="B36" s="8" t="s">
        <v>118</v>
      </c>
      <c r="C36" s="7">
        <v>6.0789036532330831</v>
      </c>
      <c r="D36" s="7">
        <v>2.7866850000000007</v>
      </c>
      <c r="E36" s="7">
        <v>1.53738</v>
      </c>
      <c r="F36" s="7" t="s">
        <v>18</v>
      </c>
      <c r="I36" s="49"/>
      <c r="J36" s="54"/>
    </row>
    <row r="37" spans="1:10" x14ac:dyDescent="0.3">
      <c r="A37" s="26" t="s">
        <v>191</v>
      </c>
      <c r="B37" s="27" t="s">
        <v>95</v>
      </c>
      <c r="C37" s="9">
        <v>5.9062559048466161</v>
      </c>
      <c r="D37" s="9">
        <v>44.6904942062</v>
      </c>
      <c r="E37" s="9">
        <v>1.9316310000000001</v>
      </c>
      <c r="F37" s="9" t="s">
        <v>251</v>
      </c>
      <c r="I37" s="49"/>
      <c r="J37" s="54"/>
    </row>
    <row r="38" spans="1:10" x14ac:dyDescent="0.3">
      <c r="A38" s="6" t="s">
        <v>189</v>
      </c>
      <c r="B38" s="8" t="s">
        <v>116</v>
      </c>
      <c r="C38" s="7">
        <v>5.2770475054586461</v>
      </c>
      <c r="D38" s="7">
        <v>-59.863166999999997</v>
      </c>
      <c r="E38" s="7">
        <v>-2.5117500000000001E-2</v>
      </c>
      <c r="F38" s="7" t="s">
        <v>18</v>
      </c>
      <c r="I38" s="49"/>
      <c r="J38" s="54"/>
    </row>
    <row r="39" spans="1:10" x14ac:dyDescent="0.3">
      <c r="A39" s="26" t="s">
        <v>190</v>
      </c>
      <c r="B39" s="27" t="s">
        <v>117</v>
      </c>
      <c r="C39" s="9">
        <v>5.0469484218045118</v>
      </c>
      <c r="D39" s="9">
        <v>20.252821000000001</v>
      </c>
      <c r="E39" s="9">
        <v>-3.5523375000000001</v>
      </c>
      <c r="F39" s="9" t="s">
        <v>12</v>
      </c>
      <c r="I39" s="49"/>
      <c r="J39" s="54"/>
    </row>
    <row r="40" spans="1:10" x14ac:dyDescent="0.3">
      <c r="A40" s="6" t="s">
        <v>194</v>
      </c>
      <c r="B40" s="8" t="s">
        <v>119</v>
      </c>
      <c r="C40" s="7">
        <v>4.6189082180451129</v>
      </c>
      <c r="D40" s="7">
        <v>-4.1064945000000002</v>
      </c>
      <c r="E40" s="7">
        <v>0.70440550000000002</v>
      </c>
      <c r="F40" s="7" t="s">
        <v>251</v>
      </c>
      <c r="I40" s="49"/>
      <c r="J40" s="54"/>
    </row>
    <row r="41" spans="1:10" x14ac:dyDescent="0.3">
      <c r="A41" s="26" t="s">
        <v>192</v>
      </c>
      <c r="B41" s="27" t="s">
        <v>100</v>
      </c>
      <c r="C41" s="9">
        <v>4.5591400488721803</v>
      </c>
      <c r="D41" s="9">
        <v>-4.3191125000000001</v>
      </c>
      <c r="E41" s="9">
        <v>0.11924750000000001</v>
      </c>
      <c r="F41" s="9" t="s">
        <v>15</v>
      </c>
      <c r="I41" s="49"/>
      <c r="J41" s="54"/>
    </row>
    <row r="42" spans="1:10" x14ac:dyDescent="0.3">
      <c r="A42" s="6" t="s">
        <v>195</v>
      </c>
      <c r="B42" s="8" t="s">
        <v>120</v>
      </c>
      <c r="C42" s="7">
        <v>4.1820605383458647</v>
      </c>
      <c r="D42" s="7">
        <v>-0.149863</v>
      </c>
      <c r="E42" s="7">
        <v>-4.1678009999999999</v>
      </c>
      <c r="F42" s="7" t="s">
        <v>251</v>
      </c>
      <c r="I42" s="49"/>
      <c r="J42" s="54"/>
    </row>
    <row r="43" spans="1:10" x14ac:dyDescent="0.3">
      <c r="A43" s="26" t="s">
        <v>198</v>
      </c>
      <c r="B43" s="27" t="s">
        <v>122</v>
      </c>
      <c r="C43" s="9">
        <v>4.0479405989473678</v>
      </c>
      <c r="D43" s="9">
        <v>-3.518297</v>
      </c>
      <c r="E43" s="9">
        <v>1.0778099999999999</v>
      </c>
      <c r="F43" s="9" t="s">
        <v>12</v>
      </c>
      <c r="I43" s="49"/>
      <c r="J43" s="54"/>
    </row>
    <row r="44" spans="1:10" x14ac:dyDescent="0.3">
      <c r="A44" s="6" t="s">
        <v>110</v>
      </c>
      <c r="B44" s="8" t="s">
        <v>111</v>
      </c>
      <c r="C44" s="7">
        <v>3.689816348345865</v>
      </c>
      <c r="D44" s="7">
        <v>11.2696285</v>
      </c>
      <c r="E44" s="7">
        <v>0.62844</v>
      </c>
      <c r="F44" s="7" t="s">
        <v>18</v>
      </c>
      <c r="I44" s="49"/>
      <c r="J44" s="54"/>
    </row>
    <row r="45" spans="1:10" x14ac:dyDescent="0.3">
      <c r="A45" s="26" t="s">
        <v>197</v>
      </c>
      <c r="B45" s="27" t="s">
        <v>101</v>
      </c>
      <c r="C45" s="9">
        <v>3.5800479646616541</v>
      </c>
      <c r="D45" s="9">
        <v>5.1237384999999973</v>
      </c>
      <c r="E45" s="9">
        <v>-0.53326150000000005</v>
      </c>
      <c r="F45" s="9" t="s">
        <v>18</v>
      </c>
      <c r="I45" s="49"/>
      <c r="J45" s="54"/>
    </row>
    <row r="46" spans="1:10" x14ac:dyDescent="0.3">
      <c r="A46" s="6" t="s">
        <v>196</v>
      </c>
      <c r="B46" s="8" t="s">
        <v>121</v>
      </c>
      <c r="C46" s="7">
        <v>3.4513042744360902</v>
      </c>
      <c r="D46" s="7">
        <v>14.113934499999999</v>
      </c>
      <c r="E46" s="7">
        <v>0.113354</v>
      </c>
      <c r="F46" s="7" t="s">
        <v>14</v>
      </c>
      <c r="I46" s="49"/>
      <c r="J46" s="54"/>
    </row>
    <row r="47" spans="1:10" x14ac:dyDescent="0.3">
      <c r="A47" s="26" t="s">
        <v>206</v>
      </c>
      <c r="B47" s="27" t="s">
        <v>112</v>
      </c>
      <c r="C47" s="9">
        <v>3.3657300288721799</v>
      </c>
      <c r="D47" s="9">
        <v>-26.695696399999999</v>
      </c>
      <c r="E47" s="9">
        <v>-3.1233500000000001E-2</v>
      </c>
      <c r="F47" s="9" t="s">
        <v>20</v>
      </c>
      <c r="I47" s="49"/>
      <c r="J47" s="54"/>
    </row>
    <row r="48" spans="1:10" x14ac:dyDescent="0.3">
      <c r="A48" s="6" t="s">
        <v>199</v>
      </c>
      <c r="B48" s="8" t="s">
        <v>96</v>
      </c>
      <c r="C48" s="7">
        <v>3.357558934586466</v>
      </c>
      <c r="D48" s="7">
        <v>5.8202480000000003</v>
      </c>
      <c r="E48" s="7">
        <v>-0.190992</v>
      </c>
      <c r="F48" s="7" t="s">
        <v>12</v>
      </c>
      <c r="I48" s="49"/>
      <c r="J48" s="54"/>
    </row>
    <row r="49" spans="1:10" x14ac:dyDescent="0.3">
      <c r="A49" s="26" t="s">
        <v>103</v>
      </c>
      <c r="B49" s="27" t="s">
        <v>102</v>
      </c>
      <c r="C49" s="9">
        <v>3.2052364203007517</v>
      </c>
      <c r="D49" s="9">
        <v>-16.431082</v>
      </c>
      <c r="E49" s="9">
        <v>-1.4257280000000001</v>
      </c>
      <c r="F49" s="9" t="s">
        <v>12</v>
      </c>
      <c r="I49" s="49"/>
      <c r="J49" s="54"/>
    </row>
    <row r="50" spans="1:10" x14ac:dyDescent="0.3">
      <c r="A50" s="6" t="s">
        <v>203</v>
      </c>
      <c r="B50" s="8" t="s">
        <v>126</v>
      </c>
      <c r="C50" s="7">
        <v>2.8548919780451119</v>
      </c>
      <c r="D50" s="7">
        <v>-4.7567545000000004</v>
      </c>
      <c r="E50" s="7">
        <v>0.70172900000000005</v>
      </c>
      <c r="F50" s="7" t="s">
        <v>250</v>
      </c>
      <c r="I50" s="49"/>
      <c r="J50" s="54"/>
    </row>
    <row r="51" spans="1:10" x14ac:dyDescent="0.3">
      <c r="A51" s="26" t="s">
        <v>210</v>
      </c>
      <c r="B51" s="27" t="s">
        <v>113</v>
      </c>
      <c r="C51" s="9">
        <v>2.4245636578947369</v>
      </c>
      <c r="D51" s="9">
        <v>-5.1445862</v>
      </c>
      <c r="E51" s="9">
        <v>0.6514856</v>
      </c>
      <c r="F51" s="9" t="s">
        <v>253</v>
      </c>
      <c r="I51" s="49"/>
      <c r="J51" s="54"/>
    </row>
    <row r="52" spans="1:10" x14ac:dyDescent="0.3">
      <c r="A52" s="6" t="s">
        <v>208</v>
      </c>
      <c r="B52" s="8" t="s">
        <v>129</v>
      </c>
      <c r="C52" s="7">
        <v>2.3416444287218043</v>
      </c>
      <c r="D52" s="7">
        <v>-8.0544360000000008</v>
      </c>
      <c r="E52" s="7">
        <v>1.587083</v>
      </c>
      <c r="F52" s="7" t="s">
        <v>18</v>
      </c>
      <c r="I52" s="49"/>
      <c r="J52" s="54"/>
    </row>
    <row r="53" spans="1:10" x14ac:dyDescent="0.3">
      <c r="A53" s="26" t="s">
        <v>201</v>
      </c>
      <c r="B53" s="27" t="s">
        <v>124</v>
      </c>
      <c r="C53" s="9">
        <v>2.3210030911278188</v>
      </c>
      <c r="D53" s="9">
        <v>17.653917</v>
      </c>
      <c r="E53" s="9">
        <v>-1.236496</v>
      </c>
      <c r="F53" s="9" t="s">
        <v>252</v>
      </c>
      <c r="I53" s="49"/>
      <c r="J53" s="54"/>
    </row>
    <row r="54" spans="1:10" x14ac:dyDescent="0.3">
      <c r="A54" s="6" t="s">
        <v>204</v>
      </c>
      <c r="B54" s="8" t="s">
        <v>127</v>
      </c>
      <c r="C54" s="7">
        <v>2.300588971745714</v>
      </c>
      <c r="D54" s="7">
        <v>1.94058718771</v>
      </c>
      <c r="E54" s="7">
        <v>0.65788567006999998</v>
      </c>
      <c r="F54" s="7" t="s">
        <v>11</v>
      </c>
      <c r="I54" s="49"/>
      <c r="J54" s="54"/>
    </row>
    <row r="55" spans="1:10" x14ac:dyDescent="0.3">
      <c r="A55" s="26" t="s">
        <v>200</v>
      </c>
      <c r="B55" s="27" t="s">
        <v>123</v>
      </c>
      <c r="C55" s="9">
        <v>2.0748096172932331</v>
      </c>
      <c r="D55" s="9">
        <v>-24.960184000000002</v>
      </c>
      <c r="E55" s="9">
        <v>-1.8425389999999999</v>
      </c>
      <c r="F55" s="9" t="s">
        <v>252</v>
      </c>
      <c r="I55" s="49"/>
      <c r="J55" s="54"/>
    </row>
    <row r="56" spans="1:10" x14ac:dyDescent="0.3">
      <c r="A56" s="6" t="s">
        <v>205</v>
      </c>
      <c r="B56" s="8" t="s">
        <v>128</v>
      </c>
      <c r="C56" s="7">
        <v>2.0564292563909778</v>
      </c>
      <c r="D56" s="7">
        <v>28.394808100000002</v>
      </c>
      <c r="E56" s="7">
        <v>-1.3181000000000061E-3</v>
      </c>
      <c r="F56" s="7" t="s">
        <v>253</v>
      </c>
      <c r="I56" s="49"/>
      <c r="J56" s="54"/>
    </row>
    <row r="57" spans="1:10" x14ac:dyDescent="0.3">
      <c r="A57" s="26" t="s">
        <v>222</v>
      </c>
      <c r="B57" s="27" t="s">
        <v>141</v>
      </c>
      <c r="C57" s="9">
        <v>2.0227807977443608</v>
      </c>
      <c r="D57" s="9">
        <v>16.576260000000001</v>
      </c>
      <c r="E57" s="9">
        <v>0.80444199999999999</v>
      </c>
      <c r="F57" s="9" t="s">
        <v>15</v>
      </c>
      <c r="I57" s="49"/>
      <c r="J57" s="54"/>
    </row>
    <row r="58" spans="1:10" x14ac:dyDescent="0.3">
      <c r="A58" s="6" t="s">
        <v>202</v>
      </c>
      <c r="B58" s="8" t="s">
        <v>125</v>
      </c>
      <c r="C58" s="7">
        <v>1.951718864586466</v>
      </c>
      <c r="D58" s="7">
        <v>22.77993</v>
      </c>
      <c r="E58" s="7">
        <v>-0.83354799999999996</v>
      </c>
      <c r="F58" s="7" t="s">
        <v>11</v>
      </c>
      <c r="I58" s="49"/>
      <c r="J58" s="54"/>
    </row>
    <row r="59" spans="1:10" x14ac:dyDescent="0.3">
      <c r="A59" s="26" t="s">
        <v>211</v>
      </c>
      <c r="B59" s="27" t="s">
        <v>131</v>
      </c>
      <c r="C59" s="9">
        <v>1.9405672815789472</v>
      </c>
      <c r="D59" s="9">
        <v>-2.2075230000000001</v>
      </c>
      <c r="E59" s="9">
        <v>7.5203999999999993E-2</v>
      </c>
      <c r="F59" s="9" t="s">
        <v>18</v>
      </c>
      <c r="I59" s="49"/>
      <c r="J59" s="54"/>
    </row>
    <row r="60" spans="1:10" x14ac:dyDescent="0.3">
      <c r="A60" s="6" t="s">
        <v>221</v>
      </c>
      <c r="B60" s="8" t="s">
        <v>140</v>
      </c>
      <c r="C60" s="7">
        <v>1.8632115300751881</v>
      </c>
      <c r="D60" s="7">
        <v>-4.9198000000000004</v>
      </c>
      <c r="E60" s="7">
        <v>-0.14129</v>
      </c>
      <c r="F60" s="7" t="s">
        <v>18</v>
      </c>
      <c r="I60" s="49"/>
      <c r="J60" s="54"/>
    </row>
    <row r="61" spans="1:10" x14ac:dyDescent="0.3">
      <c r="A61" s="26" t="s">
        <v>207</v>
      </c>
      <c r="B61" s="27" t="s">
        <v>59</v>
      </c>
      <c r="C61" s="9">
        <v>1.8414123091873309</v>
      </c>
      <c r="D61" s="9">
        <v>18.053859264400003</v>
      </c>
      <c r="E61" s="9">
        <v>2.2297156008000001</v>
      </c>
      <c r="F61" s="9" t="s">
        <v>12</v>
      </c>
      <c r="I61" s="49"/>
      <c r="J61" s="54"/>
    </row>
    <row r="62" spans="1:10" x14ac:dyDescent="0.3">
      <c r="A62" s="6" t="s">
        <v>209</v>
      </c>
      <c r="B62" s="8" t="s">
        <v>130</v>
      </c>
      <c r="C62" s="7">
        <v>1.78846644603376</v>
      </c>
      <c r="D62" s="7">
        <v>-9.83597782925</v>
      </c>
      <c r="E62" s="7">
        <v>5.1942317849999989E-2</v>
      </c>
      <c r="F62" s="7" t="s">
        <v>18</v>
      </c>
      <c r="I62" s="49"/>
      <c r="J62" s="54"/>
    </row>
    <row r="63" spans="1:10" x14ac:dyDescent="0.3">
      <c r="A63" s="26" t="s">
        <v>212</v>
      </c>
      <c r="B63" s="27" t="s">
        <v>132</v>
      </c>
      <c r="C63" s="9">
        <v>1.675991851879699</v>
      </c>
      <c r="D63" s="9">
        <v>-16.085363999999998</v>
      </c>
      <c r="E63" s="9">
        <v>-1.4119120000000001</v>
      </c>
      <c r="F63" s="9" t="s">
        <v>253</v>
      </c>
      <c r="I63" s="49"/>
      <c r="J63" s="54"/>
    </row>
    <row r="64" spans="1:10" x14ac:dyDescent="0.3">
      <c r="A64" s="6" t="s">
        <v>213</v>
      </c>
      <c r="B64" s="8" t="s">
        <v>133</v>
      </c>
      <c r="C64" s="7">
        <v>1.624027065413534</v>
      </c>
      <c r="D64" s="7">
        <v>-14.752694999999999</v>
      </c>
      <c r="E64" s="7">
        <v>-3.1620010000000001</v>
      </c>
      <c r="F64" s="7" t="s">
        <v>18</v>
      </c>
      <c r="I64" s="49"/>
      <c r="J64" s="54"/>
    </row>
    <row r="65" spans="1:10" x14ac:dyDescent="0.3">
      <c r="A65" s="26" t="s">
        <v>218</v>
      </c>
      <c r="B65" s="27" t="s">
        <v>137</v>
      </c>
      <c r="C65" s="9">
        <v>1.5825322969924809</v>
      </c>
      <c r="D65" s="9">
        <v>9.8692639999999994</v>
      </c>
      <c r="E65" s="9">
        <v>-0.159886</v>
      </c>
      <c r="F65" s="9" t="s">
        <v>252</v>
      </c>
      <c r="I65" s="49"/>
      <c r="J65" s="54"/>
    </row>
    <row r="66" spans="1:10" x14ac:dyDescent="0.3">
      <c r="A66" s="6" t="s">
        <v>217</v>
      </c>
      <c r="B66" s="8" t="s">
        <v>136</v>
      </c>
      <c r="C66" s="7">
        <v>1.476429914055263</v>
      </c>
      <c r="D66" s="7">
        <v>-18.064148375759999</v>
      </c>
      <c r="E66" s="7">
        <v>0.26610255634000002</v>
      </c>
      <c r="F66" s="7" t="s">
        <v>18</v>
      </c>
      <c r="I66" s="49"/>
      <c r="J66" s="54"/>
    </row>
    <row r="67" spans="1:10" x14ac:dyDescent="0.3">
      <c r="A67" s="26" t="s">
        <v>214</v>
      </c>
      <c r="B67" s="27" t="s">
        <v>98</v>
      </c>
      <c r="C67" s="9">
        <v>1.4035862008607751</v>
      </c>
      <c r="D67" s="9">
        <v>1.78697703478</v>
      </c>
      <c r="E67" s="9">
        <v>0.56602386797000004</v>
      </c>
      <c r="F67" s="9" t="s">
        <v>15</v>
      </c>
      <c r="I67" s="49"/>
      <c r="J67" s="54"/>
    </row>
    <row r="68" spans="1:10" x14ac:dyDescent="0.3">
      <c r="A68" s="6" t="s">
        <v>215</v>
      </c>
      <c r="B68" s="8" t="s">
        <v>134</v>
      </c>
      <c r="C68" s="7">
        <v>1.3228840112781961</v>
      </c>
      <c r="D68" s="7">
        <v>2.2495681000000003</v>
      </c>
      <c r="E68" s="7">
        <v>0.491176</v>
      </c>
      <c r="F68" s="7" t="s">
        <v>253</v>
      </c>
      <c r="I68" s="49"/>
      <c r="J68" s="54"/>
    </row>
    <row r="69" spans="1:10" x14ac:dyDescent="0.3">
      <c r="A69" s="26" t="s">
        <v>216</v>
      </c>
      <c r="B69" s="27" t="s">
        <v>135</v>
      </c>
      <c r="C69" s="9">
        <v>1.235945541353384</v>
      </c>
      <c r="D69" s="9">
        <v>-4.6436739999999999</v>
      </c>
      <c r="E69" s="9">
        <v>0.16101399999999999</v>
      </c>
      <c r="F69" s="9" t="s">
        <v>251</v>
      </c>
      <c r="I69" s="49"/>
      <c r="J69" s="54"/>
    </row>
    <row r="70" spans="1:10" x14ac:dyDescent="0.3">
      <c r="A70" s="6" t="s">
        <v>241</v>
      </c>
      <c r="B70" s="8" t="s">
        <v>262</v>
      </c>
      <c r="C70" s="7">
        <v>1.2213982624060151</v>
      </c>
      <c r="D70" s="7">
        <v>-2.5960841000000001</v>
      </c>
      <c r="E70" s="7">
        <v>2.301399999999999E-3</v>
      </c>
      <c r="F70" s="7" t="s">
        <v>252</v>
      </c>
      <c r="I70" s="49"/>
      <c r="J70" s="54"/>
    </row>
    <row r="71" spans="1:10" x14ac:dyDescent="0.3">
      <c r="A71" s="26" t="s">
        <v>229</v>
      </c>
      <c r="B71" s="27" t="s">
        <v>147</v>
      </c>
      <c r="C71" s="9">
        <v>1.1317435345864659</v>
      </c>
      <c r="D71" s="9">
        <v>-8.2462745000000002</v>
      </c>
      <c r="E71" s="9">
        <v>-0.15160899999999999</v>
      </c>
      <c r="F71" s="9" t="s">
        <v>17</v>
      </c>
      <c r="I71" s="49"/>
      <c r="J71" s="54"/>
    </row>
    <row r="72" spans="1:10" x14ac:dyDescent="0.3">
      <c r="A72" s="6" t="s">
        <v>226</v>
      </c>
      <c r="B72" s="8" t="s">
        <v>144</v>
      </c>
      <c r="C72" s="7">
        <v>1.1253430458900182</v>
      </c>
      <c r="D72" s="7">
        <v>-35.136006676339996</v>
      </c>
      <c r="E72" s="7">
        <v>-0.93995189265000012</v>
      </c>
      <c r="F72" s="7" t="s">
        <v>18</v>
      </c>
      <c r="I72" s="49"/>
      <c r="J72" s="54"/>
    </row>
    <row r="73" spans="1:10" x14ac:dyDescent="0.3">
      <c r="A73" s="26" t="s">
        <v>231</v>
      </c>
      <c r="B73" s="27" t="s">
        <v>149</v>
      </c>
      <c r="C73" s="9">
        <v>1.092280229473684</v>
      </c>
      <c r="D73" s="9">
        <v>6.5407209999999996</v>
      </c>
      <c r="E73" s="9">
        <v>0.300707</v>
      </c>
      <c r="F73" s="9" t="s">
        <v>15</v>
      </c>
      <c r="I73" s="49"/>
      <c r="J73" s="54"/>
    </row>
    <row r="74" spans="1:10" x14ac:dyDescent="0.3">
      <c r="A74" s="6" t="s">
        <v>219</v>
      </c>
      <c r="B74" s="8" t="s">
        <v>138</v>
      </c>
      <c r="C74" s="7">
        <v>1.0710389954887221</v>
      </c>
      <c r="D74" s="7">
        <v>2.0034934999999998</v>
      </c>
      <c r="E74" s="7">
        <v>-0.78381999999999996</v>
      </c>
      <c r="F74" s="7" t="s">
        <v>251</v>
      </c>
      <c r="I74" s="49"/>
      <c r="J74" s="54"/>
    </row>
    <row r="75" spans="1:10" x14ac:dyDescent="0.3">
      <c r="A75" s="26" t="s">
        <v>220</v>
      </c>
      <c r="B75" s="27" t="s">
        <v>139</v>
      </c>
      <c r="C75" s="9">
        <v>1.0539118458646619</v>
      </c>
      <c r="D75" s="9">
        <v>19.8788555</v>
      </c>
      <c r="E75" s="9">
        <v>2.0409E-2</v>
      </c>
      <c r="F75" s="9" t="s">
        <v>18</v>
      </c>
      <c r="I75" s="49"/>
      <c r="J75" s="54"/>
    </row>
    <row r="76" spans="1:10" x14ac:dyDescent="0.3">
      <c r="A76" s="6" t="s">
        <v>224</v>
      </c>
      <c r="B76" s="8" t="s">
        <v>108</v>
      </c>
      <c r="C76" s="7">
        <v>1.0297877717345871</v>
      </c>
      <c r="D76" s="7">
        <v>40.1036238493</v>
      </c>
      <c r="E76" s="7">
        <v>-1.3220373333</v>
      </c>
      <c r="F76" s="7" t="s">
        <v>252</v>
      </c>
      <c r="I76" s="49"/>
      <c r="J76" s="54"/>
    </row>
    <row r="77" spans="1:10" x14ac:dyDescent="0.3">
      <c r="A77" s="26" t="s">
        <v>228</v>
      </c>
      <c r="B77" s="27" t="s">
        <v>146</v>
      </c>
      <c r="C77" s="9">
        <v>1.0263731616541349</v>
      </c>
      <c r="D77" s="9">
        <v>-17.707120499999998</v>
      </c>
      <c r="E77" s="9">
        <v>0.23822850000000001</v>
      </c>
      <c r="F77" s="9" t="s">
        <v>18</v>
      </c>
      <c r="I77" s="49"/>
      <c r="J77" s="54"/>
    </row>
    <row r="78" spans="1:10" x14ac:dyDescent="0.3">
      <c r="A78" s="6" t="s">
        <v>223</v>
      </c>
      <c r="B78" s="8" t="s">
        <v>142</v>
      </c>
      <c r="C78" s="7">
        <v>1.003754838345865</v>
      </c>
      <c r="D78" s="7">
        <v>-0.38137900000000002</v>
      </c>
      <c r="E78" s="7">
        <v>0.592225</v>
      </c>
      <c r="F78" s="7" t="s">
        <v>250</v>
      </c>
      <c r="I78" s="49"/>
      <c r="J78" s="54"/>
    </row>
    <row r="79" spans="1:10" x14ac:dyDescent="0.3">
      <c r="A79" s="26" t="s">
        <v>244</v>
      </c>
      <c r="B79" s="27" t="s">
        <v>160</v>
      </c>
      <c r="C79" s="9">
        <v>0.95642032631578944</v>
      </c>
      <c r="D79" s="9">
        <v>-5.3139304999999997</v>
      </c>
      <c r="E79" s="9">
        <v>4.0569000000000001E-2</v>
      </c>
      <c r="F79" s="9" t="s">
        <v>12</v>
      </c>
      <c r="I79" s="49"/>
      <c r="J79" s="54"/>
    </row>
    <row r="80" spans="1:10" x14ac:dyDescent="0.3">
      <c r="A80" s="6" t="s">
        <v>225</v>
      </c>
      <c r="B80" s="8" t="s">
        <v>143</v>
      </c>
      <c r="C80" s="7">
        <v>0.94249852255639099</v>
      </c>
      <c r="D80" s="7">
        <v>4.0749370000000003</v>
      </c>
      <c r="E80" s="7">
        <v>2.6498525000000002</v>
      </c>
      <c r="F80" s="7" t="s">
        <v>252</v>
      </c>
      <c r="I80" s="49"/>
      <c r="J80" s="54"/>
    </row>
    <row r="81" spans="1:10" x14ac:dyDescent="0.3">
      <c r="A81" s="26" t="s">
        <v>248</v>
      </c>
      <c r="B81" s="27" t="s">
        <v>163</v>
      </c>
      <c r="C81" s="9">
        <v>0.89512280526315779</v>
      </c>
      <c r="D81" s="9">
        <v>5.8221372999999996</v>
      </c>
      <c r="E81" s="9">
        <v>0.35040729999999998</v>
      </c>
      <c r="F81" s="9" t="s">
        <v>15</v>
      </c>
      <c r="I81" s="49"/>
      <c r="J81" s="54"/>
    </row>
    <row r="82" spans="1:10" x14ac:dyDescent="0.3">
      <c r="A82" s="6" t="s">
        <v>234</v>
      </c>
      <c r="B82" s="8" t="s">
        <v>152</v>
      </c>
      <c r="C82" s="7">
        <v>0.8636215037593985</v>
      </c>
      <c r="D82" s="7">
        <v>6.3578409999999996</v>
      </c>
      <c r="E82" s="7">
        <v>-0.2315305</v>
      </c>
      <c r="F82" s="7" t="s">
        <v>17</v>
      </c>
      <c r="I82" s="49"/>
      <c r="J82" s="54"/>
    </row>
    <row r="83" spans="1:10" x14ac:dyDescent="0.3">
      <c r="A83" s="26" t="s">
        <v>236</v>
      </c>
      <c r="B83" s="27" t="s">
        <v>154</v>
      </c>
      <c r="C83" s="9">
        <v>0.86124578947368413</v>
      </c>
      <c r="D83" s="9">
        <v>4.0683259999999999</v>
      </c>
      <c r="E83" s="9">
        <v>6.6558999999999979E-2</v>
      </c>
      <c r="F83" s="9" t="s">
        <v>15</v>
      </c>
      <c r="I83" s="49"/>
      <c r="J83" s="54"/>
    </row>
    <row r="84" spans="1:10" x14ac:dyDescent="0.3">
      <c r="A84" s="6" t="s">
        <v>237</v>
      </c>
      <c r="B84" s="8" t="s">
        <v>155</v>
      </c>
      <c r="C84" s="7">
        <v>0.84815938721804507</v>
      </c>
      <c r="D84" s="7">
        <v>7.6642995000000003</v>
      </c>
      <c r="E84" s="7">
        <v>1.2237439999999999</v>
      </c>
      <c r="F84" s="7" t="s">
        <v>18</v>
      </c>
      <c r="I84" s="49"/>
      <c r="J84" s="54"/>
    </row>
    <row r="85" spans="1:10" x14ac:dyDescent="0.3">
      <c r="A85" s="26" t="s">
        <v>243</v>
      </c>
      <c r="B85" s="27" t="s">
        <v>159</v>
      </c>
      <c r="C85" s="9">
        <v>0.81307611654135337</v>
      </c>
      <c r="D85" s="9">
        <v>9.7861550000000008</v>
      </c>
      <c r="E85" s="9">
        <v>1.7647060000000001</v>
      </c>
      <c r="F85" s="9" t="s">
        <v>12</v>
      </c>
      <c r="I85" s="49"/>
      <c r="J85" s="54"/>
    </row>
    <row r="86" spans="1:10" x14ac:dyDescent="0.3">
      <c r="A86" s="6" t="s">
        <v>238</v>
      </c>
      <c r="B86" s="8" t="s">
        <v>91</v>
      </c>
      <c r="C86" s="7">
        <v>0.81188946992481192</v>
      </c>
      <c r="D86" s="7">
        <v>0.39297799999999999</v>
      </c>
      <c r="E86" s="7">
        <v>-0.79878400000000005</v>
      </c>
      <c r="F86" s="7" t="s">
        <v>12</v>
      </c>
      <c r="I86" s="49"/>
      <c r="J86" s="54"/>
    </row>
    <row r="87" spans="1:10" x14ac:dyDescent="0.3">
      <c r="A87" s="26" t="s">
        <v>233</v>
      </c>
      <c r="B87" s="27" t="s">
        <v>151</v>
      </c>
      <c r="C87" s="9">
        <v>0.80567469699248129</v>
      </c>
      <c r="D87" s="9">
        <v>1.5138119999999999</v>
      </c>
      <c r="E87" s="9">
        <v>3.896199999999999E-2</v>
      </c>
      <c r="F87" s="9" t="s">
        <v>11</v>
      </c>
      <c r="I87" s="49"/>
      <c r="J87" s="54"/>
    </row>
    <row r="88" spans="1:10" x14ac:dyDescent="0.3">
      <c r="A88" s="6" t="s">
        <v>230</v>
      </c>
      <c r="B88" s="8" t="s">
        <v>148</v>
      </c>
      <c r="C88" s="7">
        <v>0.79554971127819551</v>
      </c>
      <c r="D88" s="7">
        <v>-10.903350099999999</v>
      </c>
      <c r="E88" s="7">
        <v>-1.4639698000000001</v>
      </c>
      <c r="F88" s="7" t="s">
        <v>252</v>
      </c>
      <c r="I88" s="49"/>
      <c r="J88" s="54"/>
    </row>
    <row r="89" spans="1:10" x14ac:dyDescent="0.3">
      <c r="A89" s="26" t="s">
        <v>258</v>
      </c>
      <c r="B89" s="27" t="s">
        <v>259</v>
      </c>
      <c r="C89" s="9">
        <v>0.74821495112781955</v>
      </c>
      <c r="D89" s="9">
        <v>-2.3550629999999999</v>
      </c>
      <c r="E89" s="9">
        <v>1.7378999999999999E-2</v>
      </c>
      <c r="F89" s="9" t="s">
        <v>17</v>
      </c>
      <c r="I89" s="49"/>
      <c r="J89" s="54"/>
    </row>
    <row r="90" spans="1:10" x14ac:dyDescent="0.3">
      <c r="A90" s="6" t="s">
        <v>239</v>
      </c>
      <c r="B90" s="8" t="s">
        <v>156</v>
      </c>
      <c r="C90" s="7">
        <v>0.72714582812030082</v>
      </c>
      <c r="D90" s="7">
        <v>-4.9509800000000004</v>
      </c>
      <c r="E90" s="7">
        <v>2.0386000000000001E-2</v>
      </c>
      <c r="F90" s="7" t="s">
        <v>18</v>
      </c>
      <c r="I90" s="49"/>
      <c r="J90" s="54"/>
    </row>
    <row r="91" spans="1:10" x14ac:dyDescent="0.3">
      <c r="A91" s="26" t="s">
        <v>264</v>
      </c>
      <c r="B91" s="27" t="s">
        <v>263</v>
      </c>
      <c r="C91" s="9">
        <v>0.65742494736842105</v>
      </c>
      <c r="D91" s="9">
        <v>28.06210299999999</v>
      </c>
      <c r="E91" s="9">
        <v>-0.67979400000000001</v>
      </c>
      <c r="F91" s="9" t="s">
        <v>14</v>
      </c>
      <c r="I91" s="49"/>
      <c r="J91" s="54"/>
    </row>
    <row r="92" spans="1:10" x14ac:dyDescent="0.3">
      <c r="A92" s="6" t="s">
        <v>232</v>
      </c>
      <c r="B92" s="8" t="s">
        <v>150</v>
      </c>
      <c r="C92" s="7">
        <v>0.65668903609022555</v>
      </c>
      <c r="D92" s="7">
        <v>2.9546990000000002</v>
      </c>
      <c r="E92" s="7">
        <v>8.7200000000000005E-4</v>
      </c>
      <c r="F92" s="7" t="s">
        <v>15</v>
      </c>
      <c r="I92" s="49"/>
      <c r="J92" s="54"/>
    </row>
    <row r="93" spans="1:10" x14ac:dyDescent="0.3">
      <c r="A93" s="26" t="s">
        <v>245</v>
      </c>
      <c r="B93" s="27" t="s">
        <v>99</v>
      </c>
      <c r="C93" s="9">
        <v>0.6232839118018797</v>
      </c>
      <c r="D93" s="9">
        <v>-14.843322864299999</v>
      </c>
      <c r="E93" s="9">
        <v>-0.28104216355</v>
      </c>
      <c r="F93" s="9" t="s">
        <v>18</v>
      </c>
      <c r="I93" s="49"/>
      <c r="J93" s="54"/>
    </row>
    <row r="94" spans="1:10" x14ac:dyDescent="0.3">
      <c r="A94" s="6" t="s">
        <v>249</v>
      </c>
      <c r="B94" s="8" t="s">
        <v>164</v>
      </c>
      <c r="C94" s="7">
        <v>0.62292835338345864</v>
      </c>
      <c r="D94" s="7">
        <v>-5.8506904000000004</v>
      </c>
      <c r="E94" s="7">
        <v>-0.51394629999999997</v>
      </c>
      <c r="F94" s="7" t="s">
        <v>16</v>
      </c>
      <c r="I94" s="49"/>
      <c r="J94" s="54"/>
    </row>
    <row r="95" spans="1:10" x14ac:dyDescent="0.3">
      <c r="A95" s="26" t="s">
        <v>227</v>
      </c>
      <c r="B95" s="27" t="s">
        <v>145</v>
      </c>
      <c r="C95" s="9">
        <v>0.56697898571428562</v>
      </c>
      <c r="D95" s="9">
        <v>8.100956</v>
      </c>
      <c r="E95" s="9">
        <v>0</v>
      </c>
      <c r="F95" s="9" t="s">
        <v>11</v>
      </c>
      <c r="I95" s="49"/>
      <c r="J95" s="54"/>
    </row>
    <row r="96" spans="1:10" x14ac:dyDescent="0.3">
      <c r="A96" s="6" t="s">
        <v>246</v>
      </c>
      <c r="B96" s="8" t="s">
        <v>161</v>
      </c>
      <c r="C96" s="7">
        <v>0.5557729755664661</v>
      </c>
      <c r="D96" s="7">
        <v>-8.0753692000000008</v>
      </c>
      <c r="E96" s="7">
        <v>-8.3315567999999951E-2</v>
      </c>
      <c r="F96" s="7" t="s">
        <v>18</v>
      </c>
      <c r="I96" s="49"/>
      <c r="J96" s="54"/>
    </row>
    <row r="97" spans="1:10" x14ac:dyDescent="0.3">
      <c r="A97" s="26" t="s">
        <v>235</v>
      </c>
      <c r="B97" s="27" t="s">
        <v>153</v>
      </c>
      <c r="C97" s="9">
        <v>0.54452519999999993</v>
      </c>
      <c r="D97" s="9">
        <v>-6.8625455000000004</v>
      </c>
      <c r="E97" s="9">
        <v>1.94305E-2</v>
      </c>
      <c r="F97" s="9" t="s">
        <v>12</v>
      </c>
      <c r="I97" s="49"/>
      <c r="J97" s="54"/>
    </row>
    <row r="98" spans="1:10" x14ac:dyDescent="0.3">
      <c r="A98" s="6" t="s">
        <v>242</v>
      </c>
      <c r="B98" s="8" t="s">
        <v>158</v>
      </c>
      <c r="C98" s="7">
        <v>0.52205873458646623</v>
      </c>
      <c r="D98" s="7">
        <v>0.68130299999999999</v>
      </c>
      <c r="E98" s="7">
        <v>4.26413E-2</v>
      </c>
      <c r="F98" s="7" t="s">
        <v>15</v>
      </c>
      <c r="I98" s="49"/>
      <c r="J98" s="54"/>
    </row>
    <row r="99" spans="1:10" x14ac:dyDescent="0.3">
      <c r="A99" s="26" t="s">
        <v>240</v>
      </c>
      <c r="B99" s="27" t="s">
        <v>157</v>
      </c>
      <c r="C99" s="9">
        <v>0.51720155045112781</v>
      </c>
      <c r="D99" s="9">
        <v>5.3718665000000003</v>
      </c>
      <c r="E99" s="9">
        <v>5.1237499999999998E-2</v>
      </c>
      <c r="F99" s="9" t="s">
        <v>18</v>
      </c>
      <c r="I99" s="49"/>
      <c r="J99" s="54"/>
    </row>
    <row r="100" spans="1:10" x14ac:dyDescent="0.3">
      <c r="A100" s="6" t="s">
        <v>247</v>
      </c>
      <c r="B100" s="8" t="s">
        <v>162</v>
      </c>
      <c r="C100" s="7">
        <v>0.4956756338345864</v>
      </c>
      <c r="D100" s="7">
        <v>-2.8544832999999996</v>
      </c>
      <c r="E100" s="7">
        <v>-0.1364359</v>
      </c>
      <c r="F100" s="7" t="s">
        <v>15</v>
      </c>
      <c r="I100" s="49"/>
      <c r="J100" s="54"/>
    </row>
    <row r="101" spans="1:10" x14ac:dyDescent="0.3">
      <c r="A101" s="66" t="s">
        <v>266</v>
      </c>
      <c r="B101" s="67" t="s">
        <v>267</v>
      </c>
      <c r="C101" s="10">
        <v>0.47741018421052628</v>
      </c>
      <c r="D101" s="10">
        <v>-0.17480999999999999</v>
      </c>
      <c r="E101" s="10">
        <v>-0.68244150000000003</v>
      </c>
      <c r="F101" s="10" t="s">
        <v>18</v>
      </c>
      <c r="I101" s="49"/>
      <c r="J101" s="54"/>
    </row>
    <row r="102" spans="1:10" x14ac:dyDescent="0.3">
      <c r="A102" s="63"/>
      <c r="B102" s="11"/>
      <c r="C102" s="11"/>
      <c r="D102" s="64"/>
      <c r="E102" s="64"/>
      <c r="F102" s="64"/>
      <c r="G102" s="49"/>
      <c r="H102" s="53"/>
      <c r="J102" s="54"/>
    </row>
    <row r="104" spans="1:10" x14ac:dyDescent="0.3">
      <c r="A104" s="12" t="s">
        <v>69</v>
      </c>
    </row>
    <row r="105" spans="1:10" x14ac:dyDescent="0.3">
      <c r="A105" s="12" t="s">
        <v>84</v>
      </c>
    </row>
    <row r="106" spans="1:10" x14ac:dyDescent="0.3">
      <c r="A106" s="12" t="s">
        <v>256</v>
      </c>
    </row>
    <row r="107" spans="1:10" x14ac:dyDescent="0.3">
      <c r="A107" s="12" t="s">
        <v>255</v>
      </c>
    </row>
    <row r="108" spans="1:10" x14ac:dyDescent="0.3">
      <c r="A108" s="12" t="s">
        <v>77</v>
      </c>
    </row>
  </sheetData>
  <pageMargins left="0.7" right="0.7" top="0.75" bottom="0.75" header="0.3" footer="0.3"/>
  <pageSetup orientation="portrait" r:id="rId1"/>
  <ignoredErrors>
    <ignoredError sqref="B35 B7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2023-07-17T06:25:31Z</dcterms:modified>
</cp:coreProperties>
</file>