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531"/>
  <workbookPr codeName="ThisWorkbook"/>
  <mc:AlternateContent xmlns:mc="http://schemas.openxmlformats.org/markup-compatibility/2006">
    <mc:Choice Requires="x15">
      <x15ac:absPath xmlns:x15ac="http://schemas.microsoft.com/office/spreadsheetml/2010/11/ac" url="Z:\Research &amp; Retail &amp; Intermed\Research\Production\Insti fund flow tracker files\Draft reports\Final reports\Weekly excel files\"/>
    </mc:Choice>
  </mc:AlternateContent>
  <xr:revisionPtr revIDLastSave="0" documentId="13_ncr:1_{B979E03B-3DEF-4C9B-8D17-4CBF1EE6F482}" xr6:coauthVersionLast="47" xr6:coauthVersionMax="47" xr10:uidLastSave="{00000000-0000-0000-0000-000000000000}"/>
  <bookViews>
    <workbookView xWindow="-13920" yWindow="-16425" windowWidth="29040" windowHeight="15840" xr2:uid="{00000000-000D-0000-FFFF-FFFF00000000}"/>
  </bookViews>
  <sheets>
    <sheet name="Weekly Top 10" sheetId="1" r:id="rId1"/>
    <sheet name="Institutional" sheetId="2" r:id="rId2"/>
    <sheet name="Retail" sheetId="3" r:id="rId3"/>
    <sheet name="STI Constituents" sheetId="4" r:id="rId4"/>
    <sheet name="100 Most Traded Stocks" sheetId="5" r:id="rId5"/>
  </sheets>
  <definedNames>
    <definedName name="_xlnm._FilterDatabase" localSheetId="4" hidden="1">'100 Most Traded Stocks'!$A$1:$F$101</definedName>
    <definedName name="_xlnm._FilterDatabase" localSheetId="3" hidden="1">'STI Constituents'!$A$1:$D$32</definedName>
    <definedName name="_xlnm._FilterDatabase" localSheetId="0" hidden="1">'Weekly Top 10'!$H$19:$H$28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D32" i="4" l="1"/>
  <c r="C32" i="4"/>
  <c r="A6" i="2" l="1"/>
  <c r="A5" i="3"/>
  <c r="A4" i="3"/>
  <c r="A3" i="3"/>
  <c r="A5" i="2"/>
  <c r="A4" i="2"/>
  <c r="A3" i="2"/>
  <c r="A1" i="5"/>
  <c r="A6" i="3" l="1"/>
  <c r="A1" i="4" l="1"/>
  <c r="C18" i="1" l="1"/>
  <c r="F18" i="1" s="1"/>
  <c r="F5" i="1"/>
</calcChain>
</file>

<file path=xl/sharedStrings.xml><?xml version="1.0" encoding="utf-8"?>
<sst xmlns="http://schemas.openxmlformats.org/spreadsheetml/2006/main" count="517" uniqueCount="289">
  <si>
    <t>Top 10 Institution Net Buy (+) Stocks (S$M)</t>
  </si>
  <si>
    <t>Stock Code</t>
  </si>
  <si>
    <t>Top 10 Institution Net Sell (-) Stocks (S$M)</t>
  </si>
  <si>
    <t>Top 10 Retail Net Buy (+) Stocks (S$M)</t>
  </si>
  <si>
    <t>Top 10 Retail Net Sell (-) Stocks (S$M)</t>
  </si>
  <si>
    <t>Source: Singapore Exchange. Sectors are categorized by SGX. REITs refer to Real Estate Investment Trusts.</t>
  </si>
  <si>
    <t>Note: Fund flow data for all SGX-listed companies only</t>
  </si>
  <si>
    <t>Overall</t>
  </si>
  <si>
    <t>SGX Sector Classification</t>
  </si>
  <si>
    <t>Institutional Investors net buy/sell (S$M)</t>
  </si>
  <si>
    <t>Consumer Cyclicals</t>
  </si>
  <si>
    <t>Consumer Non-Cyclicals</t>
  </si>
  <si>
    <t>Energy/
Oil &amp; Gas</t>
  </si>
  <si>
    <t>Financial Services</t>
  </si>
  <si>
    <t>Industrials</t>
  </si>
  <si>
    <t>Materials &amp; Resources</t>
  </si>
  <si>
    <t>Real Estate (excl. REITs)</t>
  </si>
  <si>
    <t>REITs</t>
  </si>
  <si>
    <t>Technology (Hardware/
Software)</t>
  </si>
  <si>
    <t>Utilities</t>
  </si>
  <si>
    <t>Retail Investors net buy/sell (S$M)</t>
  </si>
  <si>
    <t>D05</t>
  </si>
  <si>
    <t>O39</t>
  </si>
  <si>
    <t>U11</t>
  </si>
  <si>
    <t>S68</t>
  </si>
  <si>
    <t>A17U</t>
  </si>
  <si>
    <t>DBS</t>
  </si>
  <si>
    <t>OCBC</t>
  </si>
  <si>
    <t>UOB</t>
  </si>
  <si>
    <t>SGX</t>
  </si>
  <si>
    <t>S58</t>
  </si>
  <si>
    <t>C6L</t>
  </si>
  <si>
    <t>BN4</t>
  </si>
  <si>
    <t>SIA</t>
  </si>
  <si>
    <t>SATS</t>
  </si>
  <si>
    <t>G13</t>
  </si>
  <si>
    <t>Genting Singapore</t>
  </si>
  <si>
    <t>S63</t>
  </si>
  <si>
    <t>M44U</t>
  </si>
  <si>
    <t>ST Engineering</t>
  </si>
  <si>
    <t>Mapletree Logistics Trust</t>
  </si>
  <si>
    <t>F34</t>
  </si>
  <si>
    <t>U96</t>
  </si>
  <si>
    <t>V03</t>
  </si>
  <si>
    <t>Wilmar International</t>
  </si>
  <si>
    <t>Sembcorp Industries</t>
  </si>
  <si>
    <t>Venture Corporation</t>
  </si>
  <si>
    <t>Z74</t>
  </si>
  <si>
    <t>C07</t>
  </si>
  <si>
    <t>Singtel</t>
  </si>
  <si>
    <t>Jardine Cycle &amp; Carriage</t>
  </si>
  <si>
    <t>Y92</t>
  </si>
  <si>
    <t>J36</t>
  </si>
  <si>
    <t>BS6</t>
  </si>
  <si>
    <t>C09</t>
  </si>
  <si>
    <t>H78</t>
  </si>
  <si>
    <t>C38U</t>
  </si>
  <si>
    <t>D01</t>
  </si>
  <si>
    <t>N2IU</t>
  </si>
  <si>
    <t>U14</t>
  </si>
  <si>
    <t>Thai Beverage</t>
  </si>
  <si>
    <t>Yangzijiang Shipbuilding</t>
  </si>
  <si>
    <t>Jardine Matheson</t>
  </si>
  <si>
    <t>City Developments</t>
  </si>
  <si>
    <t>Hongkong Land</t>
  </si>
  <si>
    <t>UOL Group</t>
  </si>
  <si>
    <t>Overall Net Buy (+) / Net Sell (-) (S$M)</t>
  </si>
  <si>
    <t>Source: Singapore Exchange.</t>
  </si>
  <si>
    <t>Contact Us</t>
  </si>
  <si>
    <t>Health
care</t>
  </si>
  <si>
    <t>Telcos</t>
  </si>
  <si>
    <t>Institution
Net Buy (+) / Net Sell (-) (S$M)</t>
  </si>
  <si>
    <t>Retail
Net Buy (+) / Net Sell (-) (S$M)</t>
  </si>
  <si>
    <t>https://www2.sgx.com/research-education/data-reports</t>
  </si>
  <si>
    <t>ME8U</t>
  </si>
  <si>
    <t>Mapletree Industrial Trust</t>
  </si>
  <si>
    <t>AJBU</t>
  </si>
  <si>
    <t>CapitaLand Integrated Commercial Trust</t>
  </si>
  <si>
    <t>BUOU</t>
  </si>
  <si>
    <t>Frasers Logistics &amp; Commercial Trust</t>
  </si>
  <si>
    <t>Definition: Institutional fund flow is derived by subtracting retail account flow and MMAT flow from TOTAL ST markets flows. Net buy/sell amount is derived by subtracting total sell amount from total buy amount</t>
  </si>
  <si>
    <t>Definition: Retail fund flow is derived by subtracting institutional investors account flow and MMAT flow from TOTAL ST markets flows. Net buy/sell amount is derived by subtracting total sell amount from total buy amount</t>
  </si>
  <si>
    <t>Definition: Retail fund flows derived by subtracting institutional investors account flow and MMAT flow from TOTAL ST markets flows. Net buy/sell amount derived by subtracting total sell amount from total buy amount</t>
  </si>
  <si>
    <t>9CI</t>
  </si>
  <si>
    <t>CapitaLand Investment</t>
  </si>
  <si>
    <t>DFI Retail Group</t>
  </si>
  <si>
    <t>EMI</t>
  </si>
  <si>
    <t>CapitaLand Ascendas REIT</t>
  </si>
  <si>
    <t>T82U</t>
  </si>
  <si>
    <t>AWX</t>
  </si>
  <si>
    <t>OV8</t>
  </si>
  <si>
    <t>HMN</t>
  </si>
  <si>
    <t>NS8U</t>
  </si>
  <si>
    <t>CMOU</t>
  </si>
  <si>
    <t>S56</t>
  </si>
  <si>
    <t>AU8U</t>
  </si>
  <si>
    <t>VC2</t>
  </si>
  <si>
    <t>YTD Institution
Net Buy (+) / Net Sell (-) (S$M)</t>
  </si>
  <si>
    <t>YTD Avg Daily Turnover (S$M)</t>
  </si>
  <si>
    <t>Past 5 Sessions Institution Net Buy (+) / Net Sell (-) (S$M)</t>
  </si>
  <si>
    <t>Sector</t>
  </si>
  <si>
    <t>K71U</t>
  </si>
  <si>
    <t>J91U</t>
  </si>
  <si>
    <t>A7RU</t>
  </si>
  <si>
    <t>5WH</t>
  </si>
  <si>
    <t>C52</t>
  </si>
  <si>
    <t>JYEU</t>
  </si>
  <si>
    <t>E5H</t>
  </si>
  <si>
    <t>J69U</t>
  </si>
  <si>
    <t>E28</t>
  </si>
  <si>
    <t>MZH</t>
  </si>
  <si>
    <t>YF8</t>
  </si>
  <si>
    <t>EB5</t>
  </si>
  <si>
    <t>BSL</t>
  </si>
  <si>
    <t>CGN</t>
  </si>
  <si>
    <t>CJLU</t>
  </si>
  <si>
    <t>NIO</t>
  </si>
  <si>
    <t>CY6U</t>
  </si>
  <si>
    <t>DCRU</t>
  </si>
  <si>
    <t>J85</t>
  </si>
  <si>
    <t>RE4</t>
  </si>
  <si>
    <t>C2PU</t>
  </si>
  <si>
    <t>T13</t>
  </si>
  <si>
    <t>AIY</t>
  </si>
  <si>
    <t>BTOU</t>
  </si>
  <si>
    <t>BVA</t>
  </si>
  <si>
    <t>SK6U</t>
  </si>
  <si>
    <t>O5RU</t>
  </si>
  <si>
    <t>NO4</t>
  </si>
  <si>
    <t>CC3</t>
  </si>
  <si>
    <t>AP4</t>
  </si>
  <si>
    <t>OXMU</t>
  </si>
  <si>
    <t>CRPU</t>
  </si>
  <si>
    <t>Z25</t>
  </si>
  <si>
    <t>S08</t>
  </si>
  <si>
    <t>Q5T</t>
  </si>
  <si>
    <t>P40U</t>
  </si>
  <si>
    <t>F03</t>
  </si>
  <si>
    <t>P34</t>
  </si>
  <si>
    <t>CWBU</t>
  </si>
  <si>
    <t>ComfortDelGro</t>
  </si>
  <si>
    <t>Note ^ on SGX Watchlist</t>
  </si>
  <si>
    <t>All stocks tabled above consolidates counters relevant to the stock (e.g. fund flow for Singtel includes counters Z74 and Z77)</t>
  </si>
  <si>
    <t>Seatrium</t>
  </si>
  <si>
    <t>546</t>
  </si>
  <si>
    <t>TS0U</t>
  </si>
  <si>
    <t>8AZ</t>
  </si>
  <si>
    <t xml:space="preserve">Note that the above list of 100 most traded stocks is on a year-to-date basis and may include stocks that are currently suspended for trading. </t>
  </si>
  <si>
    <t>544</t>
  </si>
  <si>
    <t>Keppel</t>
  </si>
  <si>
    <t>F83</t>
  </si>
  <si>
    <t>5NV</t>
  </si>
  <si>
    <t>Z59</t>
  </si>
  <si>
    <t>BEZ</t>
  </si>
  <si>
    <t>G92</t>
  </si>
  <si>
    <t>T14</t>
  </si>
  <si>
    <t>H02</t>
  </si>
  <si>
    <t>S59</t>
  </si>
  <si>
    <t>5LY</t>
  </si>
  <si>
    <t>AGS</t>
  </si>
  <si>
    <t>Telecommunications</t>
  </si>
  <si>
    <t>Technology (Hardware/ Software)</t>
  </si>
  <si>
    <t>Energy/ Oil &amp; Gas</t>
  </si>
  <si>
    <t>Healthcare</t>
  </si>
  <si>
    <t>OCBC Bank</t>
  </si>
  <si>
    <t>CapLand IntCom T</t>
  </si>
  <si>
    <t>CapLand Ascendas REIT</t>
  </si>
  <si>
    <t>YZJ Shipbldg SGD</t>
  </si>
  <si>
    <t>CapitaLandInvest</t>
  </si>
  <si>
    <t>Mapletree Log Tr</t>
  </si>
  <si>
    <t>Genting Sing</t>
  </si>
  <si>
    <t>Keppel DC Reit</t>
  </si>
  <si>
    <t>JMH USD</t>
  </si>
  <si>
    <t>Wilmar Intl</t>
  </si>
  <si>
    <t>Sembcorp Ind</t>
  </si>
  <si>
    <t>Mapletree Ind Tr</t>
  </si>
  <si>
    <t>Mapletree PanAsia Com Tr</t>
  </si>
  <si>
    <t>ThaiBev</t>
  </si>
  <si>
    <t>Jardine C&amp;C</t>
  </si>
  <si>
    <t>UOL</t>
  </si>
  <si>
    <t>CityDev</t>
  </si>
  <si>
    <t>Venture</t>
  </si>
  <si>
    <t>Keppel Reit</t>
  </si>
  <si>
    <t>Frasers Cpt Tr</t>
  </si>
  <si>
    <t>Frasers L&amp;C Tr</t>
  </si>
  <si>
    <t>HongkongLand USD</t>
  </si>
  <si>
    <t>Suntec Reit</t>
  </si>
  <si>
    <t>AEM SGD</t>
  </si>
  <si>
    <t>CapLand Ascott T</t>
  </si>
  <si>
    <t>Frencken</t>
  </si>
  <si>
    <t>UMS</t>
  </si>
  <si>
    <t>Geo Energy Res</t>
  </si>
  <si>
    <t>SamuderaShipping</t>
  </si>
  <si>
    <t>IFAST</t>
  </si>
  <si>
    <t>Nanofilm</t>
  </si>
  <si>
    <t>ESR-LOGOS REIT</t>
  </si>
  <si>
    <t>NetLink NBN Tr</t>
  </si>
  <si>
    <t>CapLand China T</t>
  </si>
  <si>
    <t>Rex Intl</t>
  </si>
  <si>
    <t>CapLand India T</t>
  </si>
  <si>
    <t>Lendlease Reit</t>
  </si>
  <si>
    <t>COSCO SHP SG</t>
  </si>
  <si>
    <t>CDL HTrust</t>
  </si>
  <si>
    <t>NIO Inc. USD OV</t>
  </si>
  <si>
    <t>ParkwayLife Reit</t>
  </si>
  <si>
    <t>DFIRG USD</t>
  </si>
  <si>
    <t>Kep Infra Tr</t>
  </si>
  <si>
    <t>Golden Agri-Res</t>
  </si>
  <si>
    <t>DigiCore Reit USD</t>
  </si>
  <si>
    <t>Sheng Siong</t>
  </si>
  <si>
    <t>Medtecs Intl</t>
  </si>
  <si>
    <t>YZJ Fin Hldg</t>
  </si>
  <si>
    <t>Dyna-Mac</t>
  </si>
  <si>
    <t>Food Empire</t>
  </si>
  <si>
    <t>First Resources</t>
  </si>
  <si>
    <t>StarHub</t>
  </si>
  <si>
    <t>Riverstone</t>
  </si>
  <si>
    <t>Yanlord Land</t>
  </si>
  <si>
    <t>Chasen</t>
  </si>
  <si>
    <t>HPH Trust USD</t>
  </si>
  <si>
    <t>AIMS APAC Reit</t>
  </si>
  <si>
    <t>Far East HTrust</t>
  </si>
  <si>
    <t>KepPacOakReitUSD</t>
  </si>
  <si>
    <t>Cromwell Reit EUR</t>
  </si>
  <si>
    <t>Raffles Medical</t>
  </si>
  <si>
    <t>Olam Group</t>
  </si>
  <si>
    <t>Top Glove</t>
  </si>
  <si>
    <t>SingPost</t>
  </si>
  <si>
    <t>ManulifeReit USD</t>
  </si>
  <si>
    <t>OUEREIT</t>
  </si>
  <si>
    <t>Prime US ReitUSD</t>
  </si>
  <si>
    <t>StarhillGbl Reit</t>
  </si>
  <si>
    <t>PARAGONREIT</t>
  </si>
  <si>
    <t>Emperador Inc.</t>
  </si>
  <si>
    <t>Aztech Gbl</t>
  </si>
  <si>
    <t>TJ DaRenTang USD</t>
  </si>
  <si>
    <t>RH PetroGas</t>
  </si>
  <si>
    <t>China Aviation</t>
  </si>
  <si>
    <t>MarcoPolo Marine</t>
  </si>
  <si>
    <t>CSE Global</t>
  </si>
  <si>
    <t>Beng Kuang^</t>
  </si>
  <si>
    <t>Best World</t>
  </si>
  <si>
    <t>Haw Par</t>
  </si>
  <si>
    <t>TheHourGlass</t>
  </si>
  <si>
    <t>Sasseur Reit</t>
  </si>
  <si>
    <t>Delfi</t>
  </si>
  <si>
    <t>Yoma Strategic</t>
  </si>
  <si>
    <t>SIA Engineering</t>
  </si>
  <si>
    <t>Source: SGX.</t>
  </si>
  <si>
    <t>Straits Trading</t>
  </si>
  <si>
    <t>S20</t>
  </si>
  <si>
    <t>Definition: Retail fund flow is derived by subtracting institutional Investmentestors account flow and MMAT flow from TOTAL ST markets flows. Net buy/sell amount is derived by subtracting total sell amount from total buy amount</t>
  </si>
  <si>
    <t>Frasers Centrepoint Trust</t>
  </si>
  <si>
    <t>Mermaid Maritime</t>
  </si>
  <si>
    <t>DU4</t>
  </si>
  <si>
    <t>Bumitama Agri</t>
  </si>
  <si>
    <t>P8Z</t>
  </si>
  <si>
    <t>Great Eastern</t>
  </si>
  <si>
    <t>G07</t>
  </si>
  <si>
    <t>5E2</t>
  </si>
  <si>
    <t>Japfa</t>
  </si>
  <si>
    <t>UD2</t>
  </si>
  <si>
    <t>https://www2.SGX.com/research-education/data-reports</t>
  </si>
  <si>
    <t>To sign up for daily market updates or for more information, please contact research@SGX.com.</t>
  </si>
  <si>
    <t>SGX.com/research</t>
  </si>
  <si>
    <t>This document/material is not intended for distribution to, or for use by or to be acted on by any person or entity located in    any jurisdiction where such distribution, use or action would be contrary to applicable laws or regulations or would subject SGX (“SGX”) and/or its affiliates (collectively with SGX, the “SGX Group Companies”) to any registration or licensing requirement. This document/material is not an offer or solicitation to buy or sell, nor financial advice or recommendation for any Investmentestment product. This document/material has been published for general circulation only. It   does not address the specific Investmentestment objectives, financial situation or particular needs of any person. Advice should be sought from a   financial adviser regarding the suitability of any Investmentestment product before Investmentesting or adopting any Investmentestment strategies. Use of and/or reliance on this document/material is entirely at the reader’s own risk. Investmentestment products are subject to significant Investmentestment risks, including the possible loss of the principal amount Investmentested.  Past  performance of  Investmentestment products is  not indicative of their future performance. Any forecast, prediction or projection in    this document/material is not necessarily indicative of the future or likely performance of the product. Examples (if any) provided are for illustrative purposes only. While each of the SGX Group Companies have taken reasonable care to ensure the accuracy and completeness of the information provided, each of the SGX  Group Companies disclaims any  and all guarantees, representations and warranties, expressed or implied, in relation to this document/material and shall not be responsible or liable (whether under contract, tort (including negligence) or otherwise)  for any  loss or damage of any kind (whether direct, indirect or consequential losses or other economic loss of any kind, including without limitation loss of profit, loss of reputation and loss of opportunity) suffered or incurred by any person due to any omission, error, inaccuracy, incompleteness, or otherwise, any  reliance  on such information, or arising from and/or  in connection with this  document/material. The  information  in  this document/material may have been obtained via third party sources and which have not been independently verified by any SGX Group Company. No SGX Group Company endorses or shall be liable for the content of information provided by  third parties (if any).  The SGX Group Companies may deal in  Investmentestment products in the usual course of their  business, and may be on the opposite side of any trades. Each of SGX, SGX Securities Trading   and SGX Bond Trading Pte.  . is an exempt financial adviser under the Financial Advisers Act (Cap. 110) of Singapore. The information in this document/material is subject to change without notice. This  document/material shall not be reproduced, republished, uploaded, linked, posted, transmitted, adapted, copied, translated, modified, edited or otherwise displayed or distributed in  any manner without SGX’s prior written consent. Please note that the general disclaimers and jurisdiction specific disclaimers found on SGX’s website at http://www.SGX.com/terms-use are also incorporated into and applicable to this document/material.</t>
  </si>
  <si>
    <t>558</t>
  </si>
  <si>
    <t xml:space="preserve">Jardine Cycle &amp; Carriage </t>
  </si>
  <si>
    <t xml:space="preserve">Seatrium </t>
  </si>
  <si>
    <t xml:space="preserve">Sembcorp Industries </t>
  </si>
  <si>
    <t xml:space="preserve">City Developments </t>
  </si>
  <si>
    <t xml:space="preserve">Genting Singapore </t>
  </si>
  <si>
    <t xml:space="preserve">CapitaLand Investment </t>
  </si>
  <si>
    <t xml:space="preserve">Wilmar International </t>
  </si>
  <si>
    <t>Valuetronics</t>
  </si>
  <si>
    <t>BN2</t>
  </si>
  <si>
    <t>Week of 1 July 2024</t>
  </si>
  <si>
    <t>CapitaLand Ascott Trust</t>
  </si>
  <si>
    <t xml:space="preserve">Great Eastern </t>
  </si>
  <si>
    <t xml:space="preserve">Sheng Siong Group </t>
  </si>
  <si>
    <t xml:space="preserve">Great Eastern  </t>
  </si>
  <si>
    <t xml:space="preserve">Jardine Matheson Holdings </t>
  </si>
  <si>
    <t xml:space="preserve">Yangzijiang Shipbuilding </t>
  </si>
  <si>
    <r>
      <t xml:space="preserve">Retail investors net </t>
    </r>
    <r>
      <rPr>
        <b/>
        <sz val="11"/>
        <rFont val="Arial"/>
        <family val="2"/>
      </rPr>
      <t>sell</t>
    </r>
    <r>
      <rPr>
        <sz val="11"/>
        <rFont val="Arial"/>
        <family val="2"/>
      </rPr>
      <t xml:space="preserve"> (-S$324.9m) vs. (-S$92.5m) a week ago</t>
    </r>
  </si>
  <si>
    <r>
      <t xml:space="preserve">Institutional investors net </t>
    </r>
    <r>
      <rPr>
        <b/>
        <sz val="11"/>
        <rFont val="Arial"/>
        <family val="2"/>
      </rPr>
      <t>buy</t>
    </r>
    <r>
      <rPr>
        <sz val="11"/>
        <rFont val="Arial"/>
        <family val="2"/>
      </rPr>
      <t xml:space="preserve"> (+S$233.2m) vs. (-S$117.3m) a week ago</t>
    </r>
  </si>
  <si>
    <t>Mapletree Pan Asia Commercial Trust</t>
  </si>
  <si>
    <t>iFast Corporation</t>
  </si>
  <si>
    <t>Nanofilm Technologies</t>
  </si>
  <si>
    <t>Seatrium Ltd (from 7 May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</si>
</sst>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0.00_);_(* \(#,##0.00\);_(* &quot;-&quot;??_);_(@_)"/>
    <numFmt numFmtId="164" formatCode="_-* #,##0.00_-;\-* #,##0.00_-;_-* &quot;-&quot;??_-;_-@_-"/>
    <numFmt numFmtId="165" formatCode="0.0_);[Red]\(0.0\)"/>
    <numFmt numFmtId="166" formatCode="[$-409]d\-mmm\-yy;@"/>
    <numFmt numFmtId="167" formatCode="#,##0.0_);\(#,##0.0\)"/>
    <numFmt numFmtId="168" formatCode="#,##0.0_);[Red]\(#,##0.0\)"/>
    <numFmt numFmtId="169" formatCode="_(* #,##0.0_);_(* \(#,##0.0\);_(* &quot;-&quot;??_);_(@_)"/>
    <numFmt numFmtId="170" formatCode="_(* #,##0.0_);_(* \(#,##0.0\);_(* &quot;-&quot;?_);_(@_)"/>
    <numFmt numFmtId="171" formatCode="0.0"/>
    <numFmt numFmtId="172" formatCode="_-* #,##0.0_-;\-* #,##0.0_-;_-* &quot;-&quot;??_-;_-@_-"/>
  </numFmts>
  <fonts count="19" x14ac:knownFonts="1">
    <font>
      <sz val="11"/>
      <color theme="1"/>
      <name val="Calibri"/>
      <family val="2"/>
      <scheme val="minor"/>
    </font>
    <font>
      <sz val="11"/>
      <color theme="1"/>
      <name val="Calibri"/>
      <family val="2"/>
      <scheme val="minor"/>
    </font>
    <font>
      <b/>
      <u/>
      <sz val="11"/>
      <color theme="1"/>
      <name val="Arial"/>
      <family val="2"/>
    </font>
    <font>
      <sz val="11"/>
      <color theme="1"/>
      <name val="Arial"/>
      <family val="2"/>
    </font>
    <font>
      <b/>
      <sz val="11"/>
      <color theme="1"/>
      <name val="Arial"/>
      <family val="2"/>
    </font>
    <font>
      <b/>
      <sz val="11"/>
      <color indexed="9"/>
      <name val="Arial"/>
      <family val="2"/>
    </font>
    <font>
      <i/>
      <sz val="11"/>
      <color theme="1"/>
      <name val="Arial"/>
      <family val="2"/>
    </font>
    <font>
      <b/>
      <sz val="11"/>
      <color theme="0"/>
      <name val="Arial"/>
      <family val="2"/>
    </font>
    <font>
      <b/>
      <sz val="11"/>
      <color rgb="FF002060"/>
      <name val="Arial"/>
      <family val="2"/>
    </font>
    <font>
      <b/>
      <sz val="12"/>
      <color rgb="FF0B236B"/>
      <name val="Calibri"/>
      <family val="2"/>
      <scheme val="minor"/>
    </font>
    <font>
      <sz val="10"/>
      <color rgb="FF616363"/>
      <name val="Calibri"/>
      <family val="2"/>
      <scheme val="minor"/>
    </font>
    <font>
      <b/>
      <sz val="10.5"/>
      <color rgb="FF616363"/>
      <name val="Calibri"/>
      <family val="2"/>
      <scheme val="minor"/>
    </font>
    <font>
      <sz val="12"/>
      <color theme="1"/>
      <name val="Arial"/>
      <family val="2"/>
    </font>
    <font>
      <sz val="8"/>
      <color theme="1" tint="0.34998626667073579"/>
      <name val="Arial"/>
      <family val="2"/>
    </font>
    <font>
      <sz val="11"/>
      <color rgb="FF000000"/>
      <name val="Arial"/>
      <family val="2"/>
    </font>
    <font>
      <sz val="11"/>
      <name val="Arial"/>
      <family val="2"/>
    </font>
    <font>
      <b/>
      <sz val="11"/>
      <name val="Calibri"/>
      <family val="2"/>
      <scheme val="minor"/>
    </font>
    <font>
      <b/>
      <sz val="11"/>
      <name val="Arial"/>
      <family val="2"/>
    </font>
    <font>
      <b/>
      <sz val="11"/>
      <color theme="1"/>
      <name val="Calibri"/>
      <family val="2"/>
      <scheme val="minor"/>
    </font>
  </fonts>
  <fills count="8">
    <fill>
      <patternFill patternType="none"/>
    </fill>
    <fill>
      <patternFill patternType="gray125"/>
    </fill>
    <fill>
      <patternFill patternType="solid">
        <fgColor indexed="56"/>
        <bgColor indexed="9"/>
      </patternFill>
    </fill>
    <fill>
      <patternFill patternType="solid">
        <fgColor rgb="FFFF0000"/>
        <bgColor indexed="9"/>
      </patternFill>
    </fill>
    <fill>
      <patternFill patternType="solid">
        <fgColor theme="0" tint="-4.9989318521683403E-2"/>
        <bgColor indexed="64"/>
      </patternFill>
    </fill>
    <fill>
      <patternFill patternType="solid">
        <fgColor rgb="FFF2F2F2"/>
        <bgColor indexed="64"/>
      </patternFill>
    </fill>
    <fill>
      <patternFill patternType="solid">
        <fgColor rgb="FF00B050"/>
        <bgColor indexed="64"/>
      </patternFill>
    </fill>
    <fill>
      <patternFill patternType="solid">
        <fgColor theme="0"/>
        <bgColor indexed="64"/>
      </patternFill>
    </fill>
  </fills>
  <borders count="18">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31"/>
      </right>
      <top style="thin">
        <color indexed="64"/>
      </top>
      <bottom style="thin">
        <color indexed="64"/>
      </bottom>
      <diagonal/>
    </border>
    <border>
      <left/>
      <right style="thin">
        <color indexed="31"/>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style="thin">
        <color indexed="64"/>
      </left>
      <right/>
      <top/>
      <bottom/>
      <diagonal/>
    </border>
    <border>
      <left style="medium">
        <color indexed="64"/>
      </left>
      <right/>
      <top style="medium">
        <color indexed="64"/>
      </top>
      <bottom style="medium">
        <color indexed="64"/>
      </bottom>
      <diagonal/>
    </border>
    <border>
      <left/>
      <right style="medium">
        <color rgb="FF002060"/>
      </right>
      <top style="medium">
        <color indexed="64"/>
      </top>
      <bottom style="medium">
        <color indexed="64"/>
      </bottom>
      <diagonal/>
    </border>
    <border>
      <left style="medium">
        <color rgb="FF002060"/>
      </left>
      <right style="medium">
        <color rgb="FF002060"/>
      </right>
      <top style="medium">
        <color indexed="64"/>
      </top>
      <bottom style="medium">
        <color indexed="64"/>
      </bottom>
      <diagonal/>
    </border>
    <border>
      <left style="medium">
        <color rgb="FF002060"/>
      </left>
      <right style="medium">
        <color indexed="64"/>
      </right>
      <top style="medium">
        <color indexed="64"/>
      </top>
      <bottom style="medium">
        <color indexed="64"/>
      </bottom>
      <diagonal/>
    </border>
  </borders>
  <cellStyleXfs count="2">
    <xf numFmtId="0" fontId="0" fillId="0" borderId="0"/>
    <xf numFmtId="43" fontId="1" fillId="0" borderId="0" applyFont="0" applyFill="0" applyBorder="0" applyAlignment="0" applyProtection="0"/>
  </cellStyleXfs>
  <cellXfs count="93">
    <xf numFmtId="0" fontId="0" fillId="0" borderId="0" xfId="0"/>
    <xf numFmtId="0" fontId="2" fillId="0" borderId="0" xfId="0" applyFont="1"/>
    <xf numFmtId="0" fontId="3" fillId="0" borderId="0" xfId="0" applyFont="1"/>
    <xf numFmtId="49" fontId="5" fillId="2" borderId="1" xfId="0" applyNumberFormat="1" applyFont="1" applyFill="1" applyBorder="1" applyAlignment="1">
      <alignment vertical="center" wrapText="1"/>
    </xf>
    <xf numFmtId="49" fontId="5" fillId="2" borderId="2" xfId="0" applyNumberFormat="1" applyFont="1" applyFill="1" applyBorder="1" applyAlignment="1">
      <alignment horizontal="right" vertical="center" wrapText="1"/>
    </xf>
    <xf numFmtId="165" fontId="3" fillId="4" borderId="4" xfId="0" applyNumberFormat="1" applyFont="1" applyFill="1" applyBorder="1" applyAlignment="1">
      <alignment horizontal="left"/>
    </xf>
    <xf numFmtId="165" fontId="3" fillId="4" borderId="4" xfId="0" applyNumberFormat="1" applyFont="1" applyFill="1" applyBorder="1" applyAlignment="1">
      <alignment horizontal="right"/>
    </xf>
    <xf numFmtId="0" fontId="3" fillId="4" borderId="4" xfId="0" applyFont="1" applyFill="1" applyBorder="1" applyAlignment="1">
      <alignment horizontal="left"/>
    </xf>
    <xf numFmtId="165" fontId="3" fillId="0" borderId="4" xfId="0" applyNumberFormat="1" applyFont="1" applyBorder="1" applyAlignment="1">
      <alignment horizontal="right"/>
    </xf>
    <xf numFmtId="165" fontId="3" fillId="0" borderId="5" xfId="0" applyNumberFormat="1" applyFont="1" applyBorder="1" applyAlignment="1">
      <alignment horizontal="right"/>
    </xf>
    <xf numFmtId="0" fontId="3" fillId="0" borderId="0" xfId="0" applyFont="1" applyAlignment="1">
      <alignment horizontal="left"/>
    </xf>
    <xf numFmtId="0" fontId="6" fillId="0" borderId="0" xfId="0" applyFont="1" applyAlignment="1">
      <alignment horizontal="left"/>
    </xf>
    <xf numFmtId="166" fontId="3" fillId="0" borderId="0" xfId="0" applyNumberFormat="1" applyFont="1" applyAlignment="1">
      <alignment horizontal="left"/>
    </xf>
    <xf numFmtId="49" fontId="5" fillId="2" borderId="6" xfId="0" applyNumberFormat="1" applyFont="1" applyFill="1" applyBorder="1" applyAlignment="1">
      <alignment horizontal="left" vertical="center" wrapText="1"/>
    </xf>
    <xf numFmtId="168" fontId="3" fillId="0" borderId="0" xfId="0" applyNumberFormat="1" applyFont="1"/>
    <xf numFmtId="168" fontId="3" fillId="4" borderId="0" xfId="1" applyNumberFormat="1" applyFont="1" applyFill="1" applyAlignment="1">
      <alignment horizontal="center" vertical="center"/>
    </xf>
    <xf numFmtId="49" fontId="5" fillId="2" borderId="8" xfId="0" applyNumberFormat="1" applyFont="1" applyFill="1" applyBorder="1" applyAlignment="1">
      <alignment vertical="center" wrapText="1"/>
    </xf>
    <xf numFmtId="49" fontId="5" fillId="2" borderId="9" xfId="0" applyNumberFormat="1" applyFont="1" applyFill="1" applyBorder="1" applyAlignment="1">
      <alignment horizontal="right" vertical="center" wrapText="1"/>
    </xf>
    <xf numFmtId="165" fontId="3" fillId="4" borderId="9" xfId="0" applyNumberFormat="1" applyFont="1" applyFill="1" applyBorder="1" applyAlignment="1">
      <alignment horizontal="left"/>
    </xf>
    <xf numFmtId="0" fontId="3" fillId="4" borderId="9" xfId="0" applyFont="1" applyFill="1" applyBorder="1" applyAlignment="1">
      <alignment horizontal="left"/>
    </xf>
    <xf numFmtId="165" fontId="3" fillId="4" borderId="9" xfId="0" applyNumberFormat="1" applyFont="1" applyFill="1" applyBorder="1" applyAlignment="1">
      <alignment horizontal="right"/>
    </xf>
    <xf numFmtId="165" fontId="3" fillId="0" borderId="4" xfId="0" applyNumberFormat="1" applyFont="1" applyBorder="1" applyAlignment="1">
      <alignment horizontal="left"/>
    </xf>
    <xf numFmtId="0" fontId="3" fillId="0" borderId="4" xfId="0" applyFont="1" applyBorder="1" applyAlignment="1">
      <alignment horizontal="left"/>
    </xf>
    <xf numFmtId="0" fontId="9" fillId="0" borderId="0" xfId="0" applyFont="1"/>
    <xf numFmtId="0" fontId="1" fillId="0" borderId="0" xfId="0" applyFont="1"/>
    <xf numFmtId="0" fontId="1" fillId="0" borderId="0" xfId="0" applyFont="1" applyAlignment="1">
      <alignment wrapText="1"/>
    </xf>
    <xf numFmtId="0" fontId="10" fillId="0" borderId="0" xfId="0" applyFont="1"/>
    <xf numFmtId="0" fontId="11" fillId="0" borderId="0" xfId="0" applyFont="1" applyAlignment="1">
      <alignment vertical="top"/>
    </xf>
    <xf numFmtId="0" fontId="1" fillId="0" borderId="0" xfId="0" applyFont="1" applyAlignment="1">
      <alignment vertical="top"/>
    </xf>
    <xf numFmtId="0" fontId="1" fillId="0" borderId="0" xfId="0" applyFont="1" applyAlignment="1">
      <alignment vertical="top" wrapText="1"/>
    </xf>
    <xf numFmtId="0" fontId="0" fillId="0" borderId="0" xfId="0" applyAlignment="1">
      <alignment vertical="top"/>
    </xf>
    <xf numFmtId="0" fontId="12" fillId="0" borderId="0" xfId="0" applyFont="1"/>
    <xf numFmtId="0" fontId="5" fillId="2" borderId="8" xfId="0" applyFont="1" applyFill="1" applyBorder="1" applyAlignment="1">
      <alignment vertical="center" wrapText="1"/>
    </xf>
    <xf numFmtId="0" fontId="3" fillId="0" borderId="12" xfId="0" applyFont="1" applyBorder="1" applyAlignment="1">
      <alignment horizontal="left"/>
    </xf>
    <xf numFmtId="0" fontId="14" fillId="5" borderId="9" xfId="0" applyFont="1" applyFill="1" applyBorder="1" applyAlignment="1">
      <alignment vertical="center"/>
    </xf>
    <xf numFmtId="0" fontId="14" fillId="0" borderId="4" xfId="0" applyFont="1" applyBorder="1" applyAlignment="1">
      <alignment vertical="center"/>
    </xf>
    <xf numFmtId="0" fontId="14" fillId="5" borderId="4" xfId="0" applyFont="1" applyFill="1" applyBorder="1" applyAlignment="1">
      <alignment vertical="center"/>
    </xf>
    <xf numFmtId="0" fontId="14" fillId="0" borderId="5" xfId="0" applyFont="1" applyBorder="1" applyAlignment="1">
      <alignment vertical="center"/>
    </xf>
    <xf numFmtId="169" fontId="0" fillId="0" borderId="0" xfId="1" applyNumberFormat="1" applyFont="1"/>
    <xf numFmtId="49" fontId="7" fillId="2" borderId="1" xfId="0" applyNumberFormat="1" applyFont="1" applyFill="1" applyBorder="1" applyAlignment="1">
      <alignment vertical="center" wrapText="1"/>
    </xf>
    <xf numFmtId="169" fontId="3" fillId="0" borderId="0" xfId="1" applyNumberFormat="1" applyFont="1"/>
    <xf numFmtId="169" fontId="0" fillId="0" borderId="0" xfId="1" applyNumberFormat="1" applyFont="1" applyAlignment="1">
      <alignment vertical="top"/>
    </xf>
    <xf numFmtId="170" fontId="0" fillId="0" borderId="0" xfId="0" applyNumberFormat="1"/>
    <xf numFmtId="165" fontId="0" fillId="0" borderId="0" xfId="0" applyNumberFormat="1"/>
    <xf numFmtId="168" fontId="0" fillId="0" borderId="0" xfId="0" applyNumberFormat="1"/>
    <xf numFmtId="170" fontId="3" fillId="0" borderId="0" xfId="0" applyNumberFormat="1" applyFont="1"/>
    <xf numFmtId="167" fontId="7" fillId="6" borderId="11" xfId="0" applyNumberFormat="1" applyFont="1" applyFill="1" applyBorder="1" applyAlignment="1">
      <alignment horizontal="center"/>
    </xf>
    <xf numFmtId="165" fontId="3" fillId="0" borderId="0" xfId="0" applyNumberFormat="1" applyFont="1" applyAlignment="1">
      <alignment horizontal="left"/>
    </xf>
    <xf numFmtId="165" fontId="3" fillId="0" borderId="0" xfId="0" applyNumberFormat="1" applyFont="1" applyAlignment="1">
      <alignment horizontal="right"/>
    </xf>
    <xf numFmtId="49" fontId="5" fillId="2" borderId="8" xfId="0" applyNumberFormat="1" applyFont="1" applyFill="1" applyBorder="1" applyAlignment="1">
      <alignment horizontal="right" vertical="center" wrapText="1"/>
    </xf>
    <xf numFmtId="0" fontId="16" fillId="0" borderId="0" xfId="0" applyFont="1"/>
    <xf numFmtId="169" fontId="0" fillId="0" borderId="0" xfId="0" applyNumberFormat="1"/>
    <xf numFmtId="169" fontId="3" fillId="0" borderId="0" xfId="1" applyNumberFormat="1" applyFont="1" applyFill="1"/>
    <xf numFmtId="165" fontId="3" fillId="0" borderId="0" xfId="0" applyNumberFormat="1" applyFont="1" applyAlignment="1">
      <alignment horizontal="center" vertical="center"/>
    </xf>
    <xf numFmtId="15" fontId="3" fillId="0" borderId="0" xfId="0" applyNumberFormat="1" applyFont="1" applyAlignment="1">
      <alignment horizontal="left" vertical="center"/>
    </xf>
    <xf numFmtId="43" fontId="0" fillId="0" borderId="0" xfId="0" applyNumberFormat="1"/>
    <xf numFmtId="169" fontId="3" fillId="4" borderId="9" xfId="1" applyNumberFormat="1" applyFont="1" applyFill="1" applyBorder="1" applyAlignment="1">
      <alignment horizontal="right"/>
    </xf>
    <xf numFmtId="169" fontId="3" fillId="0" borderId="4" xfId="1" applyNumberFormat="1" applyFont="1" applyBorder="1" applyAlignment="1">
      <alignment horizontal="right"/>
    </xf>
    <xf numFmtId="169" fontId="3" fillId="4" borderId="4" xfId="1" applyNumberFormat="1" applyFont="1" applyFill="1" applyBorder="1" applyAlignment="1">
      <alignment horizontal="right"/>
    </xf>
    <xf numFmtId="165" fontId="3" fillId="4" borderId="0" xfId="0" applyNumberFormat="1" applyFont="1" applyFill="1" applyAlignment="1">
      <alignment horizontal="center" vertical="center"/>
    </xf>
    <xf numFmtId="166" fontId="3" fillId="7" borderId="0" xfId="0" applyNumberFormat="1" applyFont="1" applyFill="1" applyAlignment="1">
      <alignment horizontal="left"/>
    </xf>
    <xf numFmtId="0" fontId="14" fillId="4" borderId="4" xfId="0" applyFont="1" applyFill="1" applyBorder="1" applyAlignment="1">
      <alignment vertical="center"/>
    </xf>
    <xf numFmtId="165" fontId="4" fillId="0" borderId="16" xfId="0" applyNumberFormat="1" applyFont="1" applyBorder="1" applyAlignment="1">
      <alignment horizontal="right" vertical="center" wrapText="1"/>
    </xf>
    <xf numFmtId="165" fontId="4" fillId="0" borderId="17" xfId="0" applyNumberFormat="1" applyFont="1" applyBorder="1" applyAlignment="1">
      <alignment horizontal="right" vertical="center" wrapText="1"/>
    </xf>
    <xf numFmtId="49" fontId="5" fillId="3" borderId="2" xfId="0" applyNumberFormat="1" applyFont="1" applyFill="1" applyBorder="1" applyAlignment="1">
      <alignment horizontal="left" vertical="center" wrapText="1"/>
    </xf>
    <xf numFmtId="49" fontId="5" fillId="3" borderId="2" xfId="0" applyNumberFormat="1" applyFont="1" applyFill="1" applyBorder="1" applyAlignment="1">
      <alignment horizontal="right" vertical="center" wrapText="1"/>
    </xf>
    <xf numFmtId="49" fontId="5" fillId="3" borderId="2" xfId="0" applyNumberFormat="1" applyFont="1" applyFill="1" applyBorder="1" applyAlignment="1">
      <alignment vertical="center" wrapText="1"/>
    </xf>
    <xf numFmtId="0" fontId="3" fillId="4" borderId="0" xfId="0" applyFont="1" applyFill="1" applyAlignment="1">
      <alignment horizontal="left"/>
    </xf>
    <xf numFmtId="15" fontId="3" fillId="4" borderId="13" xfId="0" applyNumberFormat="1" applyFont="1" applyFill="1" applyBorder="1" applyAlignment="1">
      <alignment horizontal="left" vertical="center"/>
    </xf>
    <xf numFmtId="167" fontId="7" fillId="4" borderId="11" xfId="0" applyNumberFormat="1" applyFont="1" applyFill="1" applyBorder="1" applyAlignment="1">
      <alignment horizontal="center"/>
    </xf>
    <xf numFmtId="15" fontId="3" fillId="0" borderId="13" xfId="0" applyNumberFormat="1" applyFont="1" applyBorder="1" applyAlignment="1">
      <alignment horizontal="left" vertical="center"/>
    </xf>
    <xf numFmtId="0" fontId="14" fillId="0" borderId="0" xfId="0" applyFont="1"/>
    <xf numFmtId="171" fontId="0" fillId="0" borderId="0" xfId="0" applyNumberFormat="1"/>
    <xf numFmtId="167" fontId="7" fillId="0" borderId="0" xfId="0" applyNumberFormat="1" applyFont="1" applyAlignment="1">
      <alignment horizontal="center"/>
    </xf>
    <xf numFmtId="0" fontId="15" fillId="0" borderId="0" xfId="0" applyFont="1"/>
    <xf numFmtId="168" fontId="3" fillId="0" borderId="0" xfId="1" applyNumberFormat="1" applyFont="1" applyFill="1" applyAlignment="1">
      <alignment horizontal="center" vertical="center"/>
    </xf>
    <xf numFmtId="166" fontId="3" fillId="4" borderId="0" xfId="0" applyNumberFormat="1" applyFont="1" applyFill="1" applyAlignment="1">
      <alignment horizontal="left"/>
    </xf>
    <xf numFmtId="172" fontId="0" fillId="0" borderId="0" xfId="0" applyNumberFormat="1"/>
    <xf numFmtId="164" fontId="0" fillId="0" borderId="0" xfId="0" applyNumberFormat="1"/>
    <xf numFmtId="0" fontId="18" fillId="0" borderId="0" xfId="0" applyFont="1" applyAlignment="1">
      <alignment horizontal="center" vertical="top"/>
    </xf>
    <xf numFmtId="165" fontId="3" fillId="4" borderId="4" xfId="0" quotePrefix="1" applyNumberFormat="1" applyFont="1" applyFill="1" applyBorder="1" applyAlignment="1">
      <alignment horizontal="right"/>
    </xf>
    <xf numFmtId="165" fontId="3" fillId="0" borderId="0" xfId="0" applyNumberFormat="1" applyFont="1" applyAlignment="1">
      <alignment horizontal="center"/>
    </xf>
    <xf numFmtId="165" fontId="3" fillId="0" borderId="5" xfId="0" applyNumberFormat="1" applyFont="1" applyBorder="1" applyAlignment="1">
      <alignment horizontal="left"/>
    </xf>
    <xf numFmtId="0" fontId="3" fillId="0" borderId="5" xfId="0" applyFont="1" applyBorder="1" applyAlignment="1">
      <alignment horizontal="left"/>
    </xf>
    <xf numFmtId="169" fontId="3" fillId="0" borderId="5" xfId="1" applyNumberFormat="1" applyFont="1" applyFill="1" applyBorder="1" applyAlignment="1">
      <alignment horizontal="right"/>
    </xf>
    <xf numFmtId="0" fontId="13" fillId="0" borderId="0" xfId="0" applyFont="1" applyAlignment="1">
      <alignment horizontal="left" wrapText="1"/>
    </xf>
    <xf numFmtId="49" fontId="5" fillId="2" borderId="10" xfId="0" applyNumberFormat="1" applyFont="1" applyFill="1" applyBorder="1" applyAlignment="1">
      <alignment horizontal="center" vertical="center" wrapText="1"/>
    </xf>
    <xf numFmtId="49" fontId="5" fillId="2" borderId="11" xfId="0" applyNumberFormat="1" applyFont="1" applyFill="1" applyBorder="1" applyAlignment="1">
      <alignment horizontal="center" vertical="center" wrapText="1"/>
    </xf>
    <xf numFmtId="49" fontId="5" fillId="2" borderId="1" xfId="0" applyNumberFormat="1" applyFont="1" applyFill="1" applyBorder="1" applyAlignment="1">
      <alignment horizontal="center" vertical="center" wrapText="1"/>
    </xf>
    <xf numFmtId="49" fontId="5" fillId="2" borderId="3" xfId="0" applyNumberFormat="1" applyFont="1" applyFill="1" applyBorder="1" applyAlignment="1">
      <alignment horizontal="center" vertical="center" wrapText="1"/>
    </xf>
    <xf numFmtId="49" fontId="5" fillId="2" borderId="7" xfId="0" applyNumberFormat="1" applyFont="1" applyFill="1" applyBorder="1" applyAlignment="1">
      <alignment horizontal="center" vertical="center" wrapText="1"/>
    </xf>
    <xf numFmtId="49" fontId="8" fillId="0" borderId="14" xfId="0" applyNumberFormat="1" applyFont="1" applyBorder="1" applyAlignment="1">
      <alignment horizontal="left" vertical="center" wrapText="1"/>
    </xf>
    <xf numFmtId="49" fontId="8" fillId="0" borderId="15" xfId="0" applyNumberFormat="1" applyFont="1" applyBorder="1" applyAlignment="1">
      <alignment horizontal="left" vertical="center" wrapText="1"/>
    </xf>
  </cellXfs>
  <cellStyles count="2">
    <cellStyle name="Comma" xfId="1" builtinId="3"/>
    <cellStyle name="Normal" xfId="0" builtinId="0"/>
  </cellStyles>
  <dxfs count="1">
    <dxf>
      <font>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M57"/>
  <sheetViews>
    <sheetView showGridLines="0" tabSelected="1" zoomScaleNormal="100" workbookViewId="0"/>
  </sheetViews>
  <sheetFormatPr defaultColWidth="9.453125" defaultRowHeight="14" x14ac:dyDescent="0.3"/>
  <cols>
    <col min="1" max="1" width="43.453125" style="2" customWidth="1"/>
    <col min="2" max="2" width="7" style="2" customWidth="1"/>
    <col min="3" max="3" width="17.453125" style="2" customWidth="1"/>
    <col min="4" max="4" width="41.54296875" style="2" customWidth="1"/>
    <col min="5" max="5" width="7" style="2" customWidth="1"/>
    <col min="6" max="6" width="17.453125" style="2" customWidth="1"/>
    <col min="7" max="7" width="26.453125" style="2" customWidth="1"/>
    <col min="8" max="8" width="13.7265625" style="2" customWidth="1"/>
    <col min="9" max="9" width="17" style="40" bestFit="1" customWidth="1"/>
    <col min="10" max="10" width="10.453125" style="2" bestFit="1" customWidth="1"/>
    <col min="11" max="11" width="9.453125" style="2"/>
    <col min="12" max="12" width="10.54296875" style="2" bestFit="1" customWidth="1"/>
    <col min="13" max="16384" width="9.453125" style="2"/>
  </cols>
  <sheetData>
    <row r="1" spans="1:13" x14ac:dyDescent="0.3">
      <c r="A1" s="1" t="s">
        <v>276</v>
      </c>
    </row>
    <row r="2" spans="1:13" x14ac:dyDescent="0.3">
      <c r="A2" s="74" t="s">
        <v>284</v>
      </c>
      <c r="I2" s="52"/>
    </row>
    <row r="3" spans="1:13" x14ac:dyDescent="0.3">
      <c r="A3" s="74" t="s">
        <v>283</v>
      </c>
      <c r="I3" s="52"/>
    </row>
    <row r="5" spans="1:13" ht="29.25" customHeight="1" x14ac:dyDescent="0.3">
      <c r="A5" s="3" t="s">
        <v>0</v>
      </c>
      <c r="B5" s="3" t="s">
        <v>1</v>
      </c>
      <c r="C5" s="4" t="s">
        <v>276</v>
      </c>
      <c r="D5" s="64" t="s">
        <v>2</v>
      </c>
      <c r="E5" s="64" t="s">
        <v>1</v>
      </c>
      <c r="F5" s="65" t="str">
        <f>+C5</f>
        <v>Week of 1 July 2024</v>
      </c>
    </row>
    <row r="6" spans="1:13" ht="14.5" x14ac:dyDescent="0.35">
      <c r="A6" s="34" t="s">
        <v>26</v>
      </c>
      <c r="B6" s="67" t="s">
        <v>21</v>
      </c>
      <c r="C6" s="80">
        <v>87.896547999999996</v>
      </c>
      <c r="D6" s="34" t="s">
        <v>271</v>
      </c>
      <c r="E6" s="67" t="s">
        <v>35</v>
      </c>
      <c r="F6" s="6">
        <v>-22.201369</v>
      </c>
      <c r="K6" s="45"/>
      <c r="L6"/>
      <c r="M6"/>
    </row>
    <row r="7" spans="1:13" ht="14.5" x14ac:dyDescent="0.35">
      <c r="A7" s="35" t="s">
        <v>28</v>
      </c>
      <c r="B7" s="10" t="s">
        <v>23</v>
      </c>
      <c r="C7" s="8">
        <v>72.709384999999997</v>
      </c>
      <c r="D7" s="35" t="s">
        <v>33</v>
      </c>
      <c r="E7" s="10" t="s">
        <v>31</v>
      </c>
      <c r="F7" s="8">
        <v>-19.529484</v>
      </c>
      <c r="K7" s="45"/>
      <c r="L7"/>
      <c r="M7"/>
    </row>
    <row r="8" spans="1:13" ht="14.5" x14ac:dyDescent="0.35">
      <c r="A8" s="36" t="s">
        <v>49</v>
      </c>
      <c r="B8" s="67" t="s">
        <v>47</v>
      </c>
      <c r="C8" s="6">
        <v>69.426792800000001</v>
      </c>
      <c r="D8" s="36" t="s">
        <v>269</v>
      </c>
      <c r="E8" s="67" t="s">
        <v>42</v>
      </c>
      <c r="F8" s="6">
        <v>-15.206424999999999</v>
      </c>
      <c r="K8" s="45"/>
      <c r="L8"/>
      <c r="M8"/>
    </row>
    <row r="9" spans="1:13" ht="14.5" x14ac:dyDescent="0.35">
      <c r="A9" s="35" t="s">
        <v>27</v>
      </c>
      <c r="B9" s="10" t="s">
        <v>22</v>
      </c>
      <c r="C9" s="8">
        <v>64.539873499999999</v>
      </c>
      <c r="D9" s="35" t="s">
        <v>267</v>
      </c>
      <c r="E9" s="10" t="s">
        <v>48</v>
      </c>
      <c r="F9" s="8">
        <v>-14.798486</v>
      </c>
      <c r="K9" s="45"/>
      <c r="L9"/>
      <c r="M9"/>
    </row>
    <row r="10" spans="1:13" ht="14.5" x14ac:dyDescent="0.35">
      <c r="A10" s="36" t="s">
        <v>268</v>
      </c>
      <c r="B10" s="67" t="s">
        <v>259</v>
      </c>
      <c r="C10" s="6">
        <v>19.814191000000001</v>
      </c>
      <c r="D10" s="36" t="s">
        <v>75</v>
      </c>
      <c r="E10" s="67" t="s">
        <v>74</v>
      </c>
      <c r="F10" s="6">
        <v>-11.27769</v>
      </c>
      <c r="K10" s="45"/>
      <c r="L10"/>
      <c r="M10"/>
    </row>
    <row r="11" spans="1:13" ht="14.5" x14ac:dyDescent="0.35">
      <c r="A11" s="35" t="s">
        <v>34</v>
      </c>
      <c r="B11" s="10" t="s">
        <v>30</v>
      </c>
      <c r="C11" s="8">
        <v>12.18609</v>
      </c>
      <c r="D11" s="35" t="s">
        <v>87</v>
      </c>
      <c r="E11" s="10" t="s">
        <v>25</v>
      </c>
      <c r="F11" s="8">
        <v>-10.273832000000001</v>
      </c>
      <c r="K11" s="45"/>
      <c r="L11"/>
      <c r="M11"/>
    </row>
    <row r="12" spans="1:13" ht="14.5" x14ac:dyDescent="0.35">
      <c r="A12" s="36" t="s">
        <v>282</v>
      </c>
      <c r="B12" s="67" t="s">
        <v>53</v>
      </c>
      <c r="C12" s="6">
        <v>10.761996999999999</v>
      </c>
      <c r="D12" s="36" t="s">
        <v>60</v>
      </c>
      <c r="E12" s="67" t="s">
        <v>51</v>
      </c>
      <c r="F12" s="6">
        <v>-6.5704425000000004</v>
      </c>
      <c r="K12" s="45"/>
      <c r="L12"/>
      <c r="M12"/>
    </row>
    <row r="13" spans="1:13" ht="14.5" x14ac:dyDescent="0.35">
      <c r="A13" s="35" t="s">
        <v>270</v>
      </c>
      <c r="B13" s="10" t="s">
        <v>54</v>
      </c>
      <c r="C13" s="8">
        <v>7.2364800000000002</v>
      </c>
      <c r="D13" s="35" t="s">
        <v>273</v>
      </c>
      <c r="E13" s="10" t="s">
        <v>41</v>
      </c>
      <c r="F13" s="8">
        <v>-5.9888599999999999</v>
      </c>
      <c r="K13" s="45"/>
      <c r="L13"/>
      <c r="M13"/>
    </row>
    <row r="14" spans="1:13" ht="14.5" x14ac:dyDescent="0.35">
      <c r="A14" s="36" t="s">
        <v>278</v>
      </c>
      <c r="B14" s="67" t="s">
        <v>258</v>
      </c>
      <c r="C14" s="6">
        <v>6.7495229999999999</v>
      </c>
      <c r="D14" s="36" t="s">
        <v>272</v>
      </c>
      <c r="E14" s="67" t="s">
        <v>83</v>
      </c>
      <c r="F14" s="6">
        <v>-5.2460899999999997</v>
      </c>
      <c r="K14" s="45"/>
      <c r="L14"/>
      <c r="M14"/>
    </row>
    <row r="15" spans="1:13" ht="14.5" x14ac:dyDescent="0.35">
      <c r="A15" s="37" t="s">
        <v>285</v>
      </c>
      <c r="B15" s="33" t="s">
        <v>58</v>
      </c>
      <c r="C15" s="9">
        <v>5.6351810000000002</v>
      </c>
      <c r="D15" s="37" t="s">
        <v>39</v>
      </c>
      <c r="E15" s="33" t="s">
        <v>37</v>
      </c>
      <c r="F15" s="9">
        <v>-4.690499</v>
      </c>
      <c r="K15" s="45"/>
      <c r="L15"/>
      <c r="M15"/>
    </row>
    <row r="16" spans="1:13" ht="15.5" x14ac:dyDescent="0.35">
      <c r="A16" s="10"/>
      <c r="B16" s="10"/>
      <c r="C16" s="10"/>
      <c r="D16" s="31"/>
      <c r="E16" s="10"/>
      <c r="F16" s="10"/>
    </row>
    <row r="17" spans="1:9" x14ac:dyDescent="0.3">
      <c r="A17" s="10"/>
      <c r="B17" s="10"/>
      <c r="C17" s="10"/>
      <c r="D17" s="10"/>
      <c r="E17" s="10"/>
      <c r="F17" s="10"/>
    </row>
    <row r="18" spans="1:9" ht="28.5" customHeight="1" x14ac:dyDescent="0.3">
      <c r="A18" s="39" t="s">
        <v>3</v>
      </c>
      <c r="B18" s="3" t="s">
        <v>1</v>
      </c>
      <c r="C18" s="4" t="str">
        <f>C5</f>
        <v>Week of 1 July 2024</v>
      </c>
      <c r="D18" s="66" t="s">
        <v>4</v>
      </c>
      <c r="E18" s="64" t="s">
        <v>1</v>
      </c>
      <c r="F18" s="65" t="str">
        <f>+C18</f>
        <v>Week of 1 July 2024</v>
      </c>
    </row>
    <row r="19" spans="1:9" x14ac:dyDescent="0.3">
      <c r="A19" s="61" t="s">
        <v>271</v>
      </c>
      <c r="B19" s="67" t="s">
        <v>35</v>
      </c>
      <c r="C19" s="6">
        <v>20.544429000000001</v>
      </c>
      <c r="D19" s="34" t="s">
        <v>26</v>
      </c>
      <c r="E19" s="67" t="s">
        <v>21</v>
      </c>
      <c r="F19" s="6">
        <v>-147.045365</v>
      </c>
      <c r="I19" s="2"/>
    </row>
    <row r="20" spans="1:9" x14ac:dyDescent="0.3">
      <c r="A20" s="35" t="s">
        <v>267</v>
      </c>
      <c r="B20" s="10" t="s">
        <v>48</v>
      </c>
      <c r="C20" s="8">
        <v>17.474971</v>
      </c>
      <c r="D20" s="35" t="s">
        <v>28</v>
      </c>
      <c r="E20" s="10" t="s">
        <v>23</v>
      </c>
      <c r="F20" s="8">
        <v>-74.675578000000002</v>
      </c>
      <c r="I20" s="2"/>
    </row>
    <row r="21" spans="1:9" x14ac:dyDescent="0.3">
      <c r="A21" s="36" t="s">
        <v>269</v>
      </c>
      <c r="B21" s="67" t="s">
        <v>42</v>
      </c>
      <c r="C21" s="6">
        <v>14.857516</v>
      </c>
      <c r="D21" s="36" t="s">
        <v>27</v>
      </c>
      <c r="E21" s="67" t="s">
        <v>22</v>
      </c>
      <c r="F21" s="6">
        <v>-74.267202999999995</v>
      </c>
      <c r="I21" s="2"/>
    </row>
    <row r="22" spans="1:9" x14ac:dyDescent="0.3">
      <c r="A22" s="35" t="s">
        <v>40</v>
      </c>
      <c r="B22" s="10" t="s">
        <v>38</v>
      </c>
      <c r="C22" s="8">
        <v>11.252814000000001</v>
      </c>
      <c r="D22" s="35" t="s">
        <v>49</v>
      </c>
      <c r="E22" s="10" t="s">
        <v>47</v>
      </c>
      <c r="F22" s="8">
        <v>-63.199974700000013</v>
      </c>
      <c r="I22" s="2"/>
    </row>
    <row r="23" spans="1:9" x14ac:dyDescent="0.3">
      <c r="A23" s="36" t="s">
        <v>282</v>
      </c>
      <c r="B23" s="67" t="s">
        <v>53</v>
      </c>
      <c r="C23" s="6">
        <v>10.638182</v>
      </c>
      <c r="D23" s="36" t="s">
        <v>268</v>
      </c>
      <c r="E23" s="67" t="s">
        <v>259</v>
      </c>
      <c r="F23" s="6">
        <v>-15.266875000000001</v>
      </c>
      <c r="I23" s="2"/>
    </row>
    <row r="24" spans="1:9" x14ac:dyDescent="0.3">
      <c r="A24" s="35" t="s">
        <v>60</v>
      </c>
      <c r="B24" s="10" t="s">
        <v>51</v>
      </c>
      <c r="C24" s="8">
        <v>7.6474805000000003</v>
      </c>
      <c r="D24" s="35" t="s">
        <v>34</v>
      </c>
      <c r="E24" s="10" t="s">
        <v>30</v>
      </c>
      <c r="F24" s="8">
        <v>-11.625309</v>
      </c>
      <c r="I24" s="2"/>
    </row>
    <row r="25" spans="1:9" x14ac:dyDescent="0.3">
      <c r="A25" s="36" t="s">
        <v>279</v>
      </c>
      <c r="B25" s="67" t="s">
        <v>90</v>
      </c>
      <c r="C25" s="6">
        <v>5.1913549999999997</v>
      </c>
      <c r="D25" s="36" t="s">
        <v>77</v>
      </c>
      <c r="E25" s="67" t="s">
        <v>56</v>
      </c>
      <c r="F25" s="6">
        <v>-9.300262</v>
      </c>
      <c r="I25" s="2"/>
    </row>
    <row r="26" spans="1:9" x14ac:dyDescent="0.3">
      <c r="A26" s="35" t="s">
        <v>75</v>
      </c>
      <c r="B26" s="10" t="s">
        <v>74</v>
      </c>
      <c r="C26" s="8">
        <v>4.6156459999999999</v>
      </c>
      <c r="D26" s="35" t="s">
        <v>280</v>
      </c>
      <c r="E26" s="10" t="s">
        <v>258</v>
      </c>
      <c r="F26" s="8">
        <v>-7.4947739999999996</v>
      </c>
      <c r="I26" s="2"/>
    </row>
    <row r="27" spans="1:9" x14ac:dyDescent="0.3">
      <c r="A27" s="36" t="s">
        <v>277</v>
      </c>
      <c r="B27" s="67" t="s">
        <v>91</v>
      </c>
      <c r="C27" s="6">
        <v>4.3067064999999998</v>
      </c>
      <c r="D27" s="36" t="s">
        <v>286</v>
      </c>
      <c r="E27" s="67" t="s">
        <v>123</v>
      </c>
      <c r="F27" s="6">
        <v>-7.3512170000000001</v>
      </c>
      <c r="I27" s="2"/>
    </row>
    <row r="28" spans="1:9" x14ac:dyDescent="0.3">
      <c r="A28" s="37" t="s">
        <v>281</v>
      </c>
      <c r="B28" s="33" t="s">
        <v>52</v>
      </c>
      <c r="C28" s="9">
        <v>3.5220997932999998</v>
      </c>
      <c r="D28" s="37" t="s">
        <v>287</v>
      </c>
      <c r="E28" s="33" t="s">
        <v>110</v>
      </c>
      <c r="F28" s="9">
        <v>-5.3102695000000004</v>
      </c>
      <c r="I28" s="2"/>
    </row>
    <row r="29" spans="1:9" x14ac:dyDescent="0.3">
      <c r="A29" s="10"/>
      <c r="B29" s="10"/>
      <c r="C29" s="10"/>
      <c r="D29" s="10"/>
      <c r="E29" s="10"/>
      <c r="F29" s="10"/>
    </row>
    <row r="30" spans="1:9" ht="14.5" x14ac:dyDescent="0.35">
      <c r="A30" s="11" t="s">
        <v>248</v>
      </c>
      <c r="B30" s="11"/>
      <c r="C30" s="10"/>
      <c r="D30" s="10"/>
      <c r="E30" s="10"/>
      <c r="F30" s="10"/>
    </row>
    <row r="31" spans="1:9" ht="14.5" x14ac:dyDescent="0.35">
      <c r="A31" s="11" t="s">
        <v>80</v>
      </c>
      <c r="B31" s="11"/>
      <c r="C31" s="10"/>
      <c r="D31" s="10"/>
      <c r="E31" s="10"/>
      <c r="F31" s="10"/>
    </row>
    <row r="32" spans="1:9" ht="14.5" x14ac:dyDescent="0.35">
      <c r="A32" s="11" t="s">
        <v>251</v>
      </c>
      <c r="B32" s="11"/>
      <c r="C32" s="10"/>
      <c r="D32" s="10"/>
      <c r="E32" s="10"/>
      <c r="F32" s="10"/>
    </row>
    <row r="33" spans="1:9" ht="14.5" x14ac:dyDescent="0.35">
      <c r="A33" s="11" t="s">
        <v>6</v>
      </c>
      <c r="B33" s="11"/>
      <c r="C33" s="10"/>
      <c r="D33" s="10"/>
      <c r="E33" s="10"/>
      <c r="F33" s="10"/>
    </row>
    <row r="34" spans="1:9" ht="14.5" x14ac:dyDescent="0.35">
      <c r="A34" s="11" t="s">
        <v>262</v>
      </c>
      <c r="B34" s="11"/>
      <c r="C34" s="10"/>
      <c r="D34" s="10"/>
      <c r="E34" s="10"/>
      <c r="F34" s="10"/>
      <c r="G34" s="71"/>
    </row>
    <row r="35" spans="1:9" ht="14.5" x14ac:dyDescent="0.35">
      <c r="A35" s="11"/>
      <c r="B35" s="11"/>
      <c r="C35" s="10"/>
      <c r="D35" s="10"/>
      <c r="E35" s="10"/>
      <c r="F35" s="10"/>
    </row>
    <row r="36" spans="1:9" ht="14.5" x14ac:dyDescent="0.35">
      <c r="A36" s="11"/>
      <c r="B36" s="11"/>
      <c r="C36" s="10"/>
      <c r="D36" s="10"/>
      <c r="E36" s="10"/>
      <c r="F36" s="10"/>
    </row>
    <row r="37" spans="1:9" customFormat="1" ht="15.5" x14ac:dyDescent="0.35">
      <c r="A37" s="23" t="s">
        <v>68</v>
      </c>
      <c r="B37" s="24"/>
      <c r="C37" s="25"/>
      <c r="D37" s="25"/>
      <c r="E37" s="24"/>
      <c r="F37" s="24"/>
      <c r="I37" s="38"/>
    </row>
    <row r="38" spans="1:9" customFormat="1" ht="14.5" x14ac:dyDescent="0.35">
      <c r="A38" s="26" t="s">
        <v>263</v>
      </c>
      <c r="B38" s="24"/>
      <c r="C38" s="25"/>
      <c r="D38" s="25"/>
      <c r="E38" s="24"/>
      <c r="F38" s="24"/>
      <c r="I38" s="38"/>
    </row>
    <row r="39" spans="1:9" s="30" customFormat="1" ht="19.399999999999999" customHeight="1" x14ac:dyDescent="0.35">
      <c r="A39" s="27" t="s">
        <v>264</v>
      </c>
      <c r="B39" s="28"/>
      <c r="C39" s="29"/>
      <c r="D39" s="29"/>
      <c r="E39" s="28"/>
      <c r="F39" s="28"/>
      <c r="I39" s="41"/>
    </row>
    <row r="40" spans="1:9" ht="169.4" customHeight="1" x14ac:dyDescent="0.3">
      <c r="A40" s="85" t="s">
        <v>265</v>
      </c>
      <c r="B40" s="85"/>
      <c r="C40" s="85"/>
      <c r="D40" s="85"/>
      <c r="E40" s="85"/>
      <c r="F40" s="85"/>
    </row>
    <row r="41" spans="1:9" x14ac:dyDescent="0.3">
      <c r="A41" s="10"/>
      <c r="B41" s="10"/>
      <c r="C41" s="10"/>
      <c r="D41" s="10"/>
      <c r="E41" s="10"/>
      <c r="F41" s="10"/>
    </row>
    <row r="42" spans="1:9" x14ac:dyDescent="0.3">
      <c r="A42" s="10"/>
      <c r="B42" s="10"/>
      <c r="C42" s="10"/>
      <c r="D42" s="10"/>
      <c r="E42" s="10"/>
      <c r="F42" s="10"/>
    </row>
    <row r="43" spans="1:9" x14ac:dyDescent="0.3">
      <c r="A43" s="10"/>
      <c r="B43" s="10"/>
      <c r="C43" s="10"/>
      <c r="D43" s="10"/>
      <c r="E43" s="10"/>
      <c r="F43" s="10"/>
    </row>
    <row r="44" spans="1:9" x14ac:dyDescent="0.3">
      <c r="A44" s="10"/>
      <c r="B44" s="10"/>
      <c r="C44" s="10"/>
      <c r="D44" s="10"/>
      <c r="E44" s="10"/>
      <c r="F44" s="10"/>
    </row>
    <row r="45" spans="1:9" x14ac:dyDescent="0.3">
      <c r="A45" s="10"/>
      <c r="B45" s="10"/>
      <c r="C45" s="10"/>
      <c r="D45" s="10"/>
      <c r="E45" s="10"/>
      <c r="F45" s="10"/>
    </row>
    <row r="46" spans="1:9" x14ac:dyDescent="0.3">
      <c r="A46" s="10"/>
      <c r="B46" s="10"/>
      <c r="C46" s="10"/>
      <c r="D46" s="10"/>
      <c r="E46" s="10"/>
      <c r="F46" s="10"/>
    </row>
    <row r="47" spans="1:9" x14ac:dyDescent="0.3">
      <c r="A47" s="10"/>
      <c r="B47" s="10"/>
      <c r="C47" s="10"/>
      <c r="D47" s="10"/>
      <c r="E47" s="10"/>
      <c r="F47" s="10"/>
    </row>
    <row r="48" spans="1:9" x14ac:dyDescent="0.3">
      <c r="A48" s="10"/>
      <c r="B48" s="10"/>
      <c r="C48" s="10"/>
      <c r="D48" s="10"/>
      <c r="E48" s="10"/>
      <c r="F48" s="10"/>
    </row>
    <row r="49" spans="1:6" x14ac:dyDescent="0.3">
      <c r="A49" s="10"/>
      <c r="B49" s="10"/>
      <c r="C49" s="10"/>
      <c r="D49" s="10"/>
      <c r="E49" s="10"/>
      <c r="F49" s="10"/>
    </row>
    <row r="50" spans="1:6" x14ac:dyDescent="0.3">
      <c r="A50" s="12"/>
      <c r="B50" s="12"/>
      <c r="C50" s="12"/>
      <c r="D50" s="12"/>
      <c r="E50" s="12"/>
      <c r="F50" s="12"/>
    </row>
    <row r="51" spans="1:6" x14ac:dyDescent="0.3">
      <c r="A51" s="12"/>
      <c r="B51" s="12"/>
      <c r="C51" s="12"/>
      <c r="D51" s="12"/>
      <c r="E51" s="12"/>
      <c r="F51" s="12"/>
    </row>
    <row r="52" spans="1:6" x14ac:dyDescent="0.3">
      <c r="A52" s="12"/>
      <c r="B52" s="12"/>
      <c r="C52" s="12"/>
      <c r="D52" s="12"/>
      <c r="E52" s="12"/>
      <c r="F52" s="12"/>
    </row>
    <row r="53" spans="1:6" x14ac:dyDescent="0.3">
      <c r="A53" s="12"/>
      <c r="B53" s="12"/>
      <c r="C53" s="12"/>
      <c r="D53" s="12"/>
      <c r="E53" s="12"/>
      <c r="F53" s="12"/>
    </row>
    <row r="54" spans="1:6" x14ac:dyDescent="0.3">
      <c r="A54" s="12"/>
      <c r="B54" s="12"/>
      <c r="C54" s="12"/>
      <c r="D54" s="12"/>
      <c r="E54" s="12"/>
      <c r="F54" s="12"/>
    </row>
    <row r="55" spans="1:6" x14ac:dyDescent="0.3">
      <c r="A55" s="12"/>
      <c r="B55" s="12"/>
      <c r="C55" s="12"/>
      <c r="D55" s="12"/>
      <c r="E55" s="12"/>
      <c r="F55" s="12"/>
    </row>
    <row r="56" spans="1:6" x14ac:dyDescent="0.3">
      <c r="A56" s="12"/>
      <c r="B56" s="12"/>
      <c r="C56" s="12"/>
      <c r="D56" s="12"/>
      <c r="E56" s="12"/>
      <c r="F56" s="12"/>
    </row>
    <row r="57" spans="1:6" x14ac:dyDescent="0.3">
      <c r="A57" s="12"/>
      <c r="B57" s="12"/>
      <c r="C57" s="12"/>
      <c r="D57" s="12"/>
      <c r="E57" s="12"/>
      <c r="F57" s="12"/>
    </row>
  </sheetData>
  <mergeCells count="1">
    <mergeCell ref="A40:F40"/>
  </mergeCells>
  <pageMargins left="0.7" right="0.7" top="0.75" bottom="0.75" header="0.3" footer="0.3"/>
  <pageSetup paperSize="9" orientation="portrait" verticalDpi="90" r:id="rId1"/>
  <ignoredErrors>
    <ignoredError sqref="B10 E23"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O23"/>
  <sheetViews>
    <sheetView showGridLines="0" zoomScaleNormal="100" workbookViewId="0">
      <selection sqref="A1:A2"/>
    </sheetView>
  </sheetViews>
  <sheetFormatPr defaultColWidth="9.453125" defaultRowHeight="14" x14ac:dyDescent="0.3"/>
  <cols>
    <col min="1" max="1" width="9.453125" style="2"/>
    <col min="2" max="2" width="16.453125" style="2" customWidth="1"/>
    <col min="3" max="4" width="11.453125" style="2" customWidth="1"/>
    <col min="5" max="5" width="10.54296875" style="2" customWidth="1"/>
    <col min="6" max="6" width="10" style="2" bestFit="1" customWidth="1"/>
    <col min="7" max="7" width="7.54296875" style="2" bestFit="1" customWidth="1"/>
    <col min="8" max="8" width="11.54296875" style="2" customWidth="1"/>
    <col min="9" max="9" width="12.453125" style="2" bestFit="1" customWidth="1"/>
    <col min="10" max="10" width="7.81640625" style="2" bestFit="1" customWidth="1"/>
    <col min="11" max="11" width="7.54296875" style="2" bestFit="1" customWidth="1"/>
    <col min="12" max="12" width="13.81640625" style="2" customWidth="1"/>
    <col min="13" max="13" width="7.81640625" style="2" customWidth="1"/>
    <col min="14" max="14" width="8.54296875" style="2" customWidth="1"/>
    <col min="15" max="16384" width="9.453125" style="2"/>
  </cols>
  <sheetData>
    <row r="1" spans="1:15" ht="17.25" customHeight="1" x14ac:dyDescent="0.3">
      <c r="A1" s="86" t="s">
        <v>7</v>
      </c>
      <c r="B1" s="13"/>
      <c r="C1" s="88" t="s">
        <v>8</v>
      </c>
      <c r="D1" s="89"/>
      <c r="E1" s="89"/>
      <c r="F1" s="89"/>
      <c r="G1" s="89"/>
      <c r="H1" s="89"/>
      <c r="I1" s="89"/>
      <c r="J1" s="89"/>
      <c r="K1" s="89"/>
      <c r="L1" s="89"/>
      <c r="M1" s="89"/>
      <c r="N1" s="90"/>
    </row>
    <row r="2" spans="1:15" ht="60" customHeight="1" x14ac:dyDescent="0.3">
      <c r="A2" s="87"/>
      <c r="B2" s="13" t="s">
        <v>9</v>
      </c>
      <c r="C2" s="13" t="s">
        <v>10</v>
      </c>
      <c r="D2" s="13" t="s">
        <v>11</v>
      </c>
      <c r="E2" s="13" t="s">
        <v>12</v>
      </c>
      <c r="F2" s="13" t="s">
        <v>13</v>
      </c>
      <c r="G2" s="13" t="s">
        <v>69</v>
      </c>
      <c r="H2" s="13" t="s">
        <v>14</v>
      </c>
      <c r="I2" s="13" t="s">
        <v>15</v>
      </c>
      <c r="J2" s="13" t="s">
        <v>16</v>
      </c>
      <c r="K2" s="13" t="s">
        <v>17</v>
      </c>
      <c r="L2" s="13" t="s">
        <v>18</v>
      </c>
      <c r="M2" s="13" t="s">
        <v>70</v>
      </c>
      <c r="N2" s="13" t="s">
        <v>19</v>
      </c>
    </row>
    <row r="3" spans="1:15" x14ac:dyDescent="0.3">
      <c r="A3" s="46">
        <f>SUM(C3:N3)</f>
        <v>-105.39059475969999</v>
      </c>
      <c r="B3" s="76">
        <v>45453</v>
      </c>
      <c r="C3" s="15">
        <v>1.2755470537999996</v>
      </c>
      <c r="D3" s="15">
        <v>-18.384658112899995</v>
      </c>
      <c r="E3" s="15">
        <v>-1.3775506</v>
      </c>
      <c r="F3" s="15">
        <v>38.572486699999992</v>
      </c>
      <c r="G3" s="15">
        <v>-3.8712951808000002</v>
      </c>
      <c r="H3" s="15">
        <v>-60.270752250379985</v>
      </c>
      <c r="I3" s="15">
        <v>7.503470000000001E-2</v>
      </c>
      <c r="J3" s="15">
        <v>-31.591707595999999</v>
      </c>
      <c r="K3" s="15">
        <v>-64.263352773419982</v>
      </c>
      <c r="L3" s="15">
        <v>-5.2374199999999947E-2</v>
      </c>
      <c r="M3" s="15">
        <v>35.453239000000004</v>
      </c>
      <c r="N3" s="15">
        <v>-0.9552115000000001</v>
      </c>
    </row>
    <row r="4" spans="1:15" x14ac:dyDescent="0.3">
      <c r="A4" s="46">
        <f>SUM(C4:N4)</f>
        <v>-121.93686918721993</v>
      </c>
      <c r="B4" s="12">
        <v>45460</v>
      </c>
      <c r="C4" s="75">
        <v>24.139443783599997</v>
      </c>
      <c r="D4" s="75">
        <v>5.2030824966999996</v>
      </c>
      <c r="E4" s="75">
        <v>0.25408929999999996</v>
      </c>
      <c r="F4" s="75">
        <v>-68.483769600000002</v>
      </c>
      <c r="G4" s="75">
        <v>-2.3365619793000003</v>
      </c>
      <c r="H4" s="75">
        <v>-77.576379505929907</v>
      </c>
      <c r="I4" s="75">
        <v>2.1944595999999996</v>
      </c>
      <c r="J4" s="75">
        <v>-10.1885239459</v>
      </c>
      <c r="K4" s="75">
        <v>-47.110491036390009</v>
      </c>
      <c r="L4" s="75">
        <v>11.151593300000002</v>
      </c>
      <c r="M4" s="75">
        <v>35.680075500000001</v>
      </c>
      <c r="N4" s="75">
        <v>5.1361129000000005</v>
      </c>
    </row>
    <row r="5" spans="1:15" x14ac:dyDescent="0.3">
      <c r="A5" s="46">
        <f>SUM(C5:N5)</f>
        <v>-117.26344911964009</v>
      </c>
      <c r="B5" s="76">
        <v>45467</v>
      </c>
      <c r="C5" s="15">
        <v>-29.144275539270005</v>
      </c>
      <c r="D5" s="15">
        <v>-26.184556056600002</v>
      </c>
      <c r="E5" s="15">
        <v>-0.87871569999999977</v>
      </c>
      <c r="F5" s="15">
        <v>-56.189728200000033</v>
      </c>
      <c r="G5" s="15">
        <v>-4.6159646699999994</v>
      </c>
      <c r="H5" s="15">
        <v>-23.032223120730016</v>
      </c>
      <c r="I5" s="15">
        <v>-0.96738109999999988</v>
      </c>
      <c r="J5" s="15">
        <v>-2.0954642135000023</v>
      </c>
      <c r="K5" s="15">
        <v>-33.756216419539996</v>
      </c>
      <c r="L5" s="15">
        <v>7.4059911000000005</v>
      </c>
      <c r="M5" s="15">
        <v>80.419705900000011</v>
      </c>
      <c r="N5" s="15">
        <v>-28.2246211</v>
      </c>
    </row>
    <row r="6" spans="1:15" ht="14.5" x14ac:dyDescent="0.35">
      <c r="A6" s="46">
        <f>SUM(C6:N6)</f>
        <v>233.18360833938002</v>
      </c>
      <c r="B6" s="12">
        <v>45474</v>
      </c>
      <c r="C6" s="81">
        <v>-39.050590125900001</v>
      </c>
      <c r="D6" s="81">
        <v>-19.179637712000002</v>
      </c>
      <c r="E6" s="81">
        <v>1.0257879000000003</v>
      </c>
      <c r="F6" s="81">
        <v>223.68827739999998</v>
      </c>
      <c r="G6" s="81">
        <v>-1.4899783762000001</v>
      </c>
      <c r="H6" s="81">
        <v>17.332954804880004</v>
      </c>
      <c r="I6" s="81">
        <v>-0.2599108</v>
      </c>
      <c r="J6" s="81">
        <v>9.3204062747999998</v>
      </c>
      <c r="K6" s="81">
        <v>-22.983856626200001</v>
      </c>
      <c r="L6" s="81">
        <v>9.9523589000000019</v>
      </c>
      <c r="M6" s="81">
        <v>69.969411300000004</v>
      </c>
      <c r="N6" s="81">
        <v>-15.1416146</v>
      </c>
      <c r="O6"/>
    </row>
    <row r="7" spans="1:15" ht="14.5" x14ac:dyDescent="0.35">
      <c r="A7" s="73"/>
      <c r="B7" s="60"/>
      <c r="C7" s="77"/>
      <c r="D7" s="77"/>
      <c r="E7" s="77"/>
      <c r="F7" s="77"/>
      <c r="G7" s="77"/>
      <c r="H7" s="77"/>
      <c r="I7" s="77"/>
      <c r="J7" s="77"/>
      <c r="K7" s="77"/>
      <c r="L7" s="77"/>
      <c r="M7" s="77"/>
      <c r="N7" s="77"/>
    </row>
    <row r="8" spans="1:15" ht="14.5" x14ac:dyDescent="0.35">
      <c r="B8" s="11" t="s">
        <v>5</v>
      </c>
      <c r="C8" s="11"/>
      <c r="D8" s="11"/>
    </row>
    <row r="9" spans="1:15" ht="14.5" x14ac:dyDescent="0.35">
      <c r="B9" s="11" t="s">
        <v>80</v>
      </c>
      <c r="C9" s="11"/>
      <c r="D9" s="11"/>
    </row>
    <row r="10" spans="1:15" ht="14.5" x14ac:dyDescent="0.35">
      <c r="B10" s="11" t="s">
        <v>6</v>
      </c>
      <c r="C10" s="11"/>
      <c r="D10" s="11"/>
    </row>
    <row r="11" spans="1:15" ht="14.5" x14ac:dyDescent="0.35">
      <c r="B11" s="11" t="s">
        <v>73</v>
      </c>
      <c r="C11" s="12"/>
      <c r="D11" s="12"/>
    </row>
    <row r="12" spans="1:15" ht="14.5" x14ac:dyDescent="0.35">
      <c r="B12"/>
    </row>
    <row r="13" spans="1:15" ht="14.5" x14ac:dyDescent="0.35">
      <c r="C13" s="72"/>
      <c r="D13" s="72"/>
      <c r="E13" s="72"/>
      <c r="F13" s="72"/>
      <c r="G13" s="72"/>
      <c r="H13" s="72"/>
      <c r="I13" s="72"/>
      <c r="J13" s="72"/>
      <c r="K13" s="72"/>
      <c r="L13" s="72"/>
      <c r="M13" s="72"/>
      <c r="N13" s="72"/>
    </row>
    <row r="14" spans="1:15" ht="14.5" x14ac:dyDescent="0.35">
      <c r="B14" s="51"/>
      <c r="C14" s="51"/>
      <c r="D14" s="51"/>
      <c r="E14" s="51"/>
      <c r="F14" s="51"/>
      <c r="G14" s="51"/>
      <c r="H14" s="51"/>
      <c r="I14" s="51"/>
      <c r="J14" s="51"/>
      <c r="K14" s="51"/>
      <c r="L14" s="51"/>
      <c r="M14" s="51"/>
      <c r="N14"/>
      <c r="O14" s="44"/>
    </row>
    <row r="15" spans="1:15" ht="14.5" x14ac:dyDescent="0.35">
      <c r="C15" s="51"/>
      <c r="D15" s="51"/>
      <c r="E15" s="51"/>
      <c r="F15" s="51"/>
      <c r="G15" s="51"/>
      <c r="H15" s="51"/>
      <c r="I15" s="51"/>
      <c r="J15" s="51"/>
      <c r="K15" s="51"/>
      <c r="L15" s="51"/>
      <c r="M15" s="51"/>
      <c r="N15" s="51"/>
      <c r="O15" s="51"/>
    </row>
    <row r="16" spans="1:15" ht="14.5" x14ac:dyDescent="0.35">
      <c r="C16" s="44"/>
      <c r="D16" s="44"/>
      <c r="E16" s="44"/>
      <c r="F16" s="44"/>
      <c r="G16" s="44"/>
      <c r="H16" s="44"/>
      <c r="I16" s="44"/>
      <c r="J16" s="44"/>
      <c r="K16" s="44"/>
      <c r="L16" s="44"/>
      <c r="M16" s="44"/>
      <c r="N16" s="44"/>
      <c r="O16" s="44"/>
    </row>
    <row r="17" spans="3:15" ht="14.5" x14ac:dyDescent="0.35">
      <c r="C17" s="42"/>
      <c r="D17" s="42"/>
      <c r="E17" s="42"/>
      <c r="F17" s="42"/>
      <c r="G17" s="42"/>
      <c r="H17" s="42"/>
      <c r="I17" s="42"/>
      <c r="J17" s="42"/>
      <c r="K17" s="42"/>
      <c r="L17" s="42"/>
      <c r="M17" s="42"/>
      <c r="N17" s="42"/>
      <c r="O17" s="42"/>
    </row>
    <row r="18" spans="3:15" ht="14.5" x14ac:dyDescent="0.35">
      <c r="C18"/>
      <c r="D18"/>
    </row>
    <row r="19" spans="3:15" ht="14.5" x14ac:dyDescent="0.35">
      <c r="C19"/>
      <c r="D19"/>
    </row>
    <row r="20" spans="3:15" ht="14.5" x14ac:dyDescent="0.35">
      <c r="C20"/>
      <c r="D20"/>
    </row>
    <row r="21" spans="3:15" ht="14.5" x14ac:dyDescent="0.35">
      <c r="C21"/>
      <c r="D21"/>
    </row>
    <row r="22" spans="3:15" ht="14.5" x14ac:dyDescent="0.35">
      <c r="C22"/>
      <c r="D22"/>
    </row>
    <row r="23" spans="3:15" ht="14.5" x14ac:dyDescent="0.35">
      <c r="C23"/>
      <c r="D23"/>
    </row>
  </sheetData>
  <mergeCells count="2">
    <mergeCell ref="A1:A2"/>
    <mergeCell ref="C1:N1"/>
  </mergeCells>
  <conditionalFormatting sqref="A3:A6">
    <cfRule type="colorScale" priority="1">
      <colorScale>
        <cfvo type="num" val="0"/>
        <cfvo type="num" val="0"/>
        <color rgb="FFFF0000"/>
        <color rgb="FF00B050"/>
      </colorScale>
    </cfRule>
  </conditionalFormatting>
  <conditionalFormatting sqref="A7">
    <cfRule type="colorScale" priority="2">
      <colorScale>
        <cfvo type="num" val="0"/>
        <cfvo type="num" val="0"/>
        <color rgb="FFFF0000"/>
        <color rgb="FF00B050"/>
      </colorScale>
    </cfRule>
  </conditionalFormatting>
  <pageMargins left="0.7" right="0.7" top="0.75" bottom="0.75" header="0.3" footer="0.3"/>
  <pageSetup paperSize="9" scale="65" orientation="landscape" r:id="rId1"/>
  <ignoredErrors>
    <ignoredError sqref="A3:A6" formulaRang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R23"/>
  <sheetViews>
    <sheetView showGridLines="0" zoomScaleNormal="100" workbookViewId="0">
      <selection sqref="A1:A2"/>
    </sheetView>
  </sheetViews>
  <sheetFormatPr defaultColWidth="9.453125" defaultRowHeight="14" x14ac:dyDescent="0.3"/>
  <cols>
    <col min="1" max="1" width="9.36328125" style="2" customWidth="1"/>
    <col min="2" max="2" width="16.453125" style="2" customWidth="1"/>
    <col min="3" max="4" width="11.453125" style="2" bestFit="1" customWidth="1"/>
    <col min="5" max="5" width="10.54296875" style="2" bestFit="1" customWidth="1"/>
    <col min="6" max="6" width="10" style="2" bestFit="1" customWidth="1"/>
    <col min="7" max="7" width="7.54296875" style="2" bestFit="1" customWidth="1"/>
    <col min="8" max="8" width="11.54296875" style="2" bestFit="1" customWidth="1"/>
    <col min="9" max="9" width="12.453125" style="2" bestFit="1" customWidth="1"/>
    <col min="10" max="10" width="7.81640625" style="2" bestFit="1" customWidth="1"/>
    <col min="11" max="11" width="7.1796875" style="2" bestFit="1" customWidth="1"/>
    <col min="12" max="12" width="13.81640625" style="2" customWidth="1"/>
    <col min="13" max="13" width="7.81640625" style="2" bestFit="1" customWidth="1"/>
    <col min="14" max="14" width="8.54296875" style="2" bestFit="1" customWidth="1"/>
    <col min="15" max="16384" width="9.453125" style="2"/>
  </cols>
  <sheetData>
    <row r="1" spans="1:18" ht="17.25" customHeight="1" x14ac:dyDescent="0.3">
      <c r="A1" s="86" t="s">
        <v>7</v>
      </c>
      <c r="B1" s="13"/>
      <c r="C1" s="88" t="s">
        <v>8</v>
      </c>
      <c r="D1" s="89"/>
      <c r="E1" s="89"/>
      <c r="F1" s="89"/>
      <c r="G1" s="89"/>
      <c r="H1" s="89"/>
      <c r="I1" s="89"/>
      <c r="J1" s="89"/>
      <c r="K1" s="89"/>
      <c r="L1" s="89"/>
      <c r="M1" s="89"/>
      <c r="N1" s="90"/>
    </row>
    <row r="2" spans="1:18" ht="56" x14ac:dyDescent="0.3">
      <c r="A2" s="87"/>
      <c r="B2" s="13" t="s">
        <v>20</v>
      </c>
      <c r="C2" s="13" t="s">
        <v>10</v>
      </c>
      <c r="D2" s="13" t="s">
        <v>11</v>
      </c>
      <c r="E2" s="13" t="s">
        <v>12</v>
      </c>
      <c r="F2" s="13" t="s">
        <v>13</v>
      </c>
      <c r="G2" s="13" t="s">
        <v>69</v>
      </c>
      <c r="H2" s="13" t="s">
        <v>14</v>
      </c>
      <c r="I2" s="13" t="s">
        <v>15</v>
      </c>
      <c r="J2" s="13" t="s">
        <v>16</v>
      </c>
      <c r="K2" s="13" t="s">
        <v>17</v>
      </c>
      <c r="L2" s="13" t="s">
        <v>18</v>
      </c>
      <c r="M2" s="13" t="s">
        <v>70</v>
      </c>
      <c r="N2" s="13" t="s">
        <v>19</v>
      </c>
    </row>
    <row r="3" spans="1:18" x14ac:dyDescent="0.3">
      <c r="A3" s="69">
        <f t="shared" ref="A3:A5" si="0">SUM(C3:N3)</f>
        <v>258.64798993837996</v>
      </c>
      <c r="B3" s="68">
        <v>45453</v>
      </c>
      <c r="C3" s="59">
        <v>9.6350161704300046</v>
      </c>
      <c r="D3" s="59">
        <v>27.220811253400001</v>
      </c>
      <c r="E3" s="59">
        <v>3.0412921000000002</v>
      </c>
      <c r="F3" s="59">
        <v>37.751274900000006</v>
      </c>
      <c r="G3" s="59">
        <v>4.6708526639000016</v>
      </c>
      <c r="H3" s="59">
        <v>60.599164914250004</v>
      </c>
      <c r="I3" s="59">
        <v>0.27588640000000003</v>
      </c>
      <c r="J3" s="59">
        <v>41.139475195099998</v>
      </c>
      <c r="K3" s="59">
        <v>89.575455641300024</v>
      </c>
      <c r="L3" s="59">
        <v>-1.2559507000000001</v>
      </c>
      <c r="M3" s="59">
        <v>-21.560181800000002</v>
      </c>
      <c r="N3" s="59">
        <v>7.5548932000000004</v>
      </c>
      <c r="P3" s="14"/>
    </row>
    <row r="4" spans="1:18" x14ac:dyDescent="0.3">
      <c r="A4" s="69">
        <f t="shared" si="0"/>
        <v>71.916294767039972</v>
      </c>
      <c r="B4" s="70">
        <v>45460</v>
      </c>
      <c r="C4" s="53">
        <v>-29.725481190199996</v>
      </c>
      <c r="D4" s="53">
        <v>4.3831815075999998</v>
      </c>
      <c r="E4" s="53">
        <v>-4.3690449000000005</v>
      </c>
      <c r="F4" s="53">
        <v>22.495589400000007</v>
      </c>
      <c r="G4" s="53">
        <v>1.1455067937999999</v>
      </c>
      <c r="H4" s="53">
        <v>78.454997628449959</v>
      </c>
      <c r="I4" s="53">
        <v>-1.0884749999999999</v>
      </c>
      <c r="J4" s="53">
        <v>12.333689480100002</v>
      </c>
      <c r="K4" s="53">
        <v>42.82918384728999</v>
      </c>
      <c r="L4" s="53">
        <v>-13.937927099999998</v>
      </c>
      <c r="M4" s="53">
        <v>-37.6492711</v>
      </c>
      <c r="N4" s="53">
        <v>-2.9556545999999999</v>
      </c>
      <c r="P4" s="14"/>
    </row>
    <row r="5" spans="1:18" x14ac:dyDescent="0.3">
      <c r="A5" s="69">
        <f t="shared" si="0"/>
        <v>-92.490112603250012</v>
      </c>
      <c r="B5" s="68">
        <v>45467</v>
      </c>
      <c r="C5" s="59">
        <v>36.512791460370003</v>
      </c>
      <c r="D5" s="59">
        <v>16.313744207300001</v>
      </c>
      <c r="E5" s="59">
        <v>2.0702863999999992</v>
      </c>
      <c r="F5" s="59">
        <v>-153.72309229999999</v>
      </c>
      <c r="G5" s="59">
        <v>6.2370899500999988</v>
      </c>
      <c r="H5" s="59">
        <v>6.7529405089299885</v>
      </c>
      <c r="I5" s="59">
        <v>0.91710700000000012</v>
      </c>
      <c r="J5" s="59">
        <v>6.6867620061000004</v>
      </c>
      <c r="K5" s="59">
        <v>34.748151763949991</v>
      </c>
      <c r="L5" s="59">
        <v>-7.0777466999999996</v>
      </c>
      <c r="M5" s="59">
        <v>-69.19573059999999</v>
      </c>
      <c r="N5" s="59">
        <v>27.267583699999999</v>
      </c>
      <c r="P5" s="14"/>
    </row>
    <row r="6" spans="1:18" x14ac:dyDescent="0.3">
      <c r="A6" s="69">
        <f t="shared" ref="A6" si="1">SUM(C6:N6)</f>
        <v>-324.94196155318002</v>
      </c>
      <c r="B6" s="70">
        <v>45474</v>
      </c>
      <c r="C6" s="81">
        <v>39.479257665010017</v>
      </c>
      <c r="D6" s="81">
        <v>16.977363634900001</v>
      </c>
      <c r="E6" s="81">
        <v>-4.0075597000000007</v>
      </c>
      <c r="F6" s="81">
        <v>-309.2464956</v>
      </c>
      <c r="G6" s="81">
        <v>-0.17209156910000009</v>
      </c>
      <c r="H6" s="81">
        <v>-9.223655250869994</v>
      </c>
      <c r="I6" s="81">
        <v>0.26327050000000007</v>
      </c>
      <c r="J6" s="81">
        <v>-8.7355905507000013</v>
      </c>
      <c r="K6" s="81">
        <v>16.906902717580003</v>
      </c>
      <c r="L6" s="81">
        <v>-18.177889700000001</v>
      </c>
      <c r="M6" s="81">
        <v>-63.809434300000014</v>
      </c>
      <c r="N6" s="81">
        <v>14.8039606</v>
      </c>
      <c r="P6" s="14"/>
    </row>
    <row r="7" spans="1:18" ht="14.5" x14ac:dyDescent="0.35">
      <c r="A7" s="73"/>
      <c r="B7" s="54"/>
      <c r="C7" s="77"/>
      <c r="D7" s="77"/>
      <c r="E7" s="77"/>
      <c r="F7" s="77"/>
      <c r="G7" s="77"/>
      <c r="H7" s="77"/>
      <c r="I7" s="77"/>
      <c r="J7" s="77"/>
      <c r="K7" s="77"/>
      <c r="L7" s="77"/>
      <c r="M7" s="77"/>
      <c r="N7" s="77"/>
      <c r="P7" s="14"/>
    </row>
    <row r="8" spans="1:18" ht="14.5" x14ac:dyDescent="0.35">
      <c r="B8" s="11" t="s">
        <v>5</v>
      </c>
      <c r="C8" s="11"/>
      <c r="D8" s="11"/>
    </row>
    <row r="9" spans="1:18" ht="14.5" x14ac:dyDescent="0.35">
      <c r="B9" s="11" t="s">
        <v>82</v>
      </c>
      <c r="C9" s="11"/>
      <c r="D9" s="11"/>
    </row>
    <row r="10" spans="1:18" ht="14.5" x14ac:dyDescent="0.35">
      <c r="B10" s="11" t="s">
        <v>6</v>
      </c>
      <c r="C10" s="11"/>
      <c r="D10" s="11"/>
    </row>
    <row r="11" spans="1:18" ht="14.5" x14ac:dyDescent="0.35">
      <c r="B11" s="11" t="s">
        <v>73</v>
      </c>
      <c r="C11" s="12"/>
      <c r="D11" s="12"/>
    </row>
    <row r="12" spans="1:18" ht="14.5" x14ac:dyDescent="0.35">
      <c r="C12" s="51"/>
      <c r="D12" s="51"/>
      <c r="E12" s="51"/>
      <c r="F12" s="51"/>
      <c r="G12" s="51"/>
      <c r="H12" s="51"/>
      <c r="I12" s="51"/>
      <c r="J12" s="51"/>
      <c r="K12" s="51"/>
      <c r="L12" s="51"/>
      <c r="M12" s="51"/>
      <c r="N12" s="51"/>
    </row>
    <row r="13" spans="1:18" ht="14.5" x14ac:dyDescent="0.35">
      <c r="B13"/>
      <c r="C13" s="51"/>
      <c r="D13" s="51"/>
      <c r="E13" s="51"/>
      <c r="F13" s="51"/>
      <c r="G13" s="51"/>
      <c r="H13" s="51"/>
      <c r="I13" s="51"/>
      <c r="J13" s="51"/>
      <c r="K13" s="51"/>
      <c r="L13" s="51"/>
      <c r="M13" s="51"/>
      <c r="N13" s="51"/>
      <c r="O13" s="44"/>
      <c r="P13"/>
      <c r="Q13"/>
      <c r="R13"/>
    </row>
    <row r="14" spans="1:18" ht="14.5" x14ac:dyDescent="0.35">
      <c r="B14"/>
      <c r="C14"/>
      <c r="D14"/>
      <c r="E14"/>
      <c r="F14"/>
      <c r="G14"/>
      <c r="H14"/>
      <c r="I14"/>
      <c r="J14"/>
      <c r="K14"/>
      <c r="L14"/>
      <c r="M14"/>
      <c r="N14"/>
      <c r="O14"/>
      <c r="P14"/>
      <c r="Q14"/>
      <c r="R14"/>
    </row>
    <row r="15" spans="1:18" ht="14.5" x14ac:dyDescent="0.35">
      <c r="C15" s="51"/>
      <c r="D15" s="51"/>
      <c r="E15" s="51"/>
      <c r="F15" s="51"/>
      <c r="G15" s="51"/>
      <c r="H15" s="51"/>
      <c r="I15" s="51"/>
      <c r="J15" s="51"/>
      <c r="K15" s="51"/>
      <c r="L15" s="51"/>
      <c r="M15" s="51"/>
      <c r="N15" s="51"/>
      <c r="O15"/>
    </row>
    <row r="16" spans="1:18" ht="14.5" x14ac:dyDescent="0.35">
      <c r="C16" s="42"/>
      <c r="D16" s="42"/>
      <c r="E16" s="42"/>
      <c r="F16" s="42"/>
      <c r="G16" s="42"/>
      <c r="H16" s="42"/>
      <c r="I16" s="42"/>
      <c r="J16" s="42"/>
      <c r="K16" s="42"/>
      <c r="L16" s="42"/>
      <c r="M16" s="42"/>
      <c r="N16" s="42"/>
    </row>
    <row r="17" spans="3:14" ht="14.5" x14ac:dyDescent="0.35">
      <c r="C17"/>
      <c r="D17"/>
      <c r="E17"/>
      <c r="F17"/>
      <c r="G17"/>
      <c r="H17"/>
      <c r="I17"/>
      <c r="J17"/>
      <c r="K17"/>
      <c r="L17"/>
      <c r="M17"/>
      <c r="N17"/>
    </row>
    <row r="18" spans="3:14" ht="14.5" x14ac:dyDescent="0.35">
      <c r="C18" s="44"/>
      <c r="D18" s="44"/>
      <c r="E18" s="44"/>
      <c r="F18" s="44"/>
      <c r="G18" s="44"/>
      <c r="H18" s="44"/>
      <c r="I18" s="44"/>
      <c r="J18" s="44"/>
      <c r="K18" s="44"/>
      <c r="L18" s="44"/>
      <c r="M18" s="44"/>
      <c r="N18" s="44"/>
    </row>
    <row r="19" spans="3:14" ht="14.5" x14ac:dyDescent="0.35">
      <c r="C19"/>
      <c r="D19"/>
    </row>
    <row r="20" spans="3:14" ht="14.5" x14ac:dyDescent="0.35">
      <c r="C20"/>
      <c r="D20"/>
    </row>
    <row r="21" spans="3:14" ht="14.5" x14ac:dyDescent="0.35">
      <c r="C21"/>
      <c r="D21"/>
    </row>
    <row r="22" spans="3:14" ht="14.5" x14ac:dyDescent="0.35">
      <c r="C22"/>
      <c r="D22"/>
    </row>
    <row r="23" spans="3:14" ht="14.5" x14ac:dyDescent="0.35">
      <c r="C23"/>
      <c r="D23"/>
    </row>
  </sheetData>
  <mergeCells count="2">
    <mergeCell ref="A1:A2"/>
    <mergeCell ref="C1:N1"/>
  </mergeCells>
  <conditionalFormatting sqref="A3:A7">
    <cfRule type="colorScale" priority="1">
      <colorScale>
        <cfvo type="num" val="0"/>
        <cfvo type="num" val="0"/>
        <color rgb="FFFF0000"/>
        <color rgb="FF00B050"/>
      </colorScale>
    </cfRule>
  </conditionalFormatting>
  <pageMargins left="0.7" right="0.7" top="0.75" bottom="0.75" header="0.3" footer="0.3"/>
  <pageSetup paperSize="9" scale="65" fitToHeight="0" orientation="landscape" r:id="rId1"/>
  <ignoredErrors>
    <ignoredError sqref="A3:A6" formulaRange="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E37"/>
  <sheetViews>
    <sheetView showGridLines="0" zoomScaleNormal="100" workbookViewId="0"/>
  </sheetViews>
  <sheetFormatPr defaultRowHeight="14.5" x14ac:dyDescent="0.35"/>
  <cols>
    <col min="1" max="1" width="41.54296875" customWidth="1"/>
    <col min="2" max="2" width="8.54296875" customWidth="1"/>
    <col min="3" max="4" width="14.54296875" customWidth="1"/>
    <col min="5" max="5" width="8.54296875" customWidth="1"/>
    <col min="7" max="7" width="36.6328125" customWidth="1"/>
    <col min="12" max="12" width="16" customWidth="1"/>
  </cols>
  <sheetData>
    <row r="1" spans="1:5" ht="56" x14ac:dyDescent="0.35">
      <c r="A1" s="32" t="str">
        <f>CONCATENATE("STI Constituents - ",'Weekly Top 10'!$C$5)</f>
        <v>STI Constituents - Week of 1 July 2024</v>
      </c>
      <c r="B1" s="16" t="s">
        <v>1</v>
      </c>
      <c r="C1" s="17" t="s">
        <v>71</v>
      </c>
      <c r="D1" s="17" t="s">
        <v>72</v>
      </c>
    </row>
    <row r="2" spans="1:5" x14ac:dyDescent="0.35">
      <c r="A2" s="18" t="s">
        <v>87</v>
      </c>
      <c r="B2" s="19" t="s">
        <v>25</v>
      </c>
      <c r="C2" s="20">
        <v>-10.273832000000001</v>
      </c>
      <c r="D2" s="20">
        <v>3.14785</v>
      </c>
      <c r="E2" s="38"/>
    </row>
    <row r="3" spans="1:5" x14ac:dyDescent="0.35">
      <c r="A3" s="21" t="s">
        <v>77</v>
      </c>
      <c r="B3" s="22" t="s">
        <v>56</v>
      </c>
      <c r="C3" s="8">
        <v>2.0432709999999998</v>
      </c>
      <c r="D3" s="8">
        <v>-9.300262</v>
      </c>
      <c r="E3" s="38"/>
    </row>
    <row r="4" spans="1:5" x14ac:dyDescent="0.35">
      <c r="A4" s="5" t="s">
        <v>84</v>
      </c>
      <c r="B4" s="7" t="s">
        <v>83</v>
      </c>
      <c r="C4" s="6">
        <v>-5.2460899999999997</v>
      </c>
      <c r="D4" s="6">
        <v>-3.577013</v>
      </c>
      <c r="E4" s="38"/>
    </row>
    <row r="5" spans="1:5" x14ac:dyDescent="0.35">
      <c r="A5" s="21" t="s">
        <v>63</v>
      </c>
      <c r="B5" s="22" t="s">
        <v>54</v>
      </c>
      <c r="C5" s="8">
        <v>7.2364800000000002</v>
      </c>
      <c r="D5" s="8">
        <v>-5.2755070000000002</v>
      </c>
      <c r="E5" s="38"/>
    </row>
    <row r="6" spans="1:5" x14ac:dyDescent="0.35">
      <c r="A6" s="5" t="s">
        <v>26</v>
      </c>
      <c r="B6" s="7" t="s">
        <v>21</v>
      </c>
      <c r="C6" s="6">
        <v>87.896547999999996</v>
      </c>
      <c r="D6" s="6">
        <v>-147.045365</v>
      </c>
      <c r="E6" s="38"/>
    </row>
    <row r="7" spans="1:5" x14ac:dyDescent="0.35">
      <c r="A7" s="21" t="s">
        <v>85</v>
      </c>
      <c r="B7" s="22" t="s">
        <v>57</v>
      </c>
      <c r="C7" s="8">
        <v>-0.97725291200000008</v>
      </c>
      <c r="D7" s="8">
        <v>0.41963173489999989</v>
      </c>
      <c r="E7" s="38"/>
    </row>
    <row r="8" spans="1:5" x14ac:dyDescent="0.35">
      <c r="A8" s="5" t="s">
        <v>252</v>
      </c>
      <c r="B8" s="7" t="s">
        <v>108</v>
      </c>
      <c r="C8" s="6">
        <v>-1.9679850000000001</v>
      </c>
      <c r="D8" s="6">
        <v>2.1324369999999999</v>
      </c>
      <c r="E8" s="38"/>
    </row>
    <row r="9" spans="1:5" x14ac:dyDescent="0.35">
      <c r="A9" s="21" t="s">
        <v>79</v>
      </c>
      <c r="B9" s="22" t="s">
        <v>78</v>
      </c>
      <c r="C9" s="8">
        <v>-3.6900634999999999</v>
      </c>
      <c r="D9" s="8">
        <v>1.986397</v>
      </c>
      <c r="E9" s="38"/>
    </row>
    <row r="10" spans="1:5" x14ac:dyDescent="0.35">
      <c r="A10" s="5" t="s">
        <v>36</v>
      </c>
      <c r="B10" s="7" t="s">
        <v>35</v>
      </c>
      <c r="C10" s="6">
        <v>-22.201369</v>
      </c>
      <c r="D10" s="6">
        <v>20.544429000000001</v>
      </c>
      <c r="E10" s="38"/>
    </row>
    <row r="11" spans="1:5" x14ac:dyDescent="0.35">
      <c r="A11" s="21" t="s">
        <v>64</v>
      </c>
      <c r="B11" s="22" t="s">
        <v>55</v>
      </c>
      <c r="C11" s="8">
        <v>1.1343541747999999</v>
      </c>
      <c r="D11" s="8">
        <v>0.32867234929999989</v>
      </c>
      <c r="E11" s="38"/>
    </row>
    <row r="12" spans="1:5" x14ac:dyDescent="0.35">
      <c r="A12" s="5" t="s">
        <v>50</v>
      </c>
      <c r="B12" s="7" t="s">
        <v>48</v>
      </c>
      <c r="C12" s="6">
        <v>-14.798486</v>
      </c>
      <c r="D12" s="6">
        <v>17.474971</v>
      </c>
      <c r="E12" s="38"/>
    </row>
    <row r="13" spans="1:5" x14ac:dyDescent="0.35">
      <c r="A13" s="21" t="s">
        <v>62</v>
      </c>
      <c r="B13" s="22" t="s">
        <v>52</v>
      </c>
      <c r="C13" s="8">
        <v>-0.44019093099999901</v>
      </c>
      <c r="D13" s="8">
        <v>3.5220997932999998</v>
      </c>
      <c r="E13" s="38"/>
    </row>
    <row r="14" spans="1:5" x14ac:dyDescent="0.35">
      <c r="A14" s="5" t="s">
        <v>149</v>
      </c>
      <c r="B14" s="7" t="s">
        <v>32</v>
      </c>
      <c r="C14" s="6">
        <v>-1.2705</v>
      </c>
      <c r="D14" s="6">
        <v>2.0606900000000001</v>
      </c>
      <c r="E14" s="38"/>
    </row>
    <row r="15" spans="1:5" x14ac:dyDescent="0.35">
      <c r="A15" s="21" t="s">
        <v>75</v>
      </c>
      <c r="B15" s="22" t="s">
        <v>74</v>
      </c>
      <c r="C15" s="8">
        <v>-11.27769</v>
      </c>
      <c r="D15" s="8">
        <v>4.6156459999999999</v>
      </c>
      <c r="E15" s="38"/>
    </row>
    <row r="16" spans="1:5" x14ac:dyDescent="0.35">
      <c r="A16" s="5" t="s">
        <v>40</v>
      </c>
      <c r="B16" s="7" t="s">
        <v>38</v>
      </c>
      <c r="C16" s="6">
        <v>-3.4321609999999998</v>
      </c>
      <c r="D16" s="6">
        <v>11.252814000000001</v>
      </c>
      <c r="E16" s="38"/>
    </row>
    <row r="17" spans="1:5" x14ac:dyDescent="0.35">
      <c r="A17" s="21" t="s">
        <v>285</v>
      </c>
      <c r="B17" s="22" t="s">
        <v>58</v>
      </c>
      <c r="C17" s="8">
        <v>5.6351810000000002</v>
      </c>
      <c r="D17" s="8">
        <v>1.068567</v>
      </c>
      <c r="E17" s="38"/>
    </row>
    <row r="18" spans="1:5" x14ac:dyDescent="0.35">
      <c r="A18" s="5" t="s">
        <v>27</v>
      </c>
      <c r="B18" s="7" t="s">
        <v>22</v>
      </c>
      <c r="C18" s="6">
        <v>64.539873499999999</v>
      </c>
      <c r="D18" s="6">
        <v>-74.267202999999995</v>
      </c>
      <c r="E18" s="38"/>
    </row>
    <row r="19" spans="1:5" x14ac:dyDescent="0.35">
      <c r="A19" s="21" t="s">
        <v>34</v>
      </c>
      <c r="B19" s="22" t="s">
        <v>30</v>
      </c>
      <c r="C19" s="8">
        <v>12.18609</v>
      </c>
      <c r="D19" s="8">
        <v>-11.625309</v>
      </c>
      <c r="E19" s="38"/>
    </row>
    <row r="20" spans="1:5" x14ac:dyDescent="0.35">
      <c r="A20" s="5" t="s">
        <v>143</v>
      </c>
      <c r="B20" s="7" t="s">
        <v>259</v>
      </c>
      <c r="C20" s="6">
        <v>19.814191000000001</v>
      </c>
      <c r="D20" s="6">
        <v>-15.266875000000001</v>
      </c>
      <c r="E20" s="38"/>
    </row>
    <row r="21" spans="1:5" x14ac:dyDescent="0.35">
      <c r="A21" s="21" t="s">
        <v>45</v>
      </c>
      <c r="B21" s="22" t="s">
        <v>42</v>
      </c>
      <c r="C21" s="8">
        <v>-15.206424999999999</v>
      </c>
      <c r="D21" s="8">
        <v>14.857516</v>
      </c>
      <c r="E21" s="38"/>
    </row>
    <row r="22" spans="1:5" x14ac:dyDescent="0.35">
      <c r="A22" s="5" t="s">
        <v>33</v>
      </c>
      <c r="B22" s="7" t="s">
        <v>31</v>
      </c>
      <c r="C22" s="6">
        <v>-19.529484</v>
      </c>
      <c r="D22" s="6">
        <v>3.4273370000000001</v>
      </c>
      <c r="E22" s="38"/>
    </row>
    <row r="23" spans="1:5" x14ac:dyDescent="0.35">
      <c r="A23" s="21" t="s">
        <v>29</v>
      </c>
      <c r="B23" s="22" t="s">
        <v>24</v>
      </c>
      <c r="C23" s="8">
        <v>-3.3238509999999999</v>
      </c>
      <c r="D23" s="8">
        <v>-1.6845330000000001</v>
      </c>
      <c r="E23" s="38"/>
    </row>
    <row r="24" spans="1:5" x14ac:dyDescent="0.35">
      <c r="A24" s="5" t="s">
        <v>39</v>
      </c>
      <c r="B24" s="7" t="s">
        <v>37</v>
      </c>
      <c r="C24" s="6">
        <v>-4.690499</v>
      </c>
      <c r="D24" s="6">
        <v>-1.977481</v>
      </c>
      <c r="E24" s="38"/>
    </row>
    <row r="25" spans="1:5" x14ac:dyDescent="0.35">
      <c r="A25" s="21" t="s">
        <v>49</v>
      </c>
      <c r="B25" s="22" t="s">
        <v>47</v>
      </c>
      <c r="C25" s="8">
        <v>69.426792800000001</v>
      </c>
      <c r="D25" s="8">
        <v>-63.199974700000013</v>
      </c>
      <c r="E25" s="38"/>
    </row>
    <row r="26" spans="1:5" x14ac:dyDescent="0.35">
      <c r="A26" s="5" t="s">
        <v>60</v>
      </c>
      <c r="B26" s="7" t="s">
        <v>51</v>
      </c>
      <c r="C26" s="6">
        <v>-6.5704425000000004</v>
      </c>
      <c r="D26" s="6">
        <v>7.6474805000000003</v>
      </c>
      <c r="E26" s="38"/>
    </row>
    <row r="27" spans="1:5" x14ac:dyDescent="0.35">
      <c r="A27" s="21" t="s">
        <v>28</v>
      </c>
      <c r="B27" s="22" t="s">
        <v>23</v>
      </c>
      <c r="C27" s="8">
        <v>72.709384999999997</v>
      </c>
      <c r="D27" s="8">
        <v>-74.675578000000002</v>
      </c>
      <c r="E27" s="38"/>
    </row>
    <row r="28" spans="1:5" x14ac:dyDescent="0.35">
      <c r="A28" s="5" t="s">
        <v>65</v>
      </c>
      <c r="B28" s="7" t="s">
        <v>59</v>
      </c>
      <c r="C28" s="6">
        <v>-0.61240000000000006</v>
      </c>
      <c r="D28" s="6">
        <v>-0.53768899999999997</v>
      </c>
      <c r="E28" s="38"/>
    </row>
    <row r="29" spans="1:5" x14ac:dyDescent="0.35">
      <c r="A29" s="21" t="s">
        <v>46</v>
      </c>
      <c r="B29" s="22" t="s">
        <v>43</v>
      </c>
      <c r="C29" s="8">
        <v>3.0761800000000008</v>
      </c>
      <c r="D29" s="8">
        <v>0.44420799999999999</v>
      </c>
      <c r="E29" s="38"/>
    </row>
    <row r="30" spans="1:5" x14ac:dyDescent="0.35">
      <c r="A30" s="5" t="s">
        <v>44</v>
      </c>
      <c r="B30" s="7" t="s">
        <v>41</v>
      </c>
      <c r="C30" s="6">
        <v>-5.9888599999999999</v>
      </c>
      <c r="D30" s="6">
        <v>2.4621219999999999</v>
      </c>
      <c r="E30" s="38"/>
    </row>
    <row r="31" spans="1:5" ht="15" thickBot="1" x14ac:dyDescent="0.4">
      <c r="A31" s="21" t="s">
        <v>61</v>
      </c>
      <c r="B31" s="22" t="s">
        <v>53</v>
      </c>
      <c r="C31" s="8">
        <v>10.761996999999999</v>
      </c>
      <c r="D31" s="8">
        <v>10.638182</v>
      </c>
      <c r="E31" s="38"/>
    </row>
    <row r="32" spans="1:5" ht="21" customHeight="1" thickBot="1" x14ac:dyDescent="0.4">
      <c r="A32" s="91" t="s">
        <v>66</v>
      </c>
      <c r="B32" s="92"/>
      <c r="C32" s="62">
        <f>SUM(C2:C31)</f>
        <v>224.96276163179999</v>
      </c>
      <c r="D32" s="63">
        <f>SUM(D2:D31)</f>
        <v>-300.40173932249991</v>
      </c>
    </row>
    <row r="34" spans="1:5" x14ac:dyDescent="0.35">
      <c r="A34" s="11" t="s">
        <v>67</v>
      </c>
      <c r="B34" s="50"/>
      <c r="C34" s="50"/>
      <c r="D34" s="50"/>
      <c r="E34" s="50"/>
    </row>
    <row r="35" spans="1:5" x14ac:dyDescent="0.35">
      <c r="A35" s="11" t="s">
        <v>80</v>
      </c>
    </row>
    <row r="36" spans="1:5" x14ac:dyDescent="0.35">
      <c r="A36" s="11" t="s">
        <v>81</v>
      </c>
    </row>
    <row r="37" spans="1:5" x14ac:dyDescent="0.35">
      <c r="A37" s="11" t="s">
        <v>73</v>
      </c>
    </row>
  </sheetData>
  <mergeCells count="1">
    <mergeCell ref="A32:B32"/>
  </mergeCells>
  <pageMargins left="0.7" right="0.7" top="0.75" bottom="0.75" header="0.3" footer="0.3"/>
  <pageSetup orientation="portrait" r:id="rId1"/>
  <ignoredErrors>
    <ignoredError sqref="B20"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EA475-E247-4119-86FA-87BD5033A24A}">
  <dimension ref="A1:O109"/>
  <sheetViews>
    <sheetView showGridLines="0" zoomScaleNormal="100" workbookViewId="0"/>
  </sheetViews>
  <sheetFormatPr defaultRowHeight="14.5" x14ac:dyDescent="0.35"/>
  <cols>
    <col min="1" max="1" width="51.54296875" customWidth="1"/>
    <col min="2" max="2" width="8.54296875" customWidth="1"/>
    <col min="3" max="3" width="14.54296875" customWidth="1"/>
    <col min="4" max="4" width="17.453125" customWidth="1"/>
    <col min="5" max="5" width="22.54296875" customWidth="1"/>
    <col min="6" max="6" width="31.54296875" bestFit="1" customWidth="1"/>
    <col min="7" max="8" width="14" customWidth="1"/>
    <col min="9" max="9" width="15.26953125" bestFit="1" customWidth="1"/>
    <col min="10" max="10" width="24.26953125" customWidth="1"/>
    <col min="11" max="11" width="31.6328125" customWidth="1"/>
    <col min="12" max="12" width="29.1796875" customWidth="1"/>
    <col min="13" max="13" width="21" customWidth="1"/>
  </cols>
  <sheetData>
    <row r="1" spans="1:15" ht="42" x14ac:dyDescent="0.35">
      <c r="A1" s="32" t="str">
        <f>CONCATENATE("100 Most Traded Stocks YTD - ",'Weekly Top 10'!$C$5)</f>
        <v>100 Most Traded Stocks YTD - Week of 1 July 2024</v>
      </c>
      <c r="B1" s="16" t="s">
        <v>1</v>
      </c>
      <c r="C1" s="49" t="s">
        <v>98</v>
      </c>
      <c r="D1" s="17" t="s">
        <v>97</v>
      </c>
      <c r="E1" s="17" t="s">
        <v>99</v>
      </c>
      <c r="F1" s="17" t="s">
        <v>100</v>
      </c>
      <c r="G1" s="55"/>
      <c r="L1" s="79"/>
    </row>
    <row r="2" spans="1:15" x14ac:dyDescent="0.35">
      <c r="A2" s="18" t="s">
        <v>26</v>
      </c>
      <c r="B2" s="19" t="s">
        <v>21</v>
      </c>
      <c r="C2" s="56">
        <v>143.35358811960899</v>
      </c>
      <c r="D2" s="56">
        <v>59.977491499999999</v>
      </c>
      <c r="E2" s="56">
        <v>87.896547999999996</v>
      </c>
      <c r="F2" s="20" t="s">
        <v>13</v>
      </c>
      <c r="G2" s="55"/>
      <c r="I2" s="55"/>
      <c r="O2" s="78"/>
    </row>
    <row r="3" spans="1:15" x14ac:dyDescent="0.35">
      <c r="A3" s="21" t="s">
        <v>28</v>
      </c>
      <c r="B3" s="22" t="s">
        <v>23</v>
      </c>
      <c r="C3" s="57">
        <v>83.728800817742183</v>
      </c>
      <c r="D3" s="57">
        <v>471.38220699999999</v>
      </c>
      <c r="E3" s="57">
        <v>72.709384999999997</v>
      </c>
      <c r="F3" s="8" t="s">
        <v>13</v>
      </c>
      <c r="G3" s="55"/>
      <c r="I3" s="55"/>
      <c r="O3" s="78"/>
    </row>
    <row r="4" spans="1:15" x14ac:dyDescent="0.35">
      <c r="A4" s="5" t="s">
        <v>49</v>
      </c>
      <c r="B4" s="7" t="s">
        <v>47</v>
      </c>
      <c r="C4" s="58">
        <v>78.723508441234387</v>
      </c>
      <c r="D4" s="58">
        <v>286.13714910000004</v>
      </c>
      <c r="E4" s="58">
        <v>69.426792800000001</v>
      </c>
      <c r="F4" s="6" t="s">
        <v>160</v>
      </c>
      <c r="G4" s="55"/>
      <c r="I4" s="55"/>
      <c r="O4" s="78"/>
    </row>
    <row r="5" spans="1:15" x14ac:dyDescent="0.35">
      <c r="A5" s="21" t="s">
        <v>288</v>
      </c>
      <c r="B5" s="22" t="s">
        <v>259</v>
      </c>
      <c r="C5" s="57">
        <v>73.285696952857137</v>
      </c>
      <c r="D5" s="57">
        <v>-250.498423</v>
      </c>
      <c r="E5" s="57">
        <v>19.814191000000001</v>
      </c>
      <c r="F5" s="8" t="s">
        <v>14</v>
      </c>
      <c r="G5" s="55"/>
      <c r="I5" s="55"/>
      <c r="O5" s="78"/>
    </row>
    <row r="6" spans="1:15" x14ac:dyDescent="0.35">
      <c r="A6" s="5" t="s">
        <v>164</v>
      </c>
      <c r="B6" s="7" t="s">
        <v>22</v>
      </c>
      <c r="C6" s="58">
        <v>72.73721992224219</v>
      </c>
      <c r="D6" s="58">
        <v>287.84120010000004</v>
      </c>
      <c r="E6" s="58">
        <v>64.539873499999999</v>
      </c>
      <c r="F6" s="6" t="s">
        <v>13</v>
      </c>
      <c r="G6" s="55"/>
      <c r="I6" s="55"/>
      <c r="O6" s="78"/>
    </row>
    <row r="7" spans="1:15" x14ac:dyDescent="0.35">
      <c r="A7" s="21" t="s">
        <v>165</v>
      </c>
      <c r="B7" s="22" t="s">
        <v>56</v>
      </c>
      <c r="C7" s="57">
        <v>42.531453534140617</v>
      </c>
      <c r="D7" s="57">
        <v>-38.047643000000001</v>
      </c>
      <c r="E7" s="57">
        <v>2.0432709999999998</v>
      </c>
      <c r="F7" s="8" t="s">
        <v>17</v>
      </c>
      <c r="G7" s="55"/>
      <c r="I7" s="55"/>
      <c r="O7" s="78"/>
    </row>
    <row r="8" spans="1:15" x14ac:dyDescent="0.35">
      <c r="A8" s="5" t="s">
        <v>167</v>
      </c>
      <c r="B8" s="7" t="s">
        <v>53</v>
      </c>
      <c r="C8" s="58">
        <v>41.753883435687499</v>
      </c>
      <c r="D8" s="58">
        <v>182.842625</v>
      </c>
      <c r="E8" s="58">
        <v>10.761996999999999</v>
      </c>
      <c r="F8" s="6" t="s">
        <v>14</v>
      </c>
      <c r="G8" s="55"/>
      <c r="I8" s="55"/>
      <c r="O8" s="78"/>
    </row>
    <row r="9" spans="1:15" x14ac:dyDescent="0.35">
      <c r="A9" s="21" t="s">
        <v>33</v>
      </c>
      <c r="B9" s="22" t="s">
        <v>31</v>
      </c>
      <c r="C9" s="57">
        <v>37.169024237890625</v>
      </c>
      <c r="D9" s="57">
        <v>-270.38253200000003</v>
      </c>
      <c r="E9" s="57">
        <v>-19.529484</v>
      </c>
      <c r="F9" s="8" t="s">
        <v>14</v>
      </c>
      <c r="G9" s="55"/>
      <c r="I9" s="55"/>
      <c r="O9" s="78"/>
    </row>
    <row r="10" spans="1:15" x14ac:dyDescent="0.35">
      <c r="A10" s="5" t="s">
        <v>166</v>
      </c>
      <c r="B10" s="7" t="s">
        <v>25</v>
      </c>
      <c r="C10" s="58">
        <v>35.086247963437501</v>
      </c>
      <c r="D10" s="58">
        <v>-164.361288</v>
      </c>
      <c r="E10" s="58">
        <v>-10.273832000000001</v>
      </c>
      <c r="F10" s="6" t="s">
        <v>17</v>
      </c>
      <c r="G10" s="55"/>
      <c r="I10" s="55"/>
      <c r="O10" s="78"/>
    </row>
    <row r="11" spans="1:15" x14ac:dyDescent="0.35">
      <c r="A11" s="21" t="s">
        <v>169</v>
      </c>
      <c r="B11" s="22" t="s">
        <v>38</v>
      </c>
      <c r="C11" s="57">
        <v>34.257813540390636</v>
      </c>
      <c r="D11" s="57">
        <v>-241.04257699999999</v>
      </c>
      <c r="E11" s="57">
        <v>-3.4321609999999998</v>
      </c>
      <c r="F11" s="8" t="s">
        <v>17</v>
      </c>
      <c r="G11" s="55"/>
      <c r="I11" s="55"/>
      <c r="O11" s="78"/>
    </row>
    <row r="12" spans="1:15" x14ac:dyDescent="0.35">
      <c r="A12" s="5" t="s">
        <v>170</v>
      </c>
      <c r="B12" s="7" t="s">
        <v>35</v>
      </c>
      <c r="C12" s="58">
        <v>27.61664868317969</v>
      </c>
      <c r="D12" s="58">
        <v>-128.49605550000001</v>
      </c>
      <c r="E12" s="58">
        <v>-22.201369</v>
      </c>
      <c r="F12" s="6" t="s">
        <v>10</v>
      </c>
      <c r="G12" s="55"/>
      <c r="I12" s="55"/>
      <c r="O12" s="78"/>
    </row>
    <row r="13" spans="1:15" x14ac:dyDescent="0.35">
      <c r="A13" s="21" t="s">
        <v>168</v>
      </c>
      <c r="B13" s="22" t="s">
        <v>83</v>
      </c>
      <c r="C13" s="57">
        <v>26.711605555226562</v>
      </c>
      <c r="D13" s="57">
        <v>-121.333669</v>
      </c>
      <c r="E13" s="57">
        <v>-5.2460899999999997</v>
      </c>
      <c r="F13" s="8" t="s">
        <v>13</v>
      </c>
      <c r="G13" s="55"/>
      <c r="I13" s="55"/>
      <c r="O13" s="78"/>
    </row>
    <row r="14" spans="1:15" x14ac:dyDescent="0.35">
      <c r="A14" s="5" t="s">
        <v>149</v>
      </c>
      <c r="B14" s="7" t="s">
        <v>32</v>
      </c>
      <c r="C14" s="58">
        <v>24.11100470571094</v>
      </c>
      <c r="D14" s="58">
        <v>0.23741799999999999</v>
      </c>
      <c r="E14" s="58">
        <v>-1.2705</v>
      </c>
      <c r="F14" s="6" t="s">
        <v>14</v>
      </c>
      <c r="G14" s="55"/>
      <c r="I14" s="55"/>
      <c r="O14" s="78"/>
    </row>
    <row r="15" spans="1:15" x14ac:dyDescent="0.35">
      <c r="A15" s="21" t="s">
        <v>178</v>
      </c>
      <c r="B15" s="22" t="s">
        <v>48</v>
      </c>
      <c r="C15" s="57">
        <v>23.807557119765622</v>
      </c>
      <c r="D15" s="57">
        <v>-74.286209999999997</v>
      </c>
      <c r="E15" s="57">
        <v>-14.798486</v>
      </c>
      <c r="F15" s="8" t="s">
        <v>10</v>
      </c>
      <c r="G15" s="55"/>
      <c r="I15" s="55"/>
      <c r="J15" s="55"/>
      <c r="K15" s="55"/>
      <c r="O15" s="78"/>
    </row>
    <row r="16" spans="1:15" x14ac:dyDescent="0.35">
      <c r="A16" s="5" t="s">
        <v>176</v>
      </c>
      <c r="B16" s="7" t="s">
        <v>58</v>
      </c>
      <c r="C16" s="58">
        <v>23.151719007656251</v>
      </c>
      <c r="D16" s="58">
        <v>-176.18217200000001</v>
      </c>
      <c r="E16" s="58">
        <v>5.6351810000000002</v>
      </c>
      <c r="F16" s="6" t="s">
        <v>17</v>
      </c>
      <c r="G16" s="55"/>
      <c r="I16" s="55"/>
      <c r="J16" s="55"/>
      <c r="K16" s="55"/>
      <c r="O16" s="78"/>
    </row>
    <row r="17" spans="1:15" x14ac:dyDescent="0.35">
      <c r="A17" s="21" t="s">
        <v>180</v>
      </c>
      <c r="B17" s="22" t="s">
        <v>54</v>
      </c>
      <c r="C17" s="57">
        <v>20.389824600390622</v>
      </c>
      <c r="D17" s="57">
        <v>-217.39676159999999</v>
      </c>
      <c r="E17" s="57">
        <v>7.2364800000000002</v>
      </c>
      <c r="F17" s="8" t="s">
        <v>16</v>
      </c>
      <c r="G17" s="55"/>
      <c r="I17" s="55"/>
      <c r="J17" s="55"/>
      <c r="K17" s="55"/>
      <c r="O17" s="78"/>
    </row>
    <row r="18" spans="1:15" x14ac:dyDescent="0.35">
      <c r="A18" s="5" t="s">
        <v>174</v>
      </c>
      <c r="B18" s="7" t="s">
        <v>42</v>
      </c>
      <c r="C18" s="58">
        <v>17.624142210781251</v>
      </c>
      <c r="D18" s="58">
        <v>-33.973834799999999</v>
      </c>
      <c r="E18" s="58">
        <v>-15.206424999999999</v>
      </c>
      <c r="F18" s="6" t="s">
        <v>19</v>
      </c>
      <c r="G18" s="55"/>
      <c r="I18" s="55"/>
      <c r="J18" s="55"/>
      <c r="K18" s="55"/>
      <c r="O18" s="78"/>
    </row>
    <row r="19" spans="1:15" x14ac:dyDescent="0.35">
      <c r="A19" s="21" t="s">
        <v>39</v>
      </c>
      <c r="B19" s="22" t="s">
        <v>37</v>
      </c>
      <c r="C19" s="57">
        <v>17.506798526562502</v>
      </c>
      <c r="D19" s="57">
        <v>116.75258700000001</v>
      </c>
      <c r="E19" s="57">
        <v>-4.690499</v>
      </c>
      <c r="F19" s="8" t="s">
        <v>14</v>
      </c>
      <c r="G19" s="55"/>
      <c r="I19" s="55"/>
      <c r="J19" s="55"/>
      <c r="K19" s="55"/>
      <c r="O19" s="78"/>
    </row>
    <row r="20" spans="1:15" x14ac:dyDescent="0.35">
      <c r="A20" s="5" t="s">
        <v>173</v>
      </c>
      <c r="B20" s="7" t="s">
        <v>41</v>
      </c>
      <c r="C20" s="58">
        <v>17.506384425164057</v>
      </c>
      <c r="D20" s="58">
        <v>-55.690767999999998</v>
      </c>
      <c r="E20" s="58">
        <v>-5.9888599999999999</v>
      </c>
      <c r="F20" s="6" t="s">
        <v>11</v>
      </c>
      <c r="G20" s="55"/>
      <c r="I20" s="55"/>
      <c r="J20" s="55"/>
      <c r="K20" s="55"/>
      <c r="O20" s="78"/>
    </row>
    <row r="21" spans="1:15" x14ac:dyDescent="0.35">
      <c r="A21" s="21" t="s">
        <v>29</v>
      </c>
      <c r="B21" s="22" t="s">
        <v>24</v>
      </c>
      <c r="C21" s="57">
        <v>17.273697548125</v>
      </c>
      <c r="D21" s="57">
        <v>-55.694136</v>
      </c>
      <c r="E21" s="57">
        <v>-3.3238509999999999</v>
      </c>
      <c r="F21" s="8" t="s">
        <v>13</v>
      </c>
      <c r="G21" s="55"/>
      <c r="I21" s="55"/>
      <c r="J21" s="55"/>
      <c r="K21" s="55"/>
      <c r="O21" s="78"/>
    </row>
    <row r="22" spans="1:15" x14ac:dyDescent="0.35">
      <c r="A22" s="5" t="s">
        <v>177</v>
      </c>
      <c r="B22" s="7" t="s">
        <v>51</v>
      </c>
      <c r="C22" s="58">
        <v>16.927043071874998</v>
      </c>
      <c r="D22" s="58">
        <v>29.989620000000013</v>
      </c>
      <c r="E22" s="58">
        <v>-6.5704424999999969</v>
      </c>
      <c r="F22" s="6" t="s">
        <v>11</v>
      </c>
      <c r="G22" s="55"/>
      <c r="I22" s="55"/>
      <c r="J22" s="55"/>
      <c r="K22" s="55"/>
      <c r="O22" s="78"/>
    </row>
    <row r="23" spans="1:15" x14ac:dyDescent="0.35">
      <c r="A23" s="21" t="s">
        <v>172</v>
      </c>
      <c r="B23" s="22" t="s">
        <v>52</v>
      </c>
      <c r="C23" s="57">
        <v>15.656657670395211</v>
      </c>
      <c r="D23" s="57">
        <v>12.172079849250009</v>
      </c>
      <c r="E23" s="57">
        <v>-0.44019093099999951</v>
      </c>
      <c r="F23" s="8" t="s">
        <v>14</v>
      </c>
      <c r="G23" s="55"/>
      <c r="I23" s="55"/>
      <c r="J23" s="55"/>
      <c r="K23" s="55"/>
      <c r="O23" s="78"/>
    </row>
    <row r="24" spans="1:15" x14ac:dyDescent="0.35">
      <c r="A24" s="5" t="s">
        <v>179</v>
      </c>
      <c r="B24" s="7" t="s">
        <v>59</v>
      </c>
      <c r="C24" s="58">
        <v>13.8191181278125</v>
      </c>
      <c r="D24" s="58">
        <v>-121.831867</v>
      </c>
      <c r="E24" s="58">
        <v>-0.61240000000000006</v>
      </c>
      <c r="F24" s="6" t="s">
        <v>16</v>
      </c>
      <c r="G24" s="55"/>
      <c r="I24" s="55"/>
      <c r="J24" s="55"/>
      <c r="K24" s="55"/>
      <c r="O24" s="78"/>
    </row>
    <row r="25" spans="1:15" x14ac:dyDescent="0.35">
      <c r="A25" s="21" t="s">
        <v>175</v>
      </c>
      <c r="B25" s="22" t="s">
        <v>74</v>
      </c>
      <c r="C25" s="57">
        <v>13.16521411125</v>
      </c>
      <c r="D25" s="57">
        <v>-95.622799999999998</v>
      </c>
      <c r="E25" s="57">
        <v>-11.27769</v>
      </c>
      <c r="F25" s="8" t="s">
        <v>17</v>
      </c>
      <c r="G25" s="55"/>
      <c r="I25" s="55"/>
      <c r="J25" s="55"/>
      <c r="K25" s="55"/>
      <c r="O25" s="78"/>
    </row>
    <row r="26" spans="1:15" x14ac:dyDescent="0.35">
      <c r="A26" s="5" t="s">
        <v>34</v>
      </c>
      <c r="B26" s="7" t="s">
        <v>30</v>
      </c>
      <c r="C26" s="58">
        <v>12.308678565625002</v>
      </c>
      <c r="D26" s="58">
        <v>46.082242999999998</v>
      </c>
      <c r="E26" s="58">
        <v>12.18609</v>
      </c>
      <c r="F26" s="6" t="s">
        <v>14</v>
      </c>
      <c r="G26" s="55"/>
      <c r="I26" s="55"/>
      <c r="J26" s="55"/>
      <c r="K26" s="55"/>
      <c r="O26" s="78"/>
    </row>
    <row r="27" spans="1:15" x14ac:dyDescent="0.35">
      <c r="A27" s="21" t="s">
        <v>184</v>
      </c>
      <c r="B27" s="22" t="s">
        <v>78</v>
      </c>
      <c r="C27" s="57">
        <v>11.40438452773437</v>
      </c>
      <c r="D27" s="57">
        <v>-66.250973999999999</v>
      </c>
      <c r="E27" s="57">
        <v>-3.6900634999999999</v>
      </c>
      <c r="F27" s="8" t="s">
        <v>17</v>
      </c>
      <c r="G27" s="55"/>
      <c r="I27" s="55"/>
      <c r="J27" s="55"/>
      <c r="K27" s="55"/>
      <c r="O27" s="78"/>
    </row>
    <row r="28" spans="1:15" x14ac:dyDescent="0.35">
      <c r="A28" s="5" t="s">
        <v>181</v>
      </c>
      <c r="B28" s="7" t="s">
        <v>43</v>
      </c>
      <c r="C28" s="58">
        <v>10.638470795749999</v>
      </c>
      <c r="D28" s="58">
        <v>67.948364999999995</v>
      </c>
      <c r="E28" s="58">
        <v>3.0761799999999999</v>
      </c>
      <c r="F28" s="6" t="s">
        <v>161</v>
      </c>
      <c r="G28" s="55"/>
      <c r="I28" s="55"/>
      <c r="J28" s="55"/>
      <c r="K28" s="55"/>
      <c r="O28" s="78"/>
    </row>
    <row r="29" spans="1:15" x14ac:dyDescent="0.35">
      <c r="A29" s="21" t="s">
        <v>171</v>
      </c>
      <c r="B29" s="22" t="s">
        <v>76</v>
      </c>
      <c r="C29" s="57">
        <v>10.375833654375</v>
      </c>
      <c r="D29" s="57">
        <v>-48.050902999999998</v>
      </c>
      <c r="E29" s="57">
        <v>2.181352</v>
      </c>
      <c r="F29" s="8" t="s">
        <v>17</v>
      </c>
      <c r="G29" s="55"/>
      <c r="I29" s="55"/>
      <c r="J29" s="55"/>
      <c r="K29" s="55"/>
      <c r="O29" s="78"/>
    </row>
    <row r="30" spans="1:15" x14ac:dyDescent="0.35">
      <c r="A30" s="5" t="s">
        <v>185</v>
      </c>
      <c r="B30" s="7" t="s">
        <v>55</v>
      </c>
      <c r="C30" s="58">
        <v>9.209057661356093</v>
      </c>
      <c r="D30" s="58">
        <v>23.789694832199999</v>
      </c>
      <c r="E30" s="58">
        <v>1.1343541747999999</v>
      </c>
      <c r="F30" s="6" t="s">
        <v>16</v>
      </c>
      <c r="G30" s="55"/>
      <c r="I30" s="55"/>
      <c r="J30" s="55"/>
      <c r="K30" s="55"/>
      <c r="O30" s="78"/>
    </row>
    <row r="31" spans="1:15" x14ac:dyDescent="0.35">
      <c r="A31" s="21" t="s">
        <v>186</v>
      </c>
      <c r="B31" s="22" t="s">
        <v>88</v>
      </c>
      <c r="C31" s="57">
        <v>8.3016928320312502</v>
      </c>
      <c r="D31" s="57">
        <v>-20.528383000000002</v>
      </c>
      <c r="E31" s="57">
        <v>1.7178469999999999</v>
      </c>
      <c r="F31" s="8" t="s">
        <v>17</v>
      </c>
      <c r="G31" s="55"/>
      <c r="I31" s="55"/>
      <c r="J31" s="55"/>
      <c r="K31" s="55"/>
      <c r="O31" s="78"/>
    </row>
    <row r="32" spans="1:15" x14ac:dyDescent="0.35">
      <c r="A32" s="5" t="s">
        <v>140</v>
      </c>
      <c r="B32" s="7" t="s">
        <v>105</v>
      </c>
      <c r="C32" s="58">
        <v>8.1203914570312499</v>
      </c>
      <c r="D32" s="58">
        <v>53.306961999999999</v>
      </c>
      <c r="E32" s="58">
        <v>0.150279</v>
      </c>
      <c r="F32" s="6" t="s">
        <v>14</v>
      </c>
      <c r="G32" s="55"/>
      <c r="I32" s="55"/>
      <c r="J32" s="55"/>
      <c r="K32" s="55"/>
      <c r="O32" s="78"/>
    </row>
    <row r="33" spans="1:15" x14ac:dyDescent="0.35">
      <c r="A33" s="21" t="s">
        <v>183</v>
      </c>
      <c r="B33" s="22" t="s">
        <v>108</v>
      </c>
      <c r="C33" s="57">
        <v>7.0045239828124997</v>
      </c>
      <c r="D33" s="57">
        <v>-4.5049219999999996</v>
      </c>
      <c r="E33" s="57">
        <v>-1.9679850000000001</v>
      </c>
      <c r="F33" s="8" t="s">
        <v>17</v>
      </c>
      <c r="G33" s="55"/>
      <c r="I33" s="55"/>
      <c r="J33" s="55"/>
      <c r="K33" s="55"/>
      <c r="O33" s="78"/>
    </row>
    <row r="34" spans="1:15" x14ac:dyDescent="0.35">
      <c r="A34" s="5" t="s">
        <v>182</v>
      </c>
      <c r="B34" s="7" t="s">
        <v>101</v>
      </c>
      <c r="C34" s="58">
        <v>6.4833669350937502</v>
      </c>
      <c r="D34" s="58">
        <v>-17.799454999999998</v>
      </c>
      <c r="E34" s="58">
        <v>2.2673290000000001</v>
      </c>
      <c r="F34" s="6" t="s">
        <v>17</v>
      </c>
      <c r="G34" s="55"/>
      <c r="I34" s="55"/>
      <c r="J34" s="55"/>
      <c r="K34" s="55"/>
      <c r="O34" s="78"/>
    </row>
    <row r="35" spans="1:15" x14ac:dyDescent="0.35">
      <c r="A35" s="21" t="s">
        <v>190</v>
      </c>
      <c r="B35" s="22" t="s">
        <v>266</v>
      </c>
      <c r="C35" s="57">
        <v>6.0681991148437504</v>
      </c>
      <c r="D35" s="57">
        <v>-17.867234</v>
      </c>
      <c r="E35" s="57">
        <v>-0.91011299999999995</v>
      </c>
      <c r="F35" s="8" t="s">
        <v>161</v>
      </c>
      <c r="G35" s="55"/>
      <c r="I35" s="55"/>
      <c r="J35" s="55"/>
      <c r="K35" s="55"/>
      <c r="O35" s="78"/>
    </row>
    <row r="36" spans="1:15" x14ac:dyDescent="0.35">
      <c r="A36" s="5" t="s">
        <v>189</v>
      </c>
      <c r="B36" s="7" t="s">
        <v>109</v>
      </c>
      <c r="C36" s="58">
        <v>5.9704157335937502</v>
      </c>
      <c r="D36" s="58">
        <v>21.932677000000002</v>
      </c>
      <c r="E36" s="58">
        <v>0.17391400000000001</v>
      </c>
      <c r="F36" s="6" t="s">
        <v>161</v>
      </c>
      <c r="G36" s="55"/>
      <c r="I36" s="55"/>
      <c r="J36" s="55"/>
      <c r="K36" s="55"/>
      <c r="O36" s="78"/>
    </row>
    <row r="37" spans="1:15" x14ac:dyDescent="0.35">
      <c r="A37" s="21" t="s">
        <v>187</v>
      </c>
      <c r="B37" s="22" t="s">
        <v>89</v>
      </c>
      <c r="C37" s="57">
        <v>5.4647328525312497</v>
      </c>
      <c r="D37" s="57">
        <v>-76.461275223999991</v>
      </c>
      <c r="E37" s="57">
        <v>1.7626900000000001</v>
      </c>
      <c r="F37" s="8" t="s">
        <v>161</v>
      </c>
      <c r="G37" s="55"/>
      <c r="I37" s="55"/>
      <c r="J37" s="55"/>
      <c r="K37" s="55"/>
      <c r="O37" s="78"/>
    </row>
    <row r="38" spans="1:15" x14ac:dyDescent="0.35">
      <c r="A38" s="5" t="s">
        <v>188</v>
      </c>
      <c r="B38" s="7" t="s">
        <v>91</v>
      </c>
      <c r="C38" s="58">
        <v>4.7533037642578133</v>
      </c>
      <c r="D38" s="58">
        <v>-54.634535499999998</v>
      </c>
      <c r="E38" s="58">
        <v>-4.5676620000000003</v>
      </c>
      <c r="F38" s="6" t="s">
        <v>17</v>
      </c>
      <c r="G38" s="55"/>
      <c r="I38" s="55"/>
      <c r="J38" s="55"/>
      <c r="K38" s="55"/>
      <c r="O38" s="78"/>
    </row>
    <row r="39" spans="1:15" x14ac:dyDescent="0.35">
      <c r="A39" s="21" t="s">
        <v>193</v>
      </c>
      <c r="B39" s="22" t="s">
        <v>123</v>
      </c>
      <c r="C39" s="57">
        <v>4.1444108472656245</v>
      </c>
      <c r="D39" s="57">
        <v>9.8865949999999998</v>
      </c>
      <c r="E39" s="57">
        <v>3.275309</v>
      </c>
      <c r="F39" s="8" t="s">
        <v>161</v>
      </c>
      <c r="G39" s="55"/>
      <c r="I39" s="55"/>
      <c r="J39" s="55"/>
      <c r="K39" s="55"/>
      <c r="O39" s="78"/>
    </row>
    <row r="40" spans="1:15" x14ac:dyDescent="0.35">
      <c r="A40" s="5" t="s">
        <v>207</v>
      </c>
      <c r="B40" s="7" t="s">
        <v>107</v>
      </c>
      <c r="C40" s="58">
        <v>4.1036780760937503</v>
      </c>
      <c r="D40" s="58">
        <v>-34.471637999999999</v>
      </c>
      <c r="E40" s="58">
        <v>0.53293200000000007</v>
      </c>
      <c r="F40" s="6" t="s">
        <v>11</v>
      </c>
      <c r="G40" s="55"/>
      <c r="I40" s="55"/>
      <c r="J40" s="55"/>
      <c r="K40" s="55"/>
      <c r="O40" s="78"/>
    </row>
    <row r="41" spans="1:15" x14ac:dyDescent="0.35">
      <c r="A41" s="21" t="s">
        <v>194</v>
      </c>
      <c r="B41" s="22" t="s">
        <v>110</v>
      </c>
      <c r="C41" s="57">
        <v>3.5097003523437502</v>
      </c>
      <c r="D41" s="57">
        <v>-17.6323945</v>
      </c>
      <c r="E41" s="57">
        <v>2.7553869999999998</v>
      </c>
      <c r="F41" s="8" t="s">
        <v>161</v>
      </c>
      <c r="G41" s="55"/>
      <c r="I41" s="55"/>
      <c r="J41" s="55"/>
      <c r="K41" s="55"/>
      <c r="O41" s="78"/>
    </row>
    <row r="42" spans="1:15" x14ac:dyDescent="0.35">
      <c r="A42" s="5" t="s">
        <v>212</v>
      </c>
      <c r="B42" s="7" t="s">
        <v>128</v>
      </c>
      <c r="C42" s="58">
        <v>3.4998999195312499</v>
      </c>
      <c r="D42" s="58">
        <v>18.714764500000001</v>
      </c>
      <c r="E42" s="58">
        <v>0.60287199999999996</v>
      </c>
      <c r="F42" s="6" t="s">
        <v>162</v>
      </c>
      <c r="G42" s="55"/>
      <c r="I42" s="55"/>
      <c r="J42" s="55"/>
      <c r="K42" s="55"/>
      <c r="O42" s="78"/>
    </row>
    <row r="43" spans="1:15" x14ac:dyDescent="0.35">
      <c r="A43" s="21" t="s">
        <v>191</v>
      </c>
      <c r="B43" s="22" t="s">
        <v>120</v>
      </c>
      <c r="C43" s="57">
        <v>3.4060040781250001</v>
      </c>
      <c r="D43" s="57">
        <v>7.6628774999999996</v>
      </c>
      <c r="E43" s="57">
        <v>-7.1369999999999975E-3</v>
      </c>
      <c r="F43" s="8" t="s">
        <v>162</v>
      </c>
      <c r="G43" s="55"/>
      <c r="I43" s="55"/>
      <c r="J43" s="55"/>
      <c r="K43" s="55"/>
      <c r="O43" s="78"/>
    </row>
    <row r="44" spans="1:15" x14ac:dyDescent="0.35">
      <c r="A44" s="5" t="s">
        <v>195</v>
      </c>
      <c r="B44" s="7" t="s">
        <v>102</v>
      </c>
      <c r="C44" s="58">
        <v>3.2171591895312499</v>
      </c>
      <c r="D44" s="58">
        <v>-2.8035220000000001</v>
      </c>
      <c r="E44" s="58">
        <v>-0.78653050000000002</v>
      </c>
      <c r="F44" s="6" t="s">
        <v>17</v>
      </c>
      <c r="G44" s="55"/>
      <c r="I44" s="55"/>
      <c r="J44" s="55"/>
      <c r="K44" s="55"/>
      <c r="O44" s="78"/>
    </row>
    <row r="45" spans="1:15" x14ac:dyDescent="0.35">
      <c r="A45" s="21" t="s">
        <v>196</v>
      </c>
      <c r="B45" s="22" t="s">
        <v>115</v>
      </c>
      <c r="C45" s="57">
        <v>3.1469314839062501</v>
      </c>
      <c r="D45" s="57">
        <v>-29.536805999999999</v>
      </c>
      <c r="E45" s="57">
        <v>0.32319900000000001</v>
      </c>
      <c r="F45" s="8" t="s">
        <v>160</v>
      </c>
      <c r="G45" s="55"/>
      <c r="I45" s="55"/>
      <c r="J45" s="55"/>
      <c r="K45" s="55"/>
      <c r="O45" s="78"/>
    </row>
    <row r="46" spans="1:15" x14ac:dyDescent="0.35">
      <c r="A46" s="5" t="s">
        <v>192</v>
      </c>
      <c r="B46" s="7" t="s">
        <v>94</v>
      </c>
      <c r="C46" s="58">
        <v>2.9831147968749998</v>
      </c>
      <c r="D46" s="58">
        <v>12.381366</v>
      </c>
      <c r="E46" s="58">
        <v>0.92737999999999998</v>
      </c>
      <c r="F46" s="6" t="s">
        <v>14</v>
      </c>
      <c r="G46" s="55"/>
      <c r="I46" s="55"/>
      <c r="J46" s="55"/>
      <c r="K46" s="55"/>
      <c r="O46" s="78"/>
    </row>
    <row r="47" spans="1:15" x14ac:dyDescent="0.35">
      <c r="A47" s="21" t="s">
        <v>257</v>
      </c>
      <c r="B47" s="22" t="s">
        <v>258</v>
      </c>
      <c r="C47" s="57">
        <v>2.8539361601562501</v>
      </c>
      <c r="D47" s="57">
        <v>44.843040000000002</v>
      </c>
      <c r="E47" s="57">
        <v>6.7495229999999999</v>
      </c>
      <c r="F47" s="8" t="s">
        <v>13</v>
      </c>
      <c r="G47" s="55"/>
      <c r="I47" s="55"/>
      <c r="J47" s="55"/>
      <c r="K47" s="55"/>
      <c r="O47" s="78"/>
    </row>
    <row r="48" spans="1:15" x14ac:dyDescent="0.35">
      <c r="A48" s="5" t="s">
        <v>216</v>
      </c>
      <c r="B48" s="7" t="s">
        <v>130</v>
      </c>
      <c r="C48" s="58">
        <v>2.8141395243750003</v>
      </c>
      <c r="D48" s="58">
        <v>16.248536000000001</v>
      </c>
      <c r="E48" s="58">
        <v>0.283306</v>
      </c>
      <c r="F48" s="6" t="s">
        <v>163</v>
      </c>
      <c r="G48" s="55"/>
      <c r="I48" s="55"/>
      <c r="J48" s="55"/>
      <c r="K48" s="55"/>
      <c r="O48" s="78"/>
    </row>
    <row r="49" spans="1:15" x14ac:dyDescent="0.35">
      <c r="A49" s="21" t="s">
        <v>199</v>
      </c>
      <c r="B49" s="22" t="s">
        <v>117</v>
      </c>
      <c r="C49" s="57">
        <v>2.5435509693984382</v>
      </c>
      <c r="D49" s="57">
        <v>-7.3572890000000006</v>
      </c>
      <c r="E49" s="57">
        <v>-0.50298900000000002</v>
      </c>
      <c r="F49" s="8" t="s">
        <v>17</v>
      </c>
      <c r="G49" s="55"/>
      <c r="I49" s="55"/>
      <c r="J49" s="55"/>
      <c r="K49" s="55"/>
      <c r="O49" s="78"/>
    </row>
    <row r="50" spans="1:15" x14ac:dyDescent="0.35">
      <c r="A50" s="5" t="s">
        <v>200</v>
      </c>
      <c r="B50" s="7" t="s">
        <v>106</v>
      </c>
      <c r="C50" s="58">
        <v>2.4246503726562501</v>
      </c>
      <c r="D50" s="58">
        <v>-17.5339755</v>
      </c>
      <c r="E50" s="58">
        <v>-0.3400905000000003</v>
      </c>
      <c r="F50" s="6" t="s">
        <v>17</v>
      </c>
      <c r="G50" s="55"/>
      <c r="I50" s="55"/>
      <c r="J50" s="55"/>
      <c r="K50" s="55"/>
      <c r="O50" s="78"/>
    </row>
    <row r="51" spans="1:15" x14ac:dyDescent="0.35">
      <c r="A51" s="21" t="s">
        <v>206</v>
      </c>
      <c r="B51" s="22" t="s">
        <v>103</v>
      </c>
      <c r="C51" s="57">
        <v>2.4220778872656248</v>
      </c>
      <c r="D51" s="57">
        <v>-15.575578500000001</v>
      </c>
      <c r="E51" s="57">
        <v>-0.18665950000000001</v>
      </c>
      <c r="F51" s="8" t="s">
        <v>15</v>
      </c>
      <c r="G51" s="55"/>
      <c r="I51" s="55"/>
      <c r="J51" s="55"/>
      <c r="K51" s="55"/>
      <c r="O51" s="78"/>
    </row>
    <row r="52" spans="1:15" x14ac:dyDescent="0.35">
      <c r="A52" s="5" t="s">
        <v>197</v>
      </c>
      <c r="B52" s="7" t="s">
        <v>95</v>
      </c>
      <c r="C52" s="58">
        <v>2.3416772192187501</v>
      </c>
      <c r="D52" s="58">
        <v>-45.347574999999999</v>
      </c>
      <c r="E52" s="58">
        <v>-0.32284950000000001</v>
      </c>
      <c r="F52" s="6" t="s">
        <v>17</v>
      </c>
      <c r="G52" s="55"/>
      <c r="I52" s="55"/>
      <c r="J52" s="55"/>
      <c r="K52" s="55"/>
      <c r="O52" s="78"/>
    </row>
    <row r="53" spans="1:15" x14ac:dyDescent="0.35">
      <c r="A53" s="21" t="s">
        <v>208</v>
      </c>
      <c r="B53" s="22" t="s">
        <v>118</v>
      </c>
      <c r="C53" s="57">
        <v>2.321671523987578</v>
      </c>
      <c r="D53" s="57">
        <v>6.1300803947500029</v>
      </c>
      <c r="E53" s="57">
        <v>1.2983271075</v>
      </c>
      <c r="F53" s="8" t="s">
        <v>17</v>
      </c>
      <c r="G53" s="55"/>
      <c r="I53" s="55"/>
      <c r="J53" s="55"/>
      <c r="K53" s="55"/>
      <c r="O53" s="78"/>
    </row>
    <row r="54" spans="1:15" x14ac:dyDescent="0.35">
      <c r="A54" s="5" t="s">
        <v>204</v>
      </c>
      <c r="B54" s="7" t="s">
        <v>121</v>
      </c>
      <c r="C54" s="58">
        <v>2.13294358046875</v>
      </c>
      <c r="D54" s="58">
        <v>-23.430665000000001</v>
      </c>
      <c r="E54" s="58">
        <v>0.58330899999999997</v>
      </c>
      <c r="F54" s="6" t="s">
        <v>17</v>
      </c>
      <c r="G54" s="55"/>
      <c r="I54" s="55"/>
      <c r="J54" s="55"/>
      <c r="K54" s="55"/>
      <c r="O54" s="78"/>
    </row>
    <row r="55" spans="1:15" x14ac:dyDescent="0.35">
      <c r="A55" s="21" t="s">
        <v>198</v>
      </c>
      <c r="B55" s="22" t="s">
        <v>104</v>
      </c>
      <c r="C55" s="57">
        <v>2.1244056359374999</v>
      </c>
      <c r="D55" s="57">
        <v>-5.0466907999999995</v>
      </c>
      <c r="E55" s="57">
        <v>-9.0106000000000023E-3</v>
      </c>
      <c r="F55" s="8" t="s">
        <v>162</v>
      </c>
      <c r="G55" s="55"/>
      <c r="I55" s="55"/>
      <c r="J55" s="55"/>
      <c r="K55" s="55"/>
      <c r="O55" s="78"/>
    </row>
    <row r="56" spans="1:15" x14ac:dyDescent="0.35">
      <c r="A56" s="5" t="s">
        <v>205</v>
      </c>
      <c r="B56" s="7" t="s">
        <v>57</v>
      </c>
      <c r="C56" s="58">
        <v>2.0741944707721878</v>
      </c>
      <c r="D56" s="58">
        <v>-12.3624216258</v>
      </c>
      <c r="E56" s="58">
        <v>-0.97725291200000008</v>
      </c>
      <c r="F56" s="6" t="s">
        <v>11</v>
      </c>
      <c r="G56" s="55"/>
      <c r="I56" s="55"/>
      <c r="J56" s="55"/>
      <c r="K56" s="55"/>
      <c r="O56" s="78"/>
    </row>
    <row r="57" spans="1:15" x14ac:dyDescent="0.35">
      <c r="A57" s="21" t="s">
        <v>209</v>
      </c>
      <c r="B57" s="22" t="s">
        <v>90</v>
      </c>
      <c r="C57" s="57">
        <v>2.0695614281250001</v>
      </c>
      <c r="D57" s="57">
        <v>-33.782927999999998</v>
      </c>
      <c r="E57" s="57">
        <v>-4.593934</v>
      </c>
      <c r="F57" s="8" t="s">
        <v>11</v>
      </c>
      <c r="G57" s="55"/>
      <c r="I57" s="55"/>
      <c r="J57" s="55"/>
      <c r="K57" s="55"/>
      <c r="O57" s="78"/>
    </row>
    <row r="58" spans="1:15" x14ac:dyDescent="0.35">
      <c r="A58" s="5" t="s">
        <v>225</v>
      </c>
      <c r="B58" s="7" t="s">
        <v>96</v>
      </c>
      <c r="C58" s="58">
        <v>1.9803642515625</v>
      </c>
      <c r="D58" s="58">
        <v>3.2101245</v>
      </c>
      <c r="E58" s="58">
        <v>-0.4407859999999999</v>
      </c>
      <c r="F58" s="6" t="s">
        <v>11</v>
      </c>
      <c r="G58" s="55"/>
      <c r="I58" s="55"/>
      <c r="J58" s="55"/>
      <c r="K58" s="55"/>
      <c r="O58" s="78"/>
    </row>
    <row r="59" spans="1:15" x14ac:dyDescent="0.35">
      <c r="A59" s="21" t="s">
        <v>211</v>
      </c>
      <c r="B59" s="22" t="s">
        <v>111</v>
      </c>
      <c r="C59" s="57">
        <v>1.8972827109374999</v>
      </c>
      <c r="D59" s="57">
        <v>8.850149</v>
      </c>
      <c r="E59" s="57">
        <v>0.63045549999999995</v>
      </c>
      <c r="F59" s="8" t="s">
        <v>13</v>
      </c>
      <c r="G59" s="55"/>
      <c r="I59" s="55"/>
      <c r="J59" s="55"/>
      <c r="K59" s="55"/>
      <c r="O59" s="78"/>
    </row>
    <row r="60" spans="1:15" x14ac:dyDescent="0.35">
      <c r="A60" s="5" t="s">
        <v>246</v>
      </c>
      <c r="B60" s="7" t="s">
        <v>152</v>
      </c>
      <c r="C60" s="58">
        <v>1.857584093546875</v>
      </c>
      <c r="D60" s="58">
        <v>3.0996714000000001</v>
      </c>
      <c r="E60" s="58">
        <v>1.8770924</v>
      </c>
      <c r="F60" s="6" t="s">
        <v>16</v>
      </c>
      <c r="G60" s="55"/>
      <c r="I60" s="55"/>
      <c r="J60" s="55"/>
      <c r="K60" s="55"/>
      <c r="O60" s="78"/>
    </row>
    <row r="61" spans="1:15" x14ac:dyDescent="0.35">
      <c r="A61" s="21" t="s">
        <v>214</v>
      </c>
      <c r="B61" s="22" t="s">
        <v>112</v>
      </c>
      <c r="C61" s="57">
        <v>1.8260454039062499</v>
      </c>
      <c r="D61" s="57">
        <v>1.8216220000000001</v>
      </c>
      <c r="E61" s="57">
        <v>-0.2280050000000001</v>
      </c>
      <c r="F61" s="8" t="s">
        <v>11</v>
      </c>
      <c r="G61" s="55"/>
      <c r="I61" s="55"/>
      <c r="J61" s="55"/>
      <c r="K61" s="55"/>
      <c r="O61" s="78"/>
    </row>
    <row r="62" spans="1:15" x14ac:dyDescent="0.35">
      <c r="A62" s="5" t="s">
        <v>224</v>
      </c>
      <c r="B62" s="7" t="s">
        <v>113</v>
      </c>
      <c r="C62" s="58">
        <v>1.7291771265625</v>
      </c>
      <c r="D62" s="58">
        <v>-49.661514500000003</v>
      </c>
      <c r="E62" s="58">
        <v>-0.58875</v>
      </c>
      <c r="F62" s="6" t="s">
        <v>163</v>
      </c>
      <c r="G62" s="55"/>
      <c r="I62" s="55"/>
      <c r="J62" s="55"/>
      <c r="K62" s="55"/>
      <c r="O62" s="78"/>
    </row>
    <row r="63" spans="1:15" x14ac:dyDescent="0.35">
      <c r="A63" s="21" t="s">
        <v>202</v>
      </c>
      <c r="B63" s="22" t="s">
        <v>119</v>
      </c>
      <c r="C63" s="57">
        <v>1.6507311028125</v>
      </c>
      <c r="D63" s="57">
        <v>-14.949415999999999</v>
      </c>
      <c r="E63" s="57">
        <v>-0.49180249999999998</v>
      </c>
      <c r="F63" s="8" t="s">
        <v>17</v>
      </c>
      <c r="G63" s="55"/>
      <c r="I63" s="55"/>
      <c r="J63" s="55"/>
      <c r="K63" s="55"/>
      <c r="O63" s="78"/>
    </row>
    <row r="64" spans="1:15" x14ac:dyDescent="0.35">
      <c r="A64" s="5" t="s">
        <v>201</v>
      </c>
      <c r="B64" s="7" t="s">
        <v>150</v>
      </c>
      <c r="C64" s="58">
        <v>1.5794246468750002</v>
      </c>
      <c r="D64" s="58">
        <v>-0.17949170000000031</v>
      </c>
      <c r="E64" s="58">
        <v>2.6074999999999809E-3</v>
      </c>
      <c r="F64" s="6" t="s">
        <v>14</v>
      </c>
      <c r="G64" s="55"/>
      <c r="I64" s="55"/>
      <c r="J64" s="55"/>
      <c r="K64" s="55"/>
      <c r="O64" s="78"/>
    </row>
    <row r="65" spans="1:15" x14ac:dyDescent="0.35">
      <c r="A65" s="21" t="s">
        <v>227</v>
      </c>
      <c r="B65" s="22" t="s">
        <v>134</v>
      </c>
      <c r="C65" s="57">
        <v>1.5608856953125001</v>
      </c>
      <c r="D65" s="57">
        <v>6.2237495000000003</v>
      </c>
      <c r="E65" s="57">
        <v>-2.7413785000000002</v>
      </c>
      <c r="F65" s="8" t="s">
        <v>14</v>
      </c>
      <c r="G65" s="55"/>
      <c r="I65" s="55"/>
      <c r="J65" s="55"/>
      <c r="K65" s="55"/>
      <c r="O65" s="78"/>
    </row>
    <row r="66" spans="1:15" x14ac:dyDescent="0.35">
      <c r="A66" s="5" t="s">
        <v>203</v>
      </c>
      <c r="B66" s="7" t="s">
        <v>116</v>
      </c>
      <c r="C66" s="58">
        <v>1.4046676365432809</v>
      </c>
      <c r="D66" s="58">
        <v>-6.9907747875400004</v>
      </c>
      <c r="E66" s="58">
        <v>-0.1382613915</v>
      </c>
      <c r="F66" s="6" t="s">
        <v>10</v>
      </c>
      <c r="G66" s="55"/>
      <c r="I66" s="55"/>
      <c r="J66" s="55"/>
      <c r="K66" s="55"/>
      <c r="O66" s="78"/>
    </row>
    <row r="67" spans="1:15" x14ac:dyDescent="0.35">
      <c r="A67" s="21" t="s">
        <v>210</v>
      </c>
      <c r="B67" s="22" t="s">
        <v>144</v>
      </c>
      <c r="C67" s="57">
        <v>1.3573130812500001</v>
      </c>
      <c r="D67" s="57">
        <v>-0.7664685</v>
      </c>
      <c r="E67" s="57">
        <v>6.8314800000000009E-2</v>
      </c>
      <c r="F67" s="8" t="s">
        <v>163</v>
      </c>
      <c r="G67" s="55"/>
      <c r="I67" s="55"/>
      <c r="J67" s="55"/>
      <c r="K67" s="55"/>
      <c r="O67" s="78"/>
    </row>
    <row r="68" spans="1:15" x14ac:dyDescent="0.35">
      <c r="A68" s="5" t="s">
        <v>215</v>
      </c>
      <c r="B68" s="7" t="s">
        <v>129</v>
      </c>
      <c r="C68" s="58">
        <v>1.32996441015625</v>
      </c>
      <c r="D68" s="58">
        <v>14.441958</v>
      </c>
      <c r="E68" s="58">
        <v>0.21717</v>
      </c>
      <c r="F68" s="6" t="s">
        <v>160</v>
      </c>
      <c r="G68" s="55"/>
      <c r="I68" s="55"/>
      <c r="J68" s="55"/>
      <c r="K68" s="55"/>
      <c r="O68" s="78"/>
    </row>
    <row r="69" spans="1:15" x14ac:dyDescent="0.35">
      <c r="A69" s="21" t="s">
        <v>241</v>
      </c>
      <c r="B69" s="22" t="s">
        <v>114</v>
      </c>
      <c r="C69" s="57">
        <v>1.3134506015625</v>
      </c>
      <c r="D69" s="57">
        <v>5.3586960000000001</v>
      </c>
      <c r="E69" s="57">
        <v>-1.4044460000000001</v>
      </c>
      <c r="F69" s="8" t="s">
        <v>10</v>
      </c>
      <c r="G69" s="55"/>
      <c r="I69" s="55"/>
      <c r="J69" s="55"/>
      <c r="K69" s="55"/>
      <c r="O69" s="78"/>
    </row>
    <row r="70" spans="1:15" x14ac:dyDescent="0.35">
      <c r="A70" s="5" t="s">
        <v>220</v>
      </c>
      <c r="B70" s="7" t="s">
        <v>127</v>
      </c>
      <c r="C70" s="58">
        <v>1.2497145671874998</v>
      </c>
      <c r="D70" s="58">
        <v>-3.8328859999999998</v>
      </c>
      <c r="E70" s="58">
        <v>0.79009700000000005</v>
      </c>
      <c r="F70" s="6" t="s">
        <v>17</v>
      </c>
      <c r="G70" s="55"/>
      <c r="I70" s="55"/>
      <c r="J70" s="55"/>
      <c r="K70" s="55"/>
      <c r="O70" s="78"/>
    </row>
    <row r="71" spans="1:15" x14ac:dyDescent="0.35">
      <c r="A71" s="21" t="s">
        <v>222</v>
      </c>
      <c r="B71" s="22" t="s">
        <v>93</v>
      </c>
      <c r="C71" s="57">
        <v>1.0663912424203119</v>
      </c>
      <c r="D71" s="57">
        <v>-15.810085876630001</v>
      </c>
      <c r="E71" s="57">
        <v>-0.19291244193000001</v>
      </c>
      <c r="F71" s="8" t="s">
        <v>17</v>
      </c>
      <c r="G71" s="55"/>
      <c r="I71" s="55"/>
      <c r="J71" s="55"/>
      <c r="K71" s="55"/>
      <c r="O71" s="78"/>
    </row>
    <row r="72" spans="1:15" x14ac:dyDescent="0.35">
      <c r="A72" s="5" t="s">
        <v>217</v>
      </c>
      <c r="B72" s="7" t="s">
        <v>133</v>
      </c>
      <c r="C72" s="58">
        <v>1.0604184187499999</v>
      </c>
      <c r="D72" s="58">
        <v>-5.5802794999999996</v>
      </c>
      <c r="E72" s="58">
        <v>-0.62251449999999997</v>
      </c>
      <c r="F72" s="6" t="s">
        <v>16</v>
      </c>
      <c r="G72" s="55"/>
      <c r="I72" s="55"/>
      <c r="J72" s="55"/>
      <c r="K72" s="55"/>
      <c r="O72" s="78"/>
    </row>
    <row r="73" spans="1:15" x14ac:dyDescent="0.35">
      <c r="A73" s="21" t="s">
        <v>218</v>
      </c>
      <c r="B73" s="22" t="s">
        <v>151</v>
      </c>
      <c r="C73" s="57">
        <v>1.0525482015625001</v>
      </c>
      <c r="D73" s="57">
        <v>-1.0790016</v>
      </c>
      <c r="E73" s="57">
        <v>3.6333399999999988E-2</v>
      </c>
      <c r="F73" s="8" t="s">
        <v>14</v>
      </c>
      <c r="G73" s="55"/>
      <c r="I73" s="55"/>
      <c r="J73" s="55"/>
      <c r="K73" s="55"/>
      <c r="O73" s="78"/>
    </row>
    <row r="74" spans="1:15" x14ac:dyDescent="0.35">
      <c r="A74" s="5" t="s">
        <v>226</v>
      </c>
      <c r="B74" s="7" t="s">
        <v>125</v>
      </c>
      <c r="C74" s="58">
        <v>1.03203624609375</v>
      </c>
      <c r="D74" s="58">
        <v>3.5782699999999998</v>
      </c>
      <c r="E74" s="58">
        <v>-5.7414999999999983E-3</v>
      </c>
      <c r="F74" s="6" t="s">
        <v>163</v>
      </c>
      <c r="G74" s="55"/>
      <c r="I74" s="55"/>
      <c r="J74" s="55"/>
      <c r="K74" s="55"/>
      <c r="O74" s="78"/>
    </row>
    <row r="75" spans="1:15" x14ac:dyDescent="0.35">
      <c r="A75" s="21" t="s">
        <v>213</v>
      </c>
      <c r="B75" s="22" t="s">
        <v>137</v>
      </c>
      <c r="C75" s="57">
        <v>1.0118283179687499</v>
      </c>
      <c r="D75" s="57">
        <v>0.21983949999999999</v>
      </c>
      <c r="E75" s="57">
        <v>-0.35720049999999998</v>
      </c>
      <c r="F75" s="8" t="s">
        <v>11</v>
      </c>
      <c r="G75" s="55"/>
      <c r="I75" s="55"/>
      <c r="J75" s="55"/>
      <c r="K75" s="55"/>
      <c r="O75" s="78"/>
    </row>
    <row r="76" spans="1:15" x14ac:dyDescent="0.35">
      <c r="A76" s="5" t="s">
        <v>238</v>
      </c>
      <c r="B76" s="7" t="s">
        <v>158</v>
      </c>
      <c r="C76" s="58">
        <v>0.95263596328125</v>
      </c>
      <c r="D76" s="58">
        <v>6.5712054999999996</v>
      </c>
      <c r="E76" s="58">
        <v>0.3107144</v>
      </c>
      <c r="F76" s="6" t="s">
        <v>14</v>
      </c>
      <c r="G76" s="55"/>
      <c r="I76" s="55"/>
      <c r="J76" s="55"/>
      <c r="K76" s="55"/>
      <c r="O76" s="78"/>
    </row>
    <row r="77" spans="1:15" x14ac:dyDescent="0.35">
      <c r="A77" s="21" t="s">
        <v>223</v>
      </c>
      <c r="B77" s="22" t="s">
        <v>139</v>
      </c>
      <c r="C77" s="57">
        <v>0.92681754374676573</v>
      </c>
      <c r="D77" s="57">
        <v>-5.3260984935000009</v>
      </c>
      <c r="E77" s="57">
        <v>-0.45578991340000008</v>
      </c>
      <c r="F77" s="8" t="s">
        <v>17</v>
      </c>
      <c r="G77" s="55"/>
      <c r="I77" s="55"/>
      <c r="J77" s="55"/>
      <c r="K77" s="55"/>
      <c r="O77" s="78"/>
    </row>
    <row r="78" spans="1:15" x14ac:dyDescent="0.35">
      <c r="A78" s="5" t="s">
        <v>240</v>
      </c>
      <c r="B78" s="7" t="s">
        <v>153</v>
      </c>
      <c r="C78" s="58">
        <v>0.92533720390624996</v>
      </c>
      <c r="D78" s="58">
        <v>2.3854000000000002</v>
      </c>
      <c r="E78" s="58">
        <v>-4.8372999999999972E-2</v>
      </c>
      <c r="F78" s="6" t="s">
        <v>14</v>
      </c>
      <c r="G78" s="55"/>
      <c r="I78" s="55"/>
      <c r="J78" s="55"/>
      <c r="K78" s="55"/>
      <c r="O78" s="78"/>
    </row>
    <row r="79" spans="1:15" x14ac:dyDescent="0.35">
      <c r="A79" s="21" t="s">
        <v>219</v>
      </c>
      <c r="B79" s="22" t="s">
        <v>92</v>
      </c>
      <c r="C79" s="57">
        <v>0.9228000207655469</v>
      </c>
      <c r="D79" s="57">
        <v>-5.4471042141499995</v>
      </c>
      <c r="E79" s="57">
        <v>0.50044823588000009</v>
      </c>
      <c r="F79" s="8" t="s">
        <v>14</v>
      </c>
      <c r="G79" s="55"/>
      <c r="I79" s="55"/>
      <c r="J79" s="55"/>
      <c r="K79" s="55"/>
      <c r="O79" s="78"/>
    </row>
    <row r="80" spans="1:15" x14ac:dyDescent="0.35">
      <c r="A80" s="5" t="s">
        <v>234</v>
      </c>
      <c r="B80" s="7" t="s">
        <v>146</v>
      </c>
      <c r="C80" s="58">
        <v>0.90923901093750004</v>
      </c>
      <c r="D80" s="58">
        <v>7.5841215000000002</v>
      </c>
      <c r="E80" s="58">
        <v>0.39126699999999998</v>
      </c>
      <c r="F80" s="6" t="s">
        <v>161</v>
      </c>
      <c r="G80" s="55"/>
      <c r="I80" s="55"/>
      <c r="J80" s="55"/>
      <c r="K80" s="55"/>
      <c r="O80" s="78"/>
    </row>
    <row r="81" spans="1:15" x14ac:dyDescent="0.35">
      <c r="A81" s="21" t="s">
        <v>230</v>
      </c>
      <c r="B81" s="22" t="s">
        <v>131</v>
      </c>
      <c r="C81" s="57">
        <v>0.84017137938328135</v>
      </c>
      <c r="D81" s="57">
        <v>-2.8212439837000001</v>
      </c>
      <c r="E81" s="57">
        <v>-0.15190962444</v>
      </c>
      <c r="F81" s="8" t="s">
        <v>17</v>
      </c>
      <c r="G81" s="55"/>
      <c r="I81" s="55"/>
      <c r="J81" s="55"/>
      <c r="K81" s="55"/>
      <c r="O81" s="78"/>
    </row>
    <row r="82" spans="1:15" x14ac:dyDescent="0.35">
      <c r="A82" s="5" t="s">
        <v>221</v>
      </c>
      <c r="B82" s="7" t="s">
        <v>135</v>
      </c>
      <c r="C82" s="58">
        <v>0.83148294453125005</v>
      </c>
      <c r="D82" s="58">
        <v>-8.1431994999999997</v>
      </c>
      <c r="E82" s="58">
        <v>-0.56401349999999995</v>
      </c>
      <c r="F82" s="6" t="s">
        <v>17</v>
      </c>
      <c r="G82" s="55"/>
      <c r="I82" s="55"/>
      <c r="J82" s="55"/>
      <c r="K82" s="55"/>
      <c r="O82" s="78"/>
    </row>
    <row r="83" spans="1:15" x14ac:dyDescent="0.35">
      <c r="A83" s="21" t="s">
        <v>242</v>
      </c>
      <c r="B83" s="22" t="s">
        <v>156</v>
      </c>
      <c r="C83" s="57">
        <v>0.78054290703124996</v>
      </c>
      <c r="D83" s="57">
        <v>-15.388783999999999</v>
      </c>
      <c r="E83" s="57">
        <v>-1.279528</v>
      </c>
      <c r="F83" s="8" t="s">
        <v>163</v>
      </c>
      <c r="G83" s="55"/>
      <c r="I83" s="55"/>
      <c r="J83" s="55"/>
      <c r="K83" s="55"/>
      <c r="O83" s="78"/>
    </row>
    <row r="84" spans="1:15" x14ac:dyDescent="0.35">
      <c r="A84" s="5" t="s">
        <v>253</v>
      </c>
      <c r="B84" s="7" t="s">
        <v>254</v>
      </c>
      <c r="C84" s="58">
        <v>0.76902965937500001</v>
      </c>
      <c r="D84" s="58">
        <v>7.7419732000000003</v>
      </c>
      <c r="E84" s="58">
        <v>0.2483504</v>
      </c>
      <c r="F84" s="6" t="s">
        <v>162</v>
      </c>
      <c r="G84" s="55"/>
      <c r="I84" s="55"/>
      <c r="J84" s="55"/>
      <c r="K84" s="55"/>
      <c r="O84" s="78"/>
    </row>
    <row r="85" spans="1:15" x14ac:dyDescent="0.35">
      <c r="A85" s="21" t="s">
        <v>239</v>
      </c>
      <c r="B85" s="22" t="s">
        <v>148</v>
      </c>
      <c r="C85" s="57">
        <v>0.76098157285156254</v>
      </c>
      <c r="D85" s="57">
        <v>-8.4904305000000004</v>
      </c>
      <c r="E85" s="57">
        <v>8.9395500000000003E-2</v>
      </c>
      <c r="F85" s="8" t="s">
        <v>161</v>
      </c>
      <c r="G85" s="55"/>
      <c r="I85" s="55"/>
      <c r="J85" s="55"/>
      <c r="K85" s="55"/>
      <c r="O85" s="78"/>
    </row>
    <row r="86" spans="1:15" x14ac:dyDescent="0.35">
      <c r="A86" s="5" t="s">
        <v>233</v>
      </c>
      <c r="B86" s="7" t="s">
        <v>86</v>
      </c>
      <c r="C86" s="58">
        <v>0.66956818750000002</v>
      </c>
      <c r="D86" s="58">
        <v>-0.47632449999999998</v>
      </c>
      <c r="E86" s="58">
        <v>-0.59190449999999994</v>
      </c>
      <c r="F86" s="6" t="s">
        <v>11</v>
      </c>
      <c r="G86" s="55"/>
      <c r="I86" s="55"/>
      <c r="J86" s="55"/>
      <c r="K86" s="55"/>
      <c r="O86" s="78"/>
    </row>
    <row r="87" spans="1:15" x14ac:dyDescent="0.35">
      <c r="A87" s="21" t="s">
        <v>232</v>
      </c>
      <c r="B87" s="22" t="s">
        <v>126</v>
      </c>
      <c r="C87" s="57">
        <v>0.65927524140625005</v>
      </c>
      <c r="D87" s="57">
        <v>4.8866145000000003</v>
      </c>
      <c r="E87" s="57">
        <v>0.41741050000000002</v>
      </c>
      <c r="F87" s="8" t="s">
        <v>17</v>
      </c>
      <c r="G87" s="55"/>
      <c r="I87" s="55"/>
      <c r="J87" s="55"/>
      <c r="K87" s="55"/>
      <c r="O87" s="78"/>
    </row>
    <row r="88" spans="1:15" x14ac:dyDescent="0.35">
      <c r="A88" s="5" t="s">
        <v>231</v>
      </c>
      <c r="B88" s="7" t="s">
        <v>136</v>
      </c>
      <c r="C88" s="58">
        <v>0.65788949687499998</v>
      </c>
      <c r="D88" s="58">
        <v>-4.6693724999999997</v>
      </c>
      <c r="E88" s="58">
        <v>-9.3488500000000002E-2</v>
      </c>
      <c r="F88" s="6" t="s">
        <v>17</v>
      </c>
      <c r="G88" s="55"/>
      <c r="I88" s="55"/>
      <c r="J88" s="55"/>
      <c r="K88" s="55"/>
      <c r="O88" s="78"/>
    </row>
    <row r="89" spans="1:15" x14ac:dyDescent="0.35">
      <c r="A89" s="21" t="s">
        <v>236</v>
      </c>
      <c r="B89" s="22" t="s">
        <v>122</v>
      </c>
      <c r="C89" s="57">
        <v>0.59746852265625006</v>
      </c>
      <c r="D89" s="57">
        <v>-2.1879957000000001</v>
      </c>
      <c r="E89" s="57">
        <v>-7.4262899999999993E-2</v>
      </c>
      <c r="F89" s="8" t="s">
        <v>162</v>
      </c>
      <c r="G89" s="55"/>
      <c r="I89" s="55"/>
      <c r="J89" s="55"/>
      <c r="K89" s="55"/>
      <c r="O89" s="78"/>
    </row>
    <row r="90" spans="1:15" x14ac:dyDescent="0.35">
      <c r="A90" s="5" t="s">
        <v>245</v>
      </c>
      <c r="B90" s="7" t="s">
        <v>138</v>
      </c>
      <c r="C90" s="58">
        <v>0.57593506406250006</v>
      </c>
      <c r="D90" s="58">
        <v>-5.0099819999999999</v>
      </c>
      <c r="E90" s="58">
        <v>0.34784350000000003</v>
      </c>
      <c r="F90" s="6" t="s">
        <v>11</v>
      </c>
      <c r="G90" s="55"/>
      <c r="I90" s="55"/>
      <c r="J90" s="55"/>
      <c r="K90" s="55"/>
      <c r="O90" s="78"/>
    </row>
    <row r="91" spans="1:15" x14ac:dyDescent="0.35">
      <c r="A91" s="21" t="s">
        <v>229</v>
      </c>
      <c r="B91" s="22" t="s">
        <v>145</v>
      </c>
      <c r="C91" s="57">
        <v>0.55430346328125002</v>
      </c>
      <c r="D91" s="57">
        <v>-2.3883785</v>
      </c>
      <c r="E91" s="57">
        <v>2.6841500000000001E-2</v>
      </c>
      <c r="F91" s="8" t="s">
        <v>17</v>
      </c>
      <c r="G91" s="55"/>
      <c r="I91" s="55"/>
      <c r="J91" s="55"/>
      <c r="K91" s="55"/>
      <c r="O91" s="78"/>
    </row>
    <row r="92" spans="1:15" x14ac:dyDescent="0.35">
      <c r="A92" s="5" t="s">
        <v>247</v>
      </c>
      <c r="B92" s="7" t="s">
        <v>157</v>
      </c>
      <c r="C92" s="58">
        <v>0.50871425078124999</v>
      </c>
      <c r="D92" s="58">
        <v>-0.37241299999999988</v>
      </c>
      <c r="E92" s="58">
        <v>0.23896700000000001</v>
      </c>
      <c r="F92" s="6" t="s">
        <v>14</v>
      </c>
      <c r="G92" s="55"/>
      <c r="I92" s="55"/>
      <c r="J92" s="55"/>
      <c r="K92" s="55"/>
      <c r="O92" s="78"/>
    </row>
    <row r="93" spans="1:15" x14ac:dyDescent="0.35">
      <c r="A93" s="21" t="s">
        <v>249</v>
      </c>
      <c r="B93" s="22" t="s">
        <v>250</v>
      </c>
      <c r="C93" s="57">
        <v>0.50323818414062504</v>
      </c>
      <c r="D93" s="57">
        <v>-17.283906000000002</v>
      </c>
      <c r="E93" s="57">
        <v>-3.9644999999999993E-2</v>
      </c>
      <c r="F93" s="8" t="s">
        <v>15</v>
      </c>
      <c r="G93" s="55"/>
      <c r="I93" s="55"/>
      <c r="J93" s="55"/>
      <c r="K93" s="55"/>
      <c r="O93" s="78"/>
    </row>
    <row r="94" spans="1:15" x14ac:dyDescent="0.35">
      <c r="A94" s="5" t="s">
        <v>237</v>
      </c>
      <c r="B94" s="7" t="s">
        <v>154</v>
      </c>
      <c r="C94" s="58">
        <v>0.48711109999999996</v>
      </c>
      <c r="D94" s="58">
        <v>-1.5576334999999999</v>
      </c>
      <c r="E94" s="58">
        <v>-1.2951000000000001E-2</v>
      </c>
      <c r="F94" s="6" t="s">
        <v>14</v>
      </c>
      <c r="G94" s="55"/>
      <c r="I94" s="55"/>
      <c r="J94" s="55"/>
      <c r="K94" s="55"/>
      <c r="O94" s="78"/>
    </row>
    <row r="95" spans="1:15" x14ac:dyDescent="0.35">
      <c r="A95" s="21" t="s">
        <v>228</v>
      </c>
      <c r="B95" s="22" t="s">
        <v>124</v>
      </c>
      <c r="C95" s="57">
        <v>0.43793127858679687</v>
      </c>
      <c r="D95" s="57">
        <v>0.3799672117000002</v>
      </c>
      <c r="E95" s="57">
        <v>-4.0789496630000012E-2</v>
      </c>
      <c r="F95" s="8" t="s">
        <v>17</v>
      </c>
      <c r="G95" s="55"/>
      <c r="I95" s="55"/>
      <c r="J95" s="55"/>
      <c r="K95" s="55"/>
      <c r="O95" s="78"/>
    </row>
    <row r="96" spans="1:15" x14ac:dyDescent="0.35">
      <c r="A96" s="5" t="s">
        <v>255</v>
      </c>
      <c r="B96" s="7" t="s">
        <v>256</v>
      </c>
      <c r="C96" s="58">
        <v>0.40367779999999998</v>
      </c>
      <c r="D96" s="58">
        <v>6.6467609999999997</v>
      </c>
      <c r="E96" s="58">
        <v>2.5431499999999999E-2</v>
      </c>
      <c r="F96" s="6" t="s">
        <v>11</v>
      </c>
      <c r="G96" s="55"/>
      <c r="I96" s="55"/>
      <c r="J96" s="55"/>
      <c r="K96" s="55"/>
      <c r="O96" s="78"/>
    </row>
    <row r="97" spans="1:15" x14ac:dyDescent="0.35">
      <c r="A97" s="21" t="s">
        <v>243</v>
      </c>
      <c r="B97" s="22" t="s">
        <v>159</v>
      </c>
      <c r="C97" s="57">
        <v>0.40288837890625001</v>
      </c>
      <c r="D97" s="57">
        <v>-5.7689690000000002</v>
      </c>
      <c r="E97" s="57">
        <v>0.15873100000000001</v>
      </c>
      <c r="F97" s="8" t="s">
        <v>10</v>
      </c>
      <c r="G97" s="55"/>
      <c r="I97" s="55"/>
      <c r="J97" s="55"/>
      <c r="K97" s="55"/>
      <c r="O97" s="78"/>
    </row>
    <row r="98" spans="1:15" x14ac:dyDescent="0.35">
      <c r="A98" s="5" t="s">
        <v>260</v>
      </c>
      <c r="B98" s="7" t="s">
        <v>261</v>
      </c>
      <c r="C98" s="58">
        <v>0.39999026640625002</v>
      </c>
      <c r="D98" s="58">
        <v>2.3393202000000004</v>
      </c>
      <c r="E98" s="58">
        <v>-0.36265849999999999</v>
      </c>
      <c r="F98" s="6" t="s">
        <v>11</v>
      </c>
      <c r="G98" s="55"/>
      <c r="I98" s="55"/>
      <c r="J98" s="55"/>
      <c r="K98" s="55"/>
      <c r="O98" s="78"/>
    </row>
    <row r="99" spans="1:15" x14ac:dyDescent="0.35">
      <c r="A99" s="21" t="s">
        <v>235</v>
      </c>
      <c r="B99" s="22" t="s">
        <v>155</v>
      </c>
      <c r="C99" s="57">
        <v>0.39287560823750001</v>
      </c>
      <c r="D99" s="57">
        <v>9.073736653100001</v>
      </c>
      <c r="E99" s="57">
        <v>0.25102472380000002</v>
      </c>
      <c r="F99" s="8" t="s">
        <v>163</v>
      </c>
      <c r="G99" s="55"/>
      <c r="I99" s="55"/>
      <c r="J99" s="55"/>
      <c r="K99" s="55"/>
      <c r="O99" s="78"/>
    </row>
    <row r="100" spans="1:15" x14ac:dyDescent="0.35">
      <c r="A100" s="5" t="s">
        <v>274</v>
      </c>
      <c r="B100" s="7" t="s">
        <v>275</v>
      </c>
      <c r="C100" s="58">
        <v>0.38869680468750001</v>
      </c>
      <c r="D100" s="58">
        <v>-0.69195600000000002</v>
      </c>
      <c r="E100" s="58">
        <v>-0.74385950000000001</v>
      </c>
      <c r="F100" s="6" t="s">
        <v>161</v>
      </c>
      <c r="G100" s="55"/>
      <c r="I100" s="55"/>
      <c r="J100" s="55"/>
      <c r="K100" s="55"/>
      <c r="O100" s="78"/>
    </row>
    <row r="101" spans="1:15" x14ac:dyDescent="0.35">
      <c r="A101" s="82" t="s">
        <v>244</v>
      </c>
      <c r="B101" s="83" t="s">
        <v>132</v>
      </c>
      <c r="C101" s="84">
        <v>0.36117544921875</v>
      </c>
      <c r="D101" s="84">
        <v>-2.0940509999999999</v>
      </c>
      <c r="E101" s="84">
        <v>-0.1205635</v>
      </c>
      <c r="F101" s="9" t="s">
        <v>17</v>
      </c>
      <c r="G101" s="55"/>
      <c r="I101" s="55"/>
      <c r="J101" s="43"/>
      <c r="O101" s="78"/>
    </row>
    <row r="102" spans="1:15" x14ac:dyDescent="0.35">
      <c r="A102" s="47"/>
      <c r="B102" s="10"/>
      <c r="C102" s="10"/>
      <c r="D102" s="10"/>
      <c r="E102" s="10"/>
      <c r="F102" s="48"/>
    </row>
    <row r="105" spans="1:15" x14ac:dyDescent="0.35">
      <c r="A105" s="11" t="s">
        <v>80</v>
      </c>
    </row>
    <row r="106" spans="1:15" x14ac:dyDescent="0.35">
      <c r="A106" s="11" t="s">
        <v>142</v>
      </c>
    </row>
    <row r="107" spans="1:15" x14ac:dyDescent="0.35">
      <c r="A107" s="11" t="s">
        <v>141</v>
      </c>
    </row>
    <row r="108" spans="1:15" x14ac:dyDescent="0.35">
      <c r="A108" s="11" t="s">
        <v>147</v>
      </c>
    </row>
    <row r="109" spans="1:15" x14ac:dyDescent="0.35">
      <c r="A109" s="11" t="s">
        <v>73</v>
      </c>
    </row>
  </sheetData>
  <conditionalFormatting sqref="D2:E101">
    <cfRule type="cellIs" dxfId="0" priority="1" operator="lessThan">
      <formula>0</formula>
    </cfRule>
  </conditionalFormatting>
  <pageMargins left="0.7" right="0.7" top="0.75" bottom="0.75" header="0.3" footer="0.3"/>
  <pageSetup scale="65" orientation="portrait" r:id="rId1"/>
  <ignoredErrors>
    <ignoredError sqref="B5 B35 B67 B85" numberStoredAsText="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73C322B87F9DB478CDBF21FF9A1AC25" ma:contentTypeVersion="14" ma:contentTypeDescription="Create a new document." ma:contentTypeScope="" ma:versionID="88fb3379f4dd4d45a1776bbb3f7f85e2">
  <xsd:schema xmlns:xsd="http://www.w3.org/2001/XMLSchema" xmlns:xs="http://www.w3.org/2001/XMLSchema" xmlns:p="http://schemas.microsoft.com/office/2006/metadata/properties" xmlns:ns2="0e150e42-11db-4e44-8c08-ff55b6be9113" xmlns:ns3="438befb3-1295-445d-b972-de92b682dc33" targetNamespace="http://schemas.microsoft.com/office/2006/metadata/properties" ma:root="true" ma:fieldsID="7ddd39401f76dd881ecd6b07b13cfe3d" ns2:_="" ns3:_="">
    <xsd:import namespace="0e150e42-11db-4e44-8c08-ff55b6be9113"/>
    <xsd:import namespace="438befb3-1295-445d-b972-de92b682dc33"/>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ObjectDetectorVersion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e150e42-11db-4e44-8c08-ff55b6be9113"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6" nillable="true" ma:displayName="Taxonomy Catch All Column" ma:hidden="true" ma:list="{ada94355-f34e-4175-a560-08621742e40e}" ma:internalName="TaxCatchAll" ma:showField="CatchAllData" ma:web="0e150e42-11db-4e44-8c08-ff55b6be911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38befb3-1295-445d-b972-de92b682dc33"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7ac77378-129d-443c-99f9-591a63eac0d3"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878CE94-C454-4A04-B437-5603374FB01F}">
  <ds:schemaRefs>
    <ds:schemaRef ds:uri="http://schemas.microsoft.com/sharepoint/events"/>
  </ds:schemaRefs>
</ds:datastoreItem>
</file>

<file path=customXml/itemProps2.xml><?xml version="1.0" encoding="utf-8"?>
<ds:datastoreItem xmlns:ds="http://schemas.openxmlformats.org/officeDocument/2006/customXml" ds:itemID="{0B9DFD5A-5B98-4FC4-88C5-38A4EF6FA71E}">
  <ds:schemaRefs>
    <ds:schemaRef ds:uri="http://schemas.microsoft.com/sharepoint/v3/contenttype/forms"/>
  </ds:schemaRefs>
</ds:datastoreItem>
</file>

<file path=customXml/itemProps3.xml><?xml version="1.0" encoding="utf-8"?>
<ds:datastoreItem xmlns:ds="http://schemas.openxmlformats.org/officeDocument/2006/customXml" ds:itemID="{5C48DA11-414A-4A4F-8C35-B85F9A7B101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e150e42-11db-4e44-8c08-ff55b6be9113"/>
    <ds:schemaRef ds:uri="438befb3-1295-445d-b972-de92b682dc3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Weekly Top 10</vt:lpstr>
      <vt:lpstr>Institutional</vt:lpstr>
      <vt:lpstr>Retail</vt:lpstr>
      <vt:lpstr>STI Constituents</vt:lpstr>
      <vt:lpstr>100 Most Traded Stocks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SGX Research</dc:title>
  <dc:creator>Emelia Wan Yi Tan</dc:creator>
  <cp:lastModifiedBy>Benjamin Leong</cp:lastModifiedBy>
  <cp:lastPrinted>2024-07-01T01:26:22Z</cp:lastPrinted>
  <dcterms:created xsi:type="dcterms:W3CDTF">2020-01-13T01:31:10Z</dcterms:created>
  <dcterms:modified xsi:type="dcterms:W3CDTF">2024-07-08T06:13:00Z</dcterms:modified>
</cp:coreProperties>
</file>