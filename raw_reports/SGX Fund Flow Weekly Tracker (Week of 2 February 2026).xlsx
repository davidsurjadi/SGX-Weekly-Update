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D6D236E2-2935-479B-BF2E-AF7E40F58C0E}"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<sst xmlns="http://schemas.openxmlformats.org/spreadsheetml/2006/main" count="139" uniqueCount="85">
  <si>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</si>
  <si>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</si>
  <si>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</si>
  <si>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</si>
  <si>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</si>
  <si>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</si>
  <si>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</si>
  <si>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</si>
  <si>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</si>
  <si>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</si>
  <si>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</si>
  <si>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</si>
  <si>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</si>
  <si>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</si>
  <si>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</si>
  <si>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</si>
  <si>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</si>
  <si>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</si>
  <si>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</si>
  <si>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</si>
  <si>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</si>
  <si>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</si>
  <si>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</si>
  <si>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</si>
  <si>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</si>
  <si>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</si>
  <si>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</si>
  <si>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</si>
  <si>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</si>
  <si>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</si>
  <si>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</si>
  <si>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</si>
  <si>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</si>
  <si>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</si>
  <si>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</si>
  <si>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</si>
  <si>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</si>
  <si>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</si>
  <si>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</si>
  <si>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</si>
  <si>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</si>
  <si>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</si>
  <si>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Singtel</t>
  </si>
  <si>
    <t>Z74</t>
  </si>
  <si>
    <t>SGX</t>
  </si>
  <si>
    <t>S68</t>
  </si>
  <si>
    <t>CapitaLand Investment</t>
  </si>
  <si>
    <t>9CI</t>
  </si>
  <si>
    <t>CapitaLand Integrated Commercial Trust</t>
  </si>
  <si>
    <t>C38U</t>
  </si>
  <si>
    <t>Wilmar International</t>
  </si>
  <si>
    <t>F34</t>
  </si>
  <si>
    <t>SIA</t>
  </si>
  <si>
    <t>C6L</t>
  </si>
  <si>
    <t>Seatrium</t>
  </si>
  <si>
    <t>5E2</t>
  </si>
  <si>
    <t>CapitaLand Ascendas REIT</t>
  </si>
  <si>
    <t>A17U</t>
  </si>
  <si>
    <t>Hongkong Land</t>
  </si>
  <si>
    <t>H78</t>
  </si>
  <si>
    <t>iFast Corporation</t>
  </si>
  <si>
    <t>AIY</t>
  </si>
  <si>
    <t>Jardine Matheson</t>
  </si>
  <si>
    <t>J36</t>
  </si>
  <si>
    <t>Jardine Cycle &amp; Carriage</t>
  </si>
  <si>
    <t>C07</t>
  </si>
  <si>
    <t>Keppel</t>
  </si>
  <si>
    <t>BN4</t>
  </si>
  <si>
    <t>City Developments</t>
  </si>
  <si>
    <t>C09</t>
  </si>
  <si>
    <t>Genting Singapore</t>
  </si>
  <si>
    <t>G13</t>
  </si>
  <si>
    <t>Venture Corporation</t>
  </si>
  <si>
    <t>V03</t>
  </si>
  <si>
    <t>Keppel REIT</t>
  </si>
  <si>
    <t>K71U</t>
  </si>
  <si>
    <t>Mapletree Industrial Trust</t>
  </si>
  <si>
    <t>ME8U</t>
  </si>
  <si>
    <t>UMS</t>
  </si>
  <si>
    <t>558</t>
  </si>
  <si>
    <t>Sheng Siong</t>
  </si>
  <si>
    <t>OV8</t>
  </si>
  <si>
    <t>Week of 2 February 2026</t>
  </si>
  <si>
    <r>
      <t xml:space="preserve">Institutional investors net </t>
    </r>
    <r>
      <rPr>
        <b/>
        <sz val="11"/>
        <rFont val="Arial"/>
        <family val="2"/>
      </rPr>
      <t>sell</t>
    </r>
    <r>
      <rPr>
        <sz val="11"/>
        <rFont val="Arial"/>
        <family val="2"/>
      </rPr>
      <t xml:space="preserve"> (-S$121.6m) vs. (-S$325.3m) a week ago</t>
    </r>
  </si>
  <si>
    <r>
      <t xml:space="preserve">Retail investors net </t>
    </r>
    <r>
      <rPr>
        <b/>
        <sz val="11"/>
        <rFont val="Arial"/>
        <family val="2"/>
      </rPr>
      <t>buy</t>
    </r>
    <r>
      <rPr>
        <sz val="11"/>
        <rFont val="Arial"/>
        <family val="2"/>
      </rPr>
      <t xml:space="preserve"> (+S$103.4m) vs. (+S$118.6m)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</si>
</sst>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2 February 2026</v>
      </c>
      <c r="I5" s="2"/>
    </row>
    <row r="6" spans="1:13" ht="15" x14ac:dyDescent="0.25">
      <c r="A6" s="28" t="s">
        <v>66</v>
      </c>
      <c r="B6" s="46" t="s">
        <v>67</v>
      </c>
      <c r="C6" s="5">
        <v>39.147359000000002</v>
      </c>
      <c r="D6" s="28" t="s">
        <v>23</v>
      </c>
      <c r="E6" s="46" t="s">
        <v>21</v>
      </c>
      <c r="F6" s="5">
        <v>-75.262826000000004</v>
      </c>
      <c r="G6" s="61"/>
      <c r="H6"/>
      <c r="I6" s="2"/>
      <c r="M6"/>
    </row>
    <row r="7" spans="1:13" ht="15" x14ac:dyDescent="0.25">
      <c r="A7" s="29" t="s">
        <v>52</v>
      </c>
      <c r="B7" s="9" t="s">
        <v>53</v>
      </c>
      <c r="C7" s="7">
        <v>37.763986000000003</v>
      </c>
      <c r="D7" s="29" t="s">
        <v>40</v>
      </c>
      <c r="E7" s="9" t="s">
        <v>41</v>
      </c>
      <c r="F7" s="7">
        <v>-41.718043999999999</v>
      </c>
      <c r="G7" s="61"/>
      <c r="H7"/>
      <c r="I7" s="2"/>
      <c r="L7"/>
      <c r="M7"/>
    </row>
    <row r="8" spans="1:13" ht="15" x14ac:dyDescent="0.25">
      <c r="A8" s="30" t="s">
        <v>62</v>
      </c>
      <c r="B8" s="46" t="s">
        <v>63</v>
      </c>
      <c r="C8" s="5">
        <v>16.3379078028</v>
      </c>
      <c r="D8" s="30" t="s">
        <v>36</v>
      </c>
      <c r="E8" s="46" t="s">
        <v>37</v>
      </c>
      <c r="F8" s="5">
        <v>-29.142544000000001</v>
      </c>
      <c r="G8" s="61"/>
      <c r="H8"/>
      <c r="I8" s="2"/>
      <c r="L8"/>
      <c r="M8"/>
    </row>
    <row r="9" spans="1:13" ht="15" x14ac:dyDescent="0.25">
      <c r="A9" s="29" t="s">
        <v>68</v>
      </c>
      <c r="B9" s="9" t="s">
        <v>69</v>
      </c>
      <c r="C9" s="7">
        <v>13.285361999999999</v>
      </c>
      <c r="D9" s="29" t="s">
        <v>60</v>
      </c>
      <c r="E9" s="9" t="s">
        <v>61</v>
      </c>
      <c r="F9" s="7">
        <v>-23.763468</v>
      </c>
      <c r="G9" s="61"/>
      <c r="H9"/>
      <c r="I9" s="2"/>
      <c r="L9"/>
      <c r="M9"/>
    </row>
    <row r="10" spans="1:13" ht="15" x14ac:dyDescent="0.25">
      <c r="A10" s="30" t="s">
        <v>70</v>
      </c>
      <c r="B10" s="46" t="s">
        <v>71</v>
      </c>
      <c r="C10" s="5">
        <v>11.069316499999999</v>
      </c>
      <c r="D10" s="30" t="s">
        <v>74</v>
      </c>
      <c r="E10" s="46" t="s">
        <v>75</v>
      </c>
      <c r="F10" s="5">
        <v>-17.3595395</v>
      </c>
      <c r="G10" s="61"/>
      <c r="H10"/>
      <c r="I10" s="2"/>
      <c r="L10"/>
      <c r="M10"/>
    </row>
    <row r="11" spans="1:13" ht="15" x14ac:dyDescent="0.25">
      <c r="A11" s="29" t="s">
        <v>46</v>
      </c>
      <c r="B11" s="9" t="s">
        <v>47</v>
      </c>
      <c r="C11" s="7">
        <v>10.341068999999999</v>
      </c>
      <c r="D11" s="29" t="s">
        <v>56</v>
      </c>
      <c r="E11" s="9" t="s">
        <v>57</v>
      </c>
      <c r="F11" s="7">
        <v>-13.434316000000001</v>
      </c>
      <c r="G11" s="61"/>
      <c r="H11"/>
      <c r="I11" s="2"/>
      <c r="L11"/>
      <c r="M11"/>
    </row>
    <row r="12" spans="1:13" ht="15" x14ac:dyDescent="0.25">
      <c r="A12" s="30" t="s">
        <v>50</v>
      </c>
      <c r="B12" s="46" t="s">
        <v>51</v>
      </c>
      <c r="C12" s="5">
        <v>8.9197100000000002</v>
      </c>
      <c r="D12" s="30" t="s">
        <v>58</v>
      </c>
      <c r="E12" s="46" t="s">
        <v>59</v>
      </c>
      <c r="F12" s="5">
        <v>-13.422789078499999</v>
      </c>
      <c r="G12" s="61"/>
      <c r="H12"/>
      <c r="I12" s="2"/>
      <c r="L12"/>
      <c r="M12"/>
    </row>
    <row r="13" spans="1:13" ht="15" x14ac:dyDescent="0.25">
      <c r="A13" s="29" t="s">
        <v>24</v>
      </c>
      <c r="B13" s="9" t="s">
        <v>22</v>
      </c>
      <c r="C13" s="7">
        <v>8.1373899999999999</v>
      </c>
      <c r="D13" s="29" t="s">
        <v>44</v>
      </c>
      <c r="E13" s="9" t="s">
        <v>45</v>
      </c>
      <c r="F13" s="7">
        <v>-11.87208</v>
      </c>
      <c r="G13" s="61"/>
      <c r="H13"/>
      <c r="I13" s="2"/>
      <c r="L13"/>
      <c r="M13"/>
    </row>
    <row r="14" spans="1:13" ht="15" x14ac:dyDescent="0.25">
      <c r="A14" s="30" t="s">
        <v>72</v>
      </c>
      <c r="B14" s="46" t="s">
        <v>73</v>
      </c>
      <c r="C14" s="5">
        <v>7.2181559999999996</v>
      </c>
      <c r="D14" s="30" t="s">
        <v>76</v>
      </c>
      <c r="E14" s="46" t="s">
        <v>77</v>
      </c>
      <c r="F14" s="5">
        <v>-10.706832</v>
      </c>
      <c r="G14" s="61"/>
      <c r="H14"/>
      <c r="I14" s="2"/>
      <c r="L14"/>
      <c r="M14"/>
    </row>
    <row r="15" spans="1:13" ht="15" x14ac:dyDescent="0.25">
      <c r="A15" s="31" t="s">
        <v>64</v>
      </c>
      <c r="B15" s="27" t="s">
        <v>65</v>
      </c>
      <c r="C15" s="8">
        <v>7.0160410000000004</v>
      </c>
      <c r="D15" s="31" t="s">
        <v>78</v>
      </c>
      <c r="E15" s="27" t="s">
        <v>79</v>
      </c>
      <c r="F15" s="8">
        <v>-10.080273999999999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 February 2026</v>
      </c>
      <c r="D18" s="45" t="s">
        <v>4</v>
      </c>
      <c r="E18" s="43" t="s">
        <v>1</v>
      </c>
      <c r="F18" s="44" t="str">
        <f>+C18</f>
        <v>Week of 2 February 2026</v>
      </c>
    </row>
    <row r="19" spans="1:9" x14ac:dyDescent="0.2">
      <c r="A19" s="30" t="s">
        <v>23</v>
      </c>
      <c r="B19" s="46" t="s">
        <v>21</v>
      </c>
      <c r="C19" s="16">
        <v>143.15633199999999</v>
      </c>
      <c r="D19" s="30" t="s">
        <v>52</v>
      </c>
      <c r="E19" s="15" t="s">
        <v>53</v>
      </c>
      <c r="F19" s="5">
        <v>-94.286466000000004</v>
      </c>
      <c r="I19" s="2"/>
    </row>
    <row r="20" spans="1:9" ht="15" x14ac:dyDescent="0.25">
      <c r="A20" s="29" t="s">
        <v>40</v>
      </c>
      <c r="B20" s="9" t="s">
        <v>41</v>
      </c>
      <c r="C20" s="7">
        <v>55.468772999999999</v>
      </c>
      <c r="D20" s="29" t="s">
        <v>66</v>
      </c>
      <c r="E20" s="17" t="s">
        <v>67</v>
      </c>
      <c r="F20" s="7">
        <v>-51.595475</v>
      </c>
      <c r="G20" s="61"/>
      <c r="I20" s="2"/>
    </row>
    <row r="21" spans="1:9" ht="15" x14ac:dyDescent="0.25">
      <c r="A21" s="30" t="s">
        <v>60</v>
      </c>
      <c r="B21" s="46" t="s">
        <v>61</v>
      </c>
      <c r="C21" s="5">
        <v>33.850259999999999</v>
      </c>
      <c r="D21" s="30" t="s">
        <v>42</v>
      </c>
      <c r="E21" s="6" t="s">
        <v>43</v>
      </c>
      <c r="F21" s="5">
        <v>-28.920347799999998</v>
      </c>
      <c r="G21" s="61"/>
      <c r="I21" s="2"/>
    </row>
    <row r="22" spans="1:9" ht="15" x14ac:dyDescent="0.25">
      <c r="A22" s="29" t="s">
        <v>56</v>
      </c>
      <c r="B22" s="9" t="s">
        <v>57</v>
      </c>
      <c r="C22" s="7">
        <v>19.733535</v>
      </c>
      <c r="D22" s="29" t="s">
        <v>68</v>
      </c>
      <c r="E22" s="17" t="s">
        <v>69</v>
      </c>
      <c r="F22" s="7">
        <v>-19.839044999999999</v>
      </c>
      <c r="G22" s="61"/>
      <c r="I22" s="2"/>
    </row>
    <row r="23" spans="1:9" ht="15" x14ac:dyDescent="0.25">
      <c r="A23" s="30" t="s">
        <v>38</v>
      </c>
      <c r="B23" s="46" t="s">
        <v>39</v>
      </c>
      <c r="C23" s="5">
        <v>18.799244999999999</v>
      </c>
      <c r="D23" s="30" t="s">
        <v>48</v>
      </c>
      <c r="E23" s="6" t="s">
        <v>49</v>
      </c>
      <c r="F23" s="5">
        <v>-18.407274000000001</v>
      </c>
      <c r="G23" s="61"/>
      <c r="I23" s="2"/>
    </row>
    <row r="24" spans="1:9" ht="15" x14ac:dyDescent="0.25">
      <c r="A24" s="29" t="s">
        <v>36</v>
      </c>
      <c r="B24" s="9" t="s">
        <v>37</v>
      </c>
      <c r="C24" s="7">
        <v>15.206</v>
      </c>
      <c r="D24" s="29" t="s">
        <v>46</v>
      </c>
      <c r="E24" s="17" t="s">
        <v>47</v>
      </c>
      <c r="F24" s="7">
        <v>-16.292335999999999</v>
      </c>
      <c r="G24" s="61"/>
      <c r="I24" s="2"/>
    </row>
    <row r="25" spans="1:9" ht="15" x14ac:dyDescent="0.25">
      <c r="A25" s="30" t="s">
        <v>54</v>
      </c>
      <c r="B25" s="46" t="s">
        <v>55</v>
      </c>
      <c r="C25" s="5">
        <v>13.8186</v>
      </c>
      <c r="D25" s="30" t="s">
        <v>24</v>
      </c>
      <c r="E25" s="6" t="s">
        <v>22</v>
      </c>
      <c r="F25" s="5">
        <v>-14.279531</v>
      </c>
      <c r="G25" s="61"/>
      <c r="I25" s="2"/>
    </row>
    <row r="26" spans="1:9" ht="15" x14ac:dyDescent="0.25">
      <c r="A26" s="29" t="s">
        <v>78</v>
      </c>
      <c r="B26" s="9" t="s">
        <v>79</v>
      </c>
      <c r="C26" s="7">
        <v>11.392787999999999</v>
      </c>
      <c r="D26" s="29" t="s">
        <v>50</v>
      </c>
      <c r="E26" s="17" t="s">
        <v>51</v>
      </c>
      <c r="F26" s="7">
        <v>-12.647596</v>
      </c>
      <c r="G26" s="61"/>
      <c r="I26" s="2"/>
    </row>
    <row r="27" spans="1:9" ht="15" x14ac:dyDescent="0.25">
      <c r="A27" s="30" t="s">
        <v>74</v>
      </c>
      <c r="B27" s="46" t="s">
        <v>75</v>
      </c>
      <c r="C27" s="5">
        <v>11.310199000000001</v>
      </c>
      <c r="D27" s="30" t="s">
        <v>62</v>
      </c>
      <c r="E27" s="6" t="s">
        <v>63</v>
      </c>
      <c r="F27" s="5">
        <v>-9.415408922000001</v>
      </c>
      <c r="G27" s="61"/>
      <c r="I27" s="2"/>
    </row>
    <row r="28" spans="1:9" ht="15" x14ac:dyDescent="0.25">
      <c r="A28" s="27" t="s">
        <v>44</v>
      </c>
      <c r="B28" s="56" t="s">
        <v>45</v>
      </c>
      <c r="C28" s="8">
        <v>11.242976000000001</v>
      </c>
      <c r="D28" s="27" t="s">
        <v>80</v>
      </c>
      <c r="E28" s="56" t="s">
        <v>81</v>
      </c>
      <c r="F28" s="8">
        <v>-8.9501539999999995</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5 B25:B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194.51919850204004</v>
      </c>
      <c r="B3" s="54">
        <v>46034</v>
      </c>
      <c r="C3" s="14">
        <v>-9.8803084481999992</v>
      </c>
      <c r="D3" s="14">
        <v>3.0039179550000021</v>
      </c>
      <c r="E3" s="14">
        <v>-0.88339430000000019</v>
      </c>
      <c r="F3" s="14">
        <v>55.696732499999996</v>
      </c>
      <c r="G3" s="14">
        <v>-7.4270488076000003</v>
      </c>
      <c r="H3" s="14">
        <v>59.027613692650029</v>
      </c>
      <c r="I3" s="14">
        <v>6.6343841999999995</v>
      </c>
      <c r="J3" s="14">
        <v>78.207925215700016</v>
      </c>
      <c r="K3" s="14">
        <v>-31.110458405509995</v>
      </c>
      <c r="L3" s="14">
        <v>42.281655599999986</v>
      </c>
      <c r="M3" s="14">
        <v>16.171721600000001</v>
      </c>
      <c r="N3" s="14">
        <v>-17.203542300000002</v>
      </c>
    </row>
    <row r="4" spans="1:15" ht="15" x14ac:dyDescent="0.25">
      <c r="A4" s="38">
        <f>SUM(C4:N4)</f>
        <v>167.92632239476001</v>
      </c>
      <c r="B4" s="42">
        <v>46041</v>
      </c>
      <c r="C4" s="53">
        <v>18.648456791800005</v>
      </c>
      <c r="D4" s="53">
        <v>19.578248673900003</v>
      </c>
      <c r="E4" s="53">
        <v>-0.87425960000000014</v>
      </c>
      <c r="F4" s="53">
        <v>209.43559230000002</v>
      </c>
      <c r="G4" s="53">
        <v>-3.6552096452000002</v>
      </c>
      <c r="H4" s="53">
        <v>-57.974529295750003</v>
      </c>
      <c r="I4" s="53">
        <v>2.0085463999999997</v>
      </c>
      <c r="J4" s="53">
        <v>27.660069403199998</v>
      </c>
      <c r="K4" s="53">
        <v>-49.831065733189995</v>
      </c>
      <c r="L4" s="53">
        <v>15.281033300000001</v>
      </c>
      <c r="M4" s="53">
        <v>9.950993099999998</v>
      </c>
      <c r="N4" s="53">
        <v>-22.301553299999998</v>
      </c>
    </row>
    <row r="5" spans="1:15" ht="15" x14ac:dyDescent="0.25">
      <c r="A5" s="38">
        <f>SUM(C5:N5)</f>
        <v>-325.29196633841991</v>
      </c>
      <c r="B5" s="66">
        <v>46048</v>
      </c>
      <c r="C5" s="14">
        <v>-9.5350222027300049</v>
      </c>
      <c r="D5" s="14">
        <v>12.5937500267</v>
      </c>
      <c r="E5" s="14">
        <v>-2.018085399999999</v>
      </c>
      <c r="F5" s="14">
        <v>-189.3614863</v>
      </c>
      <c r="G5" s="14">
        <v>-12.659195747699998</v>
      </c>
      <c r="H5" s="14">
        <v>-64.198346074649976</v>
      </c>
      <c r="I5" s="14">
        <v>10.663035800000001</v>
      </c>
      <c r="J5" s="14">
        <v>-0.98645783119999964</v>
      </c>
      <c r="K5" s="14">
        <v>-132.03459160883992</v>
      </c>
      <c r="L5" s="14">
        <v>26.257012099999997</v>
      </c>
      <c r="M5" s="14">
        <v>47.556278800000001</v>
      </c>
      <c r="N5" s="14">
        <v>-11.568857900000001</v>
      </c>
    </row>
    <row r="6" spans="1:15" ht="15" x14ac:dyDescent="0.25">
      <c r="A6" s="38">
        <f>SUM(C6:N6)</f>
        <v>-121.59366085145997</v>
      </c>
      <c r="B6" s="58">
        <v>46055</v>
      </c>
      <c r="C6" s="53">
        <v>18.287836100600007</v>
      </c>
      <c r="D6" s="53">
        <v>20.171228363600001</v>
      </c>
      <c r="E6" s="53">
        <v>-1.1369559999999999</v>
      </c>
      <c r="F6" s="53">
        <v>-109.15834960000002</v>
      </c>
      <c r="G6" s="53">
        <v>-3.6214717372999998</v>
      </c>
      <c r="H6" s="53">
        <v>50.56510787970003</v>
      </c>
      <c r="I6" s="53">
        <v>-1.2593072999999992</v>
      </c>
      <c r="J6" s="53">
        <v>10.2604781215</v>
      </c>
      <c r="K6" s="53">
        <v>-77.019198829560011</v>
      </c>
      <c r="L6" s="53">
        <v>-27.000366249999995</v>
      </c>
      <c r="M6" s="53">
        <v>-4.5278872000000003</v>
      </c>
      <c r="N6" s="53">
        <v>2.8452256</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-181.18274108945002</v>
      </c>
      <c r="B3" s="47">
        <v>46034</v>
      </c>
      <c r="C3" s="60">
        <v>7.7568628276600027</v>
      </c>
      <c r="D3" s="60">
        <v>7.4948722727999986</v>
      </c>
      <c r="E3" s="60">
        <v>1.6438117000000001</v>
      </c>
      <c r="F3" s="60">
        <v>-50.635975700000003</v>
      </c>
      <c r="G3" s="60">
        <v>2.5529091522999998</v>
      </c>
      <c r="H3" s="60">
        <v>-44.729753597550001</v>
      </c>
      <c r="I3" s="60">
        <v>-10.882352999999998</v>
      </c>
      <c r="J3" s="60">
        <v>-33.725680040300006</v>
      </c>
      <c r="K3" s="60">
        <v>1.4934248456400001</v>
      </c>
      <c r="L3" s="60">
        <v>-58.463948650000006</v>
      </c>
      <c r="M3" s="60">
        <v>-6.9409706999999994</v>
      </c>
      <c r="N3" s="60">
        <v>3.2540597999999998</v>
      </c>
      <c r="P3" s="13"/>
    </row>
    <row r="4" spans="1:20" ht="15" x14ac:dyDescent="0.25">
      <c r="A4" s="48">
        <f>SUM(C4:N4)</f>
        <v>-11.277503853370014</v>
      </c>
      <c r="B4" s="58">
        <v>46041</v>
      </c>
      <c r="C4" s="55">
        <v>-8.0631318422000007</v>
      </c>
      <c r="D4" s="55">
        <v>-24.7687844698</v>
      </c>
      <c r="E4" s="55">
        <v>0.90624429999999989</v>
      </c>
      <c r="F4" s="55">
        <v>-111.05278659999999</v>
      </c>
      <c r="G4" s="55">
        <v>4.4168367795999997</v>
      </c>
      <c r="H4" s="55">
        <v>102.89587320804999</v>
      </c>
      <c r="I4" s="55">
        <v>-0.96268149999999997</v>
      </c>
      <c r="J4" s="55">
        <v>-13.941937809500001</v>
      </c>
      <c r="K4" s="55">
        <v>11.995476180479999</v>
      </c>
      <c r="L4" s="55">
        <v>-15.238088299999999</v>
      </c>
      <c r="M4" s="55">
        <v>18.743676000000001</v>
      </c>
      <c r="N4" s="55">
        <v>23.791800199999997</v>
      </c>
      <c r="P4" s="13"/>
    </row>
    <row r="5" spans="1:20" ht="15" x14ac:dyDescent="0.25">
      <c r="A5" s="48">
        <f>SUM(C5:N5)</f>
        <v>118.61974091753997</v>
      </c>
      <c r="B5" s="66">
        <v>46048</v>
      </c>
      <c r="C5" s="60">
        <v>9.7046633826499988</v>
      </c>
      <c r="D5" s="60">
        <v>-22.974116818399999</v>
      </c>
      <c r="E5" s="60">
        <v>2.8871077000000001</v>
      </c>
      <c r="F5" s="60">
        <v>96.383474699999994</v>
      </c>
      <c r="G5" s="60">
        <v>16.203696560699999</v>
      </c>
      <c r="H5" s="60">
        <v>62.140184924199993</v>
      </c>
      <c r="I5" s="60">
        <v>-15.292568900000001</v>
      </c>
      <c r="J5" s="60">
        <v>-14.359934703099997</v>
      </c>
      <c r="K5" s="60">
        <v>69.241455921489987</v>
      </c>
      <c r="L5" s="60">
        <v>-35.57072955000001</v>
      </c>
      <c r="M5" s="60">
        <v>-53.579819499999999</v>
      </c>
      <c r="N5" s="60">
        <v>3.8363271999999999</v>
      </c>
      <c r="P5" s="13"/>
    </row>
    <row r="6" spans="1:20" ht="15" x14ac:dyDescent="0.25">
      <c r="A6" s="48">
        <f>SUM(C6:N6)</f>
        <v>103.42850332620998</v>
      </c>
      <c r="B6" s="58">
        <v>46055</v>
      </c>
      <c r="C6" s="55">
        <v>-13.394217613309999</v>
      </c>
      <c r="D6" s="55">
        <v>-31.248623039899996</v>
      </c>
      <c r="E6" s="55">
        <v>2.3167372999999998</v>
      </c>
      <c r="F6" s="55">
        <v>152.16603039999998</v>
      </c>
      <c r="G6" s="55">
        <v>1.1509739273999993</v>
      </c>
      <c r="H6" s="55">
        <v>-74.432052075049981</v>
      </c>
      <c r="I6" s="55">
        <v>6.7945060000000019</v>
      </c>
      <c r="J6" s="55">
        <v>-18.132680907799998</v>
      </c>
      <c r="K6" s="55">
        <v>58.223240484869983</v>
      </c>
      <c r="L6" s="55">
        <v>49.543052549999977</v>
      </c>
      <c r="M6" s="55">
        <v>-32.826947699999998</v>
      </c>
      <c r="N6" s="55">
        <v>3.2684839999999999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2026-02-09T02:09:02Z</dcterms:modified>
</cp:coreProperties>
</file>