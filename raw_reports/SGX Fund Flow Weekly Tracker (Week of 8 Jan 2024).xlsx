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CDE09D71-29B6-4A5E-A17E-A370232B8662}" xr6:coauthVersionLast="47" xr6:coauthVersionMax="47" xr10:uidLastSave="{00000000-0000-0000-0000-000000000000}"/>
  <bookViews>
    <workbookView xWindow="-577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6" i="2"/>
  <c r="A4" i="3"/>
  <c r="A3" i="3"/>
  <c r="A4" i="2"/>
  <c r="A3" i="2"/>
  <c r="A5" i="2" l="1"/>
  <c r="A5" i="3" l="1"/>
  <c r="A1" i="5" l="1"/>
  <c r="C32" i="4" l="1"/>
  <c r="D32" i="4"/>
  <c r="A1" i="4" l="1"/>
  <c r="C18" i="1" l="1"/>
  <c r="F18" i="1" s="1"/>
  <c r="F5" i="1"/>
</calcChain>
</file>

<file path=xl/sharedStrings.xml><?xml version="1.0" encoding="utf-8"?>
<sst xmlns="http://schemas.openxmlformats.org/spreadsheetml/2006/main" count="520" uniqueCount="281">
  <si>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</si>
  <si>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</si>
  <si>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</si>
  <si>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</si>
  <si>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</si>
  <si>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</si>
  <si>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</si>
  <si>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</si>
  <si>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</si>
  <si>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</si>
  <si>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</si>
  <si>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</si>
  <si>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</si>
  <si>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</si>
  <si>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</si>
  <si>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</si>
  <si>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</si>
  <si>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</si>
  <si>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</si>
  <si>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</si>
  <si>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</si>
  <si>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</si>
  <si>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</si>
  <si>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</si>
  <si>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</si>
  <si>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</si>
  <si>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</si>
  <si>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</si>
  <si>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</si>
  <si>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</si>
  <si>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</si>
  <si>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</si>
  <si>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</si>
  <si>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</si>
  <si>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</si>
  <si>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</si>
  <si>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</si>
  <si>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</si>
  <si>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</si>
  <si>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</si>
  <si>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</si>
  <si>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</si>
  <si>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</si>
  <si>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</si>
  <si>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</si>
  <si>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</si>
  <si>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</si>
  <si>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</si>
  <si>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</si>
  <si>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</si>
  <si>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</si>
  <si>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</si>
  <si>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</si>
  <si>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</si>
  <si>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</si>
  <si>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</si>
  <si>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</si>
  <si>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</si>
  <si>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</si>
  <si>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</si>
  <si>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</si>
  <si>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</si>
  <si>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</si>
  <si>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</si>
  <si>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</si>
  <si>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</si>
  <si>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</si>
  <si>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</si>
  <si>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</si>
  <si>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</si>
  <si>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</si>
  <si>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</si>
  <si>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</si>
  <si>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</si>
  <si>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</si>
  <si>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</si>
  <si>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</si>
  <si>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</si>
  <si>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</si>
  <si>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</si>
  <si>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</si>
  <si>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</si>
  <si>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</si>
  <si>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</si>
  <si>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</si>
  <si>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</si>
  <si>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</si>
  <si>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</si>
  <si>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</si>
  <si>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</si>
  <si>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</si>
  <si>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</si>
  <si>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</si>
  <si>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</si>
  <si>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</si>
  <si>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</si>
  <si>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</si>
  <si>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</si>
  <si>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</si>
  <si>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</si>
  <si>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</si>
  <si>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</si>
  <si>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</si>
  <si>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</si>
  <si>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</si>
  <si>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</si>
  <si>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</si>
  <si>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</si>
  <si>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K71U</t>
  </si>
  <si>
    <t>ESR-LOGOS REIT</t>
  </si>
  <si>
    <t>J91U</t>
  </si>
  <si>
    <t>A7RU</t>
  </si>
  <si>
    <t>5WH</t>
  </si>
  <si>
    <t>Keppel Reit</t>
  </si>
  <si>
    <t>C52</t>
  </si>
  <si>
    <t>JYEU</t>
  </si>
  <si>
    <t>E5H</t>
  </si>
  <si>
    <t>J69U</t>
  </si>
  <si>
    <t>E28</t>
  </si>
  <si>
    <t>MZH</t>
  </si>
  <si>
    <t>YF8</t>
  </si>
  <si>
    <t>EB5</t>
  </si>
  <si>
    <t>BSL</t>
  </si>
  <si>
    <t>CGN</t>
  </si>
  <si>
    <t>CJLU</t>
  </si>
  <si>
    <t>NIO</t>
  </si>
  <si>
    <t>CY6U</t>
  </si>
  <si>
    <t>DCRU</t>
  </si>
  <si>
    <t>J85</t>
  </si>
  <si>
    <t>RE4</t>
  </si>
  <si>
    <t>C2PU</t>
  </si>
  <si>
    <t>T13</t>
  </si>
  <si>
    <t>AIY</t>
  </si>
  <si>
    <t>BTOU</t>
  </si>
  <si>
    <t>BVA</t>
  </si>
  <si>
    <t>I07</t>
  </si>
  <si>
    <t>SK6U</t>
  </si>
  <si>
    <t>O5RU</t>
  </si>
  <si>
    <t>NO4</t>
  </si>
  <si>
    <t>CC3</t>
  </si>
  <si>
    <t>AP4</t>
  </si>
  <si>
    <t>OXMU</t>
  </si>
  <si>
    <t>CRPU</t>
  </si>
  <si>
    <t>Z25</t>
  </si>
  <si>
    <t>S08</t>
  </si>
  <si>
    <t>Q5T</t>
  </si>
  <si>
    <t>P40U</t>
  </si>
  <si>
    <t>F03</t>
  </si>
  <si>
    <t>P34</t>
  </si>
  <si>
    <t>CWBU</t>
  </si>
  <si>
    <t>5LY</t>
  </si>
  <si>
    <t>CapLand IntCom T</t>
  </si>
  <si>
    <t>YZJ Shipbldg SGD</t>
  </si>
  <si>
    <t>Genting Sing</t>
  </si>
  <si>
    <t>CapLand Ascendas REIT</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</si>
  <si>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</si>
  <si>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</si>
  <si>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</si>
  <si>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</si>
  <si>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</si>
  <si>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</si>
  <si>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</si>
  <si>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</si>
  <si>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</si>
  <si>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</si>
  <si>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</si>
  <si>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</si>
  <si>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</si>
  <si>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</si>
  <si>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</si>
  <si>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</si>
  <si>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</si>
  <si>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</si>
  <si>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</si>
  <si>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</si>
  <si>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</si>
  <si>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</si>
  <si>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</si>
  <si>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</si>
  <si>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</si>
  <si>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</si>
  <si>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</si>
  <si>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</si>
  <si>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</si>
  <si>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</si>
  <si>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Raffles Medical</t>
  </si>
  <si>
    <t>Best World</t>
  </si>
  <si>
    <t>NetLink NBN Tr</t>
  </si>
  <si>
    <t>NIO Inc. USD OV</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</si>
  <si>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</si>
  <si>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</si>
  <si>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</si>
  <si>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</si>
  <si>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</si>
  <si>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</si>
  <si>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</si>
  <si>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</si>
  <si>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</si>
  <si>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</si>
  <si>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</si>
  <si>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</si>
  <si>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</si>
  <si>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</si>
  <si>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</si>
  <si>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</si>
  <si>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</si>
  <si>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</si>
  <si>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Riverstone</t>
  </si>
  <si>
    <t>Prime US ReitUSD</t>
  </si>
  <si>
    <t>Sasseur Reit</t>
  </si>
  <si>
    <t>Yanlord Land</t>
  </si>
  <si>
    <t>SingPost</t>
  </si>
  <si>
    <t>Far East HTrust</t>
  </si>
  <si>
    <t>StarhillGbl Reit</t>
  </si>
  <si>
    <t>Medtecs Intl</t>
  </si>
  <si>
    <t>Food Empire</t>
  </si>
  <si>
    <t>Delfi</t>
  </si>
  <si>
    <t>KepPacOakReitUSD</t>
  </si>
  <si>
    <t>Cromwell Reit EUR</t>
  </si>
  <si>
    <t>MarcoPolo Marine</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</si>
  <si>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</si>
  <si>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</si>
  <si>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</si>
  <si>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</si>
  <si>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</si>
  <si>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</si>
  <si>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</si>
  <si>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</si>
  <si>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</si>
  <si>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</si>
  <si>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</si>
  <si>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</si>
  <si>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</si>
  <si>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OUE Com Reit</t>
  </si>
  <si>
    <t>TS0U</t>
  </si>
  <si>
    <t>Aztech Gbl</t>
  </si>
  <si>
    <t>8AZ</t>
  </si>
  <si>
    <t xml:space="preserve">Note that the above list of 100 most traded stocks is on a year-to-date basis and may include stocks that are currently suspended for trading. </t>
  </si>
  <si>
    <t>CSE Global</t>
  </si>
  <si>
    <t>544</t>
  </si>
  <si>
    <t>Keppel DC REIT</t>
  </si>
  <si>
    <t>Keppel</t>
  </si>
  <si>
    <t>COSCO SHP SG</t>
  </si>
  <si>
    <t>F83</t>
  </si>
  <si>
    <t>Chasen</t>
  </si>
  <si>
    <t>5NV</t>
  </si>
  <si>
    <t>UGHealthcare</t>
  </si>
  <si>
    <t>8K7</t>
  </si>
  <si>
    <t>Yoma Strategic</t>
  </si>
  <si>
    <t>Z59</t>
  </si>
  <si>
    <t>Ley Choon</t>
  </si>
  <si>
    <t>Q0X</t>
  </si>
  <si>
    <t>SMI Vantage^</t>
  </si>
  <si>
    <t>Y45</t>
  </si>
  <si>
    <t>Valuetronics</t>
  </si>
  <si>
    <t>BN2</t>
  </si>
  <si>
    <t>Mermaid Maritime</t>
  </si>
  <si>
    <t>DU4</t>
  </si>
  <si>
    <t>Wing Tai</t>
  </si>
  <si>
    <t>W05</t>
  </si>
  <si>
    <t>Week of 8 January 2024</t>
  </si>
  <si>
    <t>Sempcorp Industries</t>
  </si>
  <si>
    <t>Dyna-Mac Holdings</t>
  </si>
  <si>
    <t>Nanofilm Technologies International</t>
  </si>
  <si>
    <t>iFAST Corporation</t>
  </si>
  <si>
    <t>Samudera Shipping Line</t>
  </si>
  <si>
    <t>Geo Energy</t>
  </si>
  <si>
    <r>
      <t>Retail investors net</t>
    </r>
    <r>
      <rPr>
        <b/>
        <sz val="11"/>
        <rFont val="Arial"/>
        <family val="2"/>
      </rPr>
      <t xml:space="preserve"> buy</t>
    </r>
    <r>
      <rPr>
        <sz val="11"/>
        <rFont val="Arial"/>
        <family val="2"/>
      </rPr>
      <t xml:space="preserve"> (S$+8.5m) vs. (+S$135.0m) a week ago</t>
    </r>
  </si>
  <si>
    <t xml:space="preserve">DBS </t>
  </si>
  <si>
    <t>Mapletree Pan-Asia Commercial Trust</t>
  </si>
  <si>
    <t>Beng Kuang^</t>
  </si>
  <si>
    <t>BEZ</t>
  </si>
  <si>
    <t>China Aviation</t>
  </si>
  <si>
    <t>G92</t>
  </si>
  <si>
    <t>TJ DaRenTang USD</t>
  </si>
  <si>
    <t>T14</t>
  </si>
  <si>
    <t>Frasers Property</t>
  </si>
  <si>
    <t>TQ5</t>
  </si>
  <si>
    <t>Emperador Inc.</t>
  </si>
  <si>
    <r>
      <t>Institutional investors net</t>
    </r>
    <r>
      <rPr>
        <b/>
        <sz val="11"/>
        <rFont val="Arial"/>
        <family val="2"/>
      </rPr>
      <t xml:space="preserve"> buy </t>
    </r>
    <r>
      <rPr>
        <sz val="11"/>
        <rFont val="Arial"/>
        <family val="2"/>
      </rPr>
      <t>(+S$172.2m) vs. (+S$16.8m) a week ago</t>
    </r>
  </si>
  <si>
    <t>Nio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</si>
</sst>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 numFmtId="172" formatCode="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88">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168" fontId="0" fillId="0" borderId="0" xfId="0" applyNumberFormat="1"/>
    <xf numFmtId="0" fontId="15" fillId="0" borderId="0" xfId="0" applyFont="1"/>
    <xf numFmtId="168" fontId="3" fillId="0" borderId="0" xfId="1" applyNumberFormat="1" applyFont="1" applyFill="1"/>
    <xf numFmtId="172" fontId="0" fillId="0" borderId="0" xfId="0" applyNumberFormat="1"/>
    <xf numFmtId="0" fontId="14" fillId="5" borderId="14" xfId="0" applyFont="1" applyFill="1" applyBorder="1" applyAlignment="1">
      <alignment vertical="center"/>
    </xf>
    <xf numFmtId="167" fontId="3" fillId="4" borderId="0" xfId="1" applyNumberFormat="1" applyFont="1" applyFill="1" applyAlignment="1">
      <alignment vertical="center"/>
    </xf>
    <xf numFmtId="167" fontId="3" fillId="0" borderId="0" xfId="1" applyNumberFormat="1" applyFont="1" applyFill="1" applyAlignment="1">
      <alignment vertical="center"/>
    </xf>
    <xf numFmtId="164"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3" fillId="4" borderId="0" xfId="0" applyNumberFormat="1" applyFont="1" applyFill="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xf numFmtId="164" fontId="3" fillId="0" borderId="0" xfId="0" applyNumberFormat="1" applyFont="1"/>
    <xf numFmtId="164" fontId="0" fillId="0" borderId="0" xfId="0" applyNumberFormat="1" applyAlignment="1">
      <alignment horizontal="left"/>
    </xf>
    <xf numFmtId="0" fontId="14" fillId="0" borderId="4" xfId="0" applyFont="1" applyFill="1" applyBorder="1" applyAlignment="1">
      <alignment vertical="center"/>
    </xf>
    <xf numFmtId="43" fontId="0" fillId="0" borderId="0" xfId="0" applyNumberFormat="1"/>
    <xf numFmtId="168" fontId="3" fillId="4" borderId="9" xfId="1" applyNumberFormat="1" applyFont="1" applyFill="1" applyBorder="1" applyAlignment="1">
      <alignment horizontal="right"/>
    </xf>
    <xf numFmtId="168" fontId="3" fillId="0" borderId="4" xfId="1" applyNumberFormat="1" applyFont="1" applyBorder="1" applyAlignment="1">
      <alignment horizontal="right"/>
    </xf>
    <xf numFmtId="168" fontId="3" fillId="4" borderId="4" xfId="1" applyNumberFormat="1" applyFont="1" applyFill="1" applyBorder="1" applyAlignment="1">
      <alignment horizontal="right"/>
    </xf>
    <xf numFmtId="168" fontId="3" fillId="0" borderId="5" xfId="1" applyNumberFormat="1" applyFont="1" applyBorder="1" applyAlignment="1">
      <alignment horizontal="right"/>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6"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260</v>
      </c>
    </row>
    <row r="2" spans="1:13" x14ac:dyDescent="0.25">
      <c r="A2" s="63" t="s">
        <v>279</v>
      </c>
      <c r="I2" s="64"/>
    </row>
    <row r="3" spans="1:13" x14ac:dyDescent="0.25">
      <c r="A3" s="63" t="s">
        <v>267</v>
      </c>
      <c r="I3" s="64"/>
    </row>
    <row r="5" spans="1:13" ht="29.25" customHeight="1" x14ac:dyDescent="0.25">
      <c r="A5" s="3" t="s">
        <v>0</v>
      </c>
      <c r="B5" s="3" t="s">
        <v>1</v>
      </c>
      <c r="C5" s="4" t="s">
        <v>260</v>
      </c>
      <c r="D5" s="43" t="s">
        <v>2</v>
      </c>
      <c r="E5" s="43" t="s">
        <v>1</v>
      </c>
      <c r="F5" s="54" t="str">
        <f>+C5</f>
        <v>Week of 8 January 2024</v>
      </c>
    </row>
    <row r="6" spans="1:13" ht="14.4" x14ac:dyDescent="0.3">
      <c r="A6" s="39" t="s">
        <v>28</v>
      </c>
      <c r="B6" s="37" t="s">
        <v>23</v>
      </c>
      <c r="C6" s="7">
        <v>52.408544999999997</v>
      </c>
      <c r="D6" s="39" t="s">
        <v>240</v>
      </c>
      <c r="E6" s="37" t="s">
        <v>80</v>
      </c>
      <c r="F6" s="7">
        <v>-11.099943</v>
      </c>
      <c r="G6" s="80"/>
      <c r="K6" s="51"/>
      <c r="L6"/>
      <c r="M6"/>
    </row>
    <row r="7" spans="1:13" ht="14.4" x14ac:dyDescent="0.3">
      <c r="A7" s="40" t="s">
        <v>29</v>
      </c>
      <c r="B7" s="11" t="s">
        <v>24</v>
      </c>
      <c r="C7" s="9">
        <v>40.340837000000001</v>
      </c>
      <c r="D7" s="40" t="s">
        <v>35</v>
      </c>
      <c r="E7" s="11" t="s">
        <v>33</v>
      </c>
      <c r="F7" s="9">
        <v>-7.7124769999999998</v>
      </c>
      <c r="G7" s="80"/>
      <c r="K7" s="51"/>
      <c r="L7"/>
      <c r="M7"/>
    </row>
    <row r="8" spans="1:13" ht="14.4" x14ac:dyDescent="0.3">
      <c r="A8" s="66" t="s">
        <v>36</v>
      </c>
      <c r="B8" s="37" t="s">
        <v>31</v>
      </c>
      <c r="C8" s="7">
        <v>30.300560000000001</v>
      </c>
      <c r="D8" s="41" t="s">
        <v>46</v>
      </c>
      <c r="E8" s="37" t="s">
        <v>43</v>
      </c>
      <c r="F8" s="7">
        <v>-6.5758830000000001</v>
      </c>
      <c r="G8" s="80"/>
      <c r="K8" s="51"/>
      <c r="L8"/>
      <c r="M8"/>
    </row>
    <row r="9" spans="1:13" ht="14.4" x14ac:dyDescent="0.3">
      <c r="A9" s="82" t="s">
        <v>63</v>
      </c>
      <c r="B9" s="11" t="s">
        <v>55</v>
      </c>
      <c r="C9" s="9">
        <v>22.217537</v>
      </c>
      <c r="D9" s="40" t="s">
        <v>262</v>
      </c>
      <c r="E9" s="11" t="s">
        <v>138</v>
      </c>
      <c r="F9" s="9">
        <v>-4.8781375000000002</v>
      </c>
      <c r="G9" s="80"/>
      <c r="K9" s="51"/>
      <c r="L9"/>
      <c r="M9"/>
    </row>
    <row r="10" spans="1:13" ht="14.4" x14ac:dyDescent="0.3">
      <c r="A10" s="41" t="s">
        <v>51</v>
      </c>
      <c r="B10" s="37" t="s">
        <v>49</v>
      </c>
      <c r="C10" s="7">
        <v>16.059531</v>
      </c>
      <c r="D10" s="41" t="s">
        <v>92</v>
      </c>
      <c r="E10" s="37" t="s">
        <v>26</v>
      </c>
      <c r="F10" s="7">
        <v>-4.7362830000000002</v>
      </c>
      <c r="G10" s="80"/>
      <c r="K10" s="51"/>
      <c r="L10"/>
      <c r="M10"/>
    </row>
    <row r="11" spans="1:13" ht="14.4" x14ac:dyDescent="0.3">
      <c r="A11" s="40" t="s">
        <v>30</v>
      </c>
      <c r="B11" s="11" t="s">
        <v>25</v>
      </c>
      <c r="C11" s="9">
        <v>15.586482</v>
      </c>
      <c r="D11" s="40" t="s">
        <v>264</v>
      </c>
      <c r="E11" s="11" t="s">
        <v>132</v>
      </c>
      <c r="F11" s="9">
        <v>-3.4774850000000002</v>
      </c>
      <c r="G11" s="80"/>
      <c r="K11" s="51"/>
      <c r="L11"/>
      <c r="M11"/>
    </row>
    <row r="12" spans="1:13" ht="14.4" x14ac:dyDescent="0.3">
      <c r="A12" s="41" t="s">
        <v>261</v>
      </c>
      <c r="B12" s="37" t="s">
        <v>44</v>
      </c>
      <c r="C12" s="7">
        <v>11.6669</v>
      </c>
      <c r="D12" s="41" t="s">
        <v>52</v>
      </c>
      <c r="E12" s="37" t="s">
        <v>50</v>
      </c>
      <c r="F12" s="7">
        <v>-3.1783570000000001</v>
      </c>
      <c r="G12" s="80"/>
      <c r="K12" s="51"/>
      <c r="L12"/>
      <c r="M12"/>
    </row>
    <row r="13" spans="1:13" ht="14.4" x14ac:dyDescent="0.3">
      <c r="A13" s="40" t="s">
        <v>27</v>
      </c>
      <c r="B13" s="11" t="s">
        <v>22</v>
      </c>
      <c r="C13" s="9">
        <v>10.390489000000001</v>
      </c>
      <c r="D13" s="40" t="s">
        <v>263</v>
      </c>
      <c r="E13" s="11" t="s">
        <v>119</v>
      </c>
      <c r="F13" s="9">
        <v>-3.0979795000000001</v>
      </c>
      <c r="G13" s="80"/>
      <c r="K13" s="51"/>
      <c r="L13"/>
      <c r="M13"/>
    </row>
    <row r="14" spans="1:13" ht="14.4" x14ac:dyDescent="0.3">
      <c r="A14" s="41" t="s">
        <v>81</v>
      </c>
      <c r="B14" s="37" t="s">
        <v>58</v>
      </c>
      <c r="C14" s="7">
        <v>5.9188850000000004</v>
      </c>
      <c r="D14" s="41" t="s">
        <v>34</v>
      </c>
      <c r="E14" s="37" t="s">
        <v>32</v>
      </c>
      <c r="F14" s="7">
        <v>-2.9549460000000001</v>
      </c>
      <c r="G14" s="80"/>
      <c r="K14" s="51"/>
      <c r="L14"/>
      <c r="M14"/>
    </row>
    <row r="15" spans="1:13" ht="14.4" x14ac:dyDescent="0.3">
      <c r="A15" s="42" t="s">
        <v>38</v>
      </c>
      <c r="B15" s="38" t="s">
        <v>37</v>
      </c>
      <c r="C15" s="10">
        <v>5.6639109999999997</v>
      </c>
      <c r="D15" s="42" t="s">
        <v>79</v>
      </c>
      <c r="E15" s="38" t="s">
        <v>78</v>
      </c>
      <c r="F15" s="10">
        <v>-2.394082</v>
      </c>
      <c r="G15" s="80"/>
      <c r="K15" s="51"/>
      <c r="L15"/>
      <c r="M15"/>
    </row>
    <row r="16" spans="1:13" ht="15" x14ac:dyDescent="0.25">
      <c r="A16" s="11"/>
      <c r="B16" s="11"/>
      <c r="C16" s="11"/>
      <c r="D16" s="35"/>
      <c r="E16" s="11"/>
      <c r="F16" s="11"/>
    </row>
    <row r="17" spans="1:13" x14ac:dyDescent="0.25">
      <c r="A17" s="11"/>
      <c r="B17" s="11"/>
      <c r="C17" s="11"/>
      <c r="D17" s="11"/>
      <c r="E17" s="11"/>
      <c r="F17" s="11"/>
    </row>
    <row r="18" spans="1:13" ht="28.5" customHeight="1" x14ac:dyDescent="0.25">
      <c r="A18" s="45" t="s">
        <v>3</v>
      </c>
      <c r="B18" s="3" t="s">
        <v>1</v>
      </c>
      <c r="C18" s="4" t="str">
        <f>C5</f>
        <v>Week of 8 January 2024</v>
      </c>
      <c r="D18" s="5" t="s">
        <v>4</v>
      </c>
      <c r="E18" s="43" t="s">
        <v>1</v>
      </c>
      <c r="F18" s="54" t="str">
        <f>+C18</f>
        <v>Week of 8 January 2024</v>
      </c>
    </row>
    <row r="19" spans="1:13" ht="14.4" x14ac:dyDescent="0.3">
      <c r="A19" s="39" t="s">
        <v>27</v>
      </c>
      <c r="B19" s="37" t="s">
        <v>22</v>
      </c>
      <c r="C19" s="7">
        <v>41.453082000000002</v>
      </c>
      <c r="D19" s="39" t="s">
        <v>36</v>
      </c>
      <c r="E19" s="37" t="s">
        <v>31</v>
      </c>
      <c r="F19" s="7">
        <v>-32.240873999999998</v>
      </c>
      <c r="G19" s="80"/>
      <c r="H19"/>
      <c r="I19" s="44"/>
      <c r="K19" s="51"/>
      <c r="L19"/>
      <c r="M19"/>
    </row>
    <row r="20" spans="1:13" ht="14.4" x14ac:dyDescent="0.3">
      <c r="A20" s="40" t="s">
        <v>46</v>
      </c>
      <c r="B20" s="11" t="s">
        <v>43</v>
      </c>
      <c r="C20" s="9">
        <v>12.145284999999999</v>
      </c>
      <c r="D20" s="40" t="s">
        <v>34</v>
      </c>
      <c r="E20" s="11" t="s">
        <v>32</v>
      </c>
      <c r="F20" s="9">
        <v>-13.430427</v>
      </c>
      <c r="G20" s="80"/>
      <c r="H20"/>
      <c r="I20" s="44"/>
      <c r="K20" s="51"/>
      <c r="L20"/>
      <c r="M20"/>
    </row>
    <row r="21" spans="1:13" ht="14.4" x14ac:dyDescent="0.3">
      <c r="A21" s="41" t="s">
        <v>35</v>
      </c>
      <c r="B21" s="37" t="s">
        <v>33</v>
      </c>
      <c r="C21" s="7">
        <v>11.057327000000001</v>
      </c>
      <c r="D21" s="41" t="s">
        <v>63</v>
      </c>
      <c r="E21" s="37" t="s">
        <v>55</v>
      </c>
      <c r="F21" s="7">
        <v>-12.641795999999999</v>
      </c>
      <c r="G21" s="80"/>
      <c r="H21"/>
      <c r="I21" s="44"/>
      <c r="K21" s="51"/>
      <c r="L21"/>
      <c r="M21"/>
    </row>
    <row r="22" spans="1:13" ht="14.4" x14ac:dyDescent="0.3">
      <c r="A22" s="40" t="s">
        <v>240</v>
      </c>
      <c r="B22" s="11" t="s">
        <v>80</v>
      </c>
      <c r="C22" s="9">
        <v>6.177746</v>
      </c>
      <c r="D22" s="40" t="s">
        <v>47</v>
      </c>
      <c r="E22" s="11" t="s">
        <v>44</v>
      </c>
      <c r="F22" s="9">
        <v>-12.410894000000001</v>
      </c>
      <c r="G22" s="80"/>
      <c r="H22"/>
      <c r="I22" s="44"/>
      <c r="K22" s="51"/>
      <c r="L22"/>
      <c r="M22"/>
    </row>
    <row r="23" spans="1:13" ht="14.4" x14ac:dyDescent="0.3">
      <c r="A23" s="41" t="s">
        <v>230</v>
      </c>
      <c r="B23" s="37" t="s">
        <v>93</v>
      </c>
      <c r="C23" s="7">
        <v>5.0639226000000006</v>
      </c>
      <c r="D23" s="41" t="s">
        <v>51</v>
      </c>
      <c r="E23" s="37" t="s">
        <v>49</v>
      </c>
      <c r="F23" s="7">
        <v>-12.352755500000001</v>
      </c>
      <c r="G23" s="80"/>
      <c r="H23"/>
      <c r="I23" s="55"/>
      <c r="K23" s="51"/>
      <c r="L23"/>
      <c r="M23"/>
    </row>
    <row r="24" spans="1:13" ht="14.4" x14ac:dyDescent="0.3">
      <c r="A24" s="40" t="s">
        <v>262</v>
      </c>
      <c r="B24" s="11" t="s">
        <v>138</v>
      </c>
      <c r="C24" s="9">
        <v>4.7145074999999999</v>
      </c>
      <c r="D24" s="40" t="s">
        <v>30</v>
      </c>
      <c r="E24" s="11" t="s">
        <v>25</v>
      </c>
      <c r="F24" s="9">
        <v>-11.399347000000001</v>
      </c>
      <c r="G24" s="80"/>
      <c r="H24"/>
      <c r="I24" s="44"/>
      <c r="K24" s="51"/>
      <c r="L24"/>
      <c r="M24"/>
    </row>
    <row r="25" spans="1:13" ht="14.4" x14ac:dyDescent="0.3">
      <c r="A25" s="41" t="s">
        <v>263</v>
      </c>
      <c r="B25" s="37" t="s">
        <v>119</v>
      </c>
      <c r="C25" s="7">
        <v>4.3409025000000003</v>
      </c>
      <c r="D25" s="41" t="s">
        <v>38</v>
      </c>
      <c r="E25" s="37" t="s">
        <v>37</v>
      </c>
      <c r="F25" s="7">
        <v>-6.4016535000000001</v>
      </c>
      <c r="G25" s="80"/>
      <c r="H25"/>
      <c r="I25" s="44"/>
      <c r="K25" s="51"/>
      <c r="L25"/>
      <c r="M25"/>
    </row>
    <row r="26" spans="1:13" ht="14.4" x14ac:dyDescent="0.3">
      <c r="A26" s="40" t="s">
        <v>42</v>
      </c>
      <c r="B26" s="11" t="s">
        <v>40</v>
      </c>
      <c r="C26" s="9">
        <v>3.7994560000000002</v>
      </c>
      <c r="D26" s="40" t="s">
        <v>41</v>
      </c>
      <c r="E26" s="11" t="s">
        <v>39</v>
      </c>
      <c r="F26" s="9">
        <v>-4.5358599999999996</v>
      </c>
      <c r="G26" s="80"/>
      <c r="H26"/>
      <c r="I26" s="44"/>
      <c r="K26" s="51"/>
      <c r="L26"/>
      <c r="M26"/>
    </row>
    <row r="27" spans="1:13" ht="14.4" x14ac:dyDescent="0.3">
      <c r="A27" s="41" t="s">
        <v>280</v>
      </c>
      <c r="B27" s="37" t="s">
        <v>125</v>
      </c>
      <c r="C27" s="7">
        <v>3.7301782833499999</v>
      </c>
      <c r="D27" s="41" t="s">
        <v>266</v>
      </c>
      <c r="E27" s="37" t="s">
        <v>129</v>
      </c>
      <c r="F27" s="7">
        <v>-3.7826279999999999</v>
      </c>
      <c r="G27" s="80"/>
      <c r="H27"/>
      <c r="I27" s="44"/>
      <c r="K27" s="51"/>
      <c r="L27"/>
      <c r="M27"/>
    </row>
    <row r="28" spans="1:13" ht="14.4" x14ac:dyDescent="0.3">
      <c r="A28" s="42" t="s">
        <v>265</v>
      </c>
      <c r="B28" s="38" t="s">
        <v>100</v>
      </c>
      <c r="C28" s="10">
        <v>3.0691950000000001</v>
      </c>
      <c r="D28" s="42" t="s">
        <v>29</v>
      </c>
      <c r="E28" s="38" t="s">
        <v>24</v>
      </c>
      <c r="F28" s="10">
        <v>-3.3613339999999998</v>
      </c>
      <c r="G28" s="80"/>
      <c r="H28"/>
      <c r="I28" s="44"/>
      <c r="K28" s="51"/>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7" t="s">
        <v>70</v>
      </c>
      <c r="B37" s="28"/>
      <c r="C37" s="29"/>
      <c r="D37" s="29"/>
      <c r="E37" s="28"/>
      <c r="F37" s="28"/>
      <c r="I37" s="44"/>
    </row>
    <row r="38" spans="1:9" customFormat="1" ht="14.4" x14ac:dyDescent="0.3">
      <c r="A38" s="30" t="s">
        <v>71</v>
      </c>
      <c r="B38" s="28"/>
      <c r="C38" s="29"/>
      <c r="D38" s="29"/>
      <c r="E38" s="28"/>
      <c r="F38" s="28"/>
      <c r="I38" s="44"/>
    </row>
    <row r="39" spans="1:9" s="34" customFormat="1" ht="19.350000000000001" customHeight="1" x14ac:dyDescent="0.3">
      <c r="A39" s="31" t="s">
        <v>72</v>
      </c>
      <c r="B39" s="32"/>
      <c r="C39" s="33"/>
      <c r="D39" s="33"/>
      <c r="E39" s="32"/>
      <c r="F39" s="32"/>
      <c r="I39" s="47"/>
    </row>
    <row r="40" spans="1:9" ht="169.35" customHeight="1" x14ac:dyDescent="0.25">
      <c r="A40" s="72" t="s">
        <v>224</v>
      </c>
      <c r="B40" s="72"/>
      <c r="C40" s="72"/>
      <c r="D40" s="72"/>
      <c r="E40" s="72"/>
      <c r="F40" s="72"/>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11.5546875" style="2" customWidth="1"/>
    <col min="14" max="14" width="10.6640625" style="2" customWidth="1"/>
    <col min="15" max="16384" width="9.44140625" style="2"/>
  </cols>
  <sheetData>
    <row r="1" spans="1:15" ht="17.25" customHeight="1" x14ac:dyDescent="0.25">
      <c r="A1" s="73" t="s">
        <v>7</v>
      </c>
      <c r="B1" s="14" t="s">
        <v>8</v>
      </c>
      <c r="C1" s="75" t="s">
        <v>9</v>
      </c>
      <c r="D1" s="76"/>
      <c r="E1" s="76"/>
      <c r="F1" s="76"/>
      <c r="G1" s="76"/>
      <c r="H1" s="76"/>
      <c r="I1" s="76"/>
      <c r="J1" s="76"/>
      <c r="K1" s="76"/>
      <c r="L1" s="76"/>
      <c r="M1" s="76"/>
      <c r="N1" s="77"/>
    </row>
    <row r="2" spans="1:15" ht="60" customHeight="1" x14ac:dyDescent="0.25">
      <c r="A2" s="74"/>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3">
        <f t="shared" ref="A3:A4" si="0">SUM(C3:N3)</f>
        <v>-97.406796433309978</v>
      </c>
      <c r="B3" s="13">
        <v>45278</v>
      </c>
      <c r="C3" s="68">
        <v>-21.178951034310003</v>
      </c>
      <c r="D3" s="68">
        <v>-8.4026811920999975</v>
      </c>
      <c r="E3" s="68">
        <v>2.6466263000000008</v>
      </c>
      <c r="F3" s="68">
        <v>-26.597389599999982</v>
      </c>
      <c r="G3" s="68">
        <v>-0.38549429840000005</v>
      </c>
      <c r="H3" s="68">
        <v>-30.154526895580005</v>
      </c>
      <c r="I3" s="68">
        <v>-0.13422740000000002</v>
      </c>
      <c r="J3" s="68">
        <v>-9.7759782066000014</v>
      </c>
      <c r="K3" s="68">
        <v>-36.14500270632</v>
      </c>
      <c r="L3" s="68">
        <v>7.707777799999997</v>
      </c>
      <c r="M3" s="68">
        <v>26.001811200000002</v>
      </c>
      <c r="N3" s="68">
        <v>-0.98876040000000009</v>
      </c>
      <c r="O3" s="16"/>
    </row>
    <row r="4" spans="1:15" x14ac:dyDescent="0.25">
      <c r="A4" s="53">
        <f t="shared" si="0"/>
        <v>96.683588294380002</v>
      </c>
      <c r="B4" s="17">
        <v>45285</v>
      </c>
      <c r="C4" s="67">
        <v>6.9952265831599991</v>
      </c>
      <c r="D4" s="67">
        <v>-5.7793501056000007</v>
      </c>
      <c r="E4" s="67">
        <v>2.0214915999999996</v>
      </c>
      <c r="F4" s="67">
        <v>61.069971203999998</v>
      </c>
      <c r="G4" s="67">
        <v>-1.4730751617000002</v>
      </c>
      <c r="H4" s="67">
        <v>31.131256463149995</v>
      </c>
      <c r="I4" s="67">
        <v>-2.0346279999999997</v>
      </c>
      <c r="J4" s="67">
        <v>1.8053069205999996</v>
      </c>
      <c r="K4" s="67">
        <v>-0.45310500922999958</v>
      </c>
      <c r="L4" s="67">
        <v>8.235247600000001</v>
      </c>
      <c r="M4" s="67">
        <v>-8.6506287999999998</v>
      </c>
      <c r="N4" s="67">
        <v>3.8158750000000001</v>
      </c>
      <c r="O4" s="16"/>
    </row>
    <row r="5" spans="1:15" x14ac:dyDescent="0.25">
      <c r="A5" s="53">
        <f t="shared" ref="A5:A6" si="1">SUM(C5:N5)</f>
        <v>16.752756059900022</v>
      </c>
      <c r="B5" s="13">
        <v>45292</v>
      </c>
      <c r="C5" s="68">
        <v>4.5555078178099988</v>
      </c>
      <c r="D5" s="68">
        <v>12.540146491599996</v>
      </c>
      <c r="E5" s="68">
        <v>1.7560509000000002</v>
      </c>
      <c r="F5" s="68">
        <v>39.872766900000002</v>
      </c>
      <c r="G5" s="68">
        <v>0.37874231090000005</v>
      </c>
      <c r="H5" s="68">
        <v>7.6415061797800021</v>
      </c>
      <c r="I5" s="68">
        <v>-3.6133811000000002</v>
      </c>
      <c r="J5" s="68">
        <v>2.9148769887999997</v>
      </c>
      <c r="K5" s="68">
        <v>-22.23739982899</v>
      </c>
      <c r="L5" s="68">
        <v>3.6191916000000011</v>
      </c>
      <c r="M5" s="68">
        <v>-36.109989999999989</v>
      </c>
      <c r="N5" s="68">
        <v>5.4347377999999997</v>
      </c>
      <c r="O5" s="16"/>
    </row>
    <row r="6" spans="1:15" x14ac:dyDescent="0.25">
      <c r="A6" s="53">
        <f t="shared" si="1"/>
        <v>172.22158458608007</v>
      </c>
      <c r="B6" s="17">
        <v>45299</v>
      </c>
      <c r="C6" s="67">
        <v>1.6301083426799992</v>
      </c>
      <c r="D6" s="67">
        <v>-8.6825617634000007</v>
      </c>
      <c r="E6" s="67">
        <v>-3.5517937000000015</v>
      </c>
      <c r="F6" s="67">
        <v>122.56741080000002</v>
      </c>
      <c r="G6" s="67">
        <v>0.22460875219999998</v>
      </c>
      <c r="H6" s="67">
        <v>46.975052497840018</v>
      </c>
      <c r="I6" s="67">
        <v>-0.27771809999999997</v>
      </c>
      <c r="J6" s="67">
        <v>3.6036274047000019</v>
      </c>
      <c r="K6" s="67">
        <v>-13.150149723939995</v>
      </c>
      <c r="L6" s="67">
        <v>-4.864037323999999</v>
      </c>
      <c r="M6" s="67">
        <v>16.172716999999999</v>
      </c>
      <c r="N6" s="67">
        <v>11.574320400000001</v>
      </c>
    </row>
    <row r="7" spans="1:15" ht="14.4" x14ac:dyDescent="0.3">
      <c r="B7" s="12" t="s">
        <v>5</v>
      </c>
      <c r="C7" s="12"/>
      <c r="D7" s="12"/>
    </row>
    <row r="8" spans="1:15" ht="14.4" x14ac:dyDescent="0.3">
      <c r="B8" s="12" t="s">
        <v>84</v>
      </c>
      <c r="C8" s="12"/>
      <c r="D8" s="12"/>
    </row>
    <row r="9" spans="1:15" ht="14.4" x14ac:dyDescent="0.3">
      <c r="B9" s="12" t="s">
        <v>6</v>
      </c>
      <c r="C9" s="12"/>
      <c r="D9" s="12"/>
    </row>
    <row r="10" spans="1:15" ht="14.4" x14ac:dyDescent="0.3">
      <c r="B10" s="12" t="s">
        <v>77</v>
      </c>
      <c r="C10" s="13"/>
      <c r="D10" s="13"/>
    </row>
    <row r="11" spans="1:15" ht="14.4" x14ac:dyDescent="0.3">
      <c r="B11"/>
      <c r="C11" s="65"/>
      <c r="D11" s="65"/>
      <c r="E11" s="65"/>
      <c r="F11" s="65"/>
      <c r="G11" s="65"/>
      <c r="H11" s="65"/>
      <c r="I11" s="65"/>
      <c r="J11" s="65"/>
      <c r="K11" s="65"/>
      <c r="L11" s="65"/>
      <c r="M11" s="65"/>
      <c r="N11" s="65"/>
    </row>
    <row r="12" spans="1:15" ht="14.4" x14ac:dyDescent="0.3">
      <c r="B12"/>
      <c r="C12" s="81"/>
      <c r="D12" s="81"/>
      <c r="E12" s="81"/>
      <c r="F12" s="81"/>
      <c r="G12" s="81"/>
      <c r="H12" s="81"/>
      <c r="I12" s="81"/>
      <c r="J12" s="81"/>
      <c r="K12" s="81"/>
      <c r="L12" s="81"/>
      <c r="M12" s="81"/>
      <c r="N12" s="81"/>
      <c r="O12"/>
    </row>
    <row r="13" spans="1:15" ht="14.4" x14ac:dyDescent="0.3">
      <c r="C13"/>
      <c r="D13"/>
      <c r="E13"/>
      <c r="F13"/>
      <c r="G13"/>
      <c r="H13"/>
      <c r="I13"/>
      <c r="J13"/>
      <c r="K13"/>
      <c r="L13"/>
      <c r="M13"/>
      <c r="N13"/>
    </row>
    <row r="14" spans="1:15" ht="14.4" x14ac:dyDescent="0.3">
      <c r="C14"/>
      <c r="D14"/>
      <c r="E14"/>
      <c r="F14"/>
      <c r="G14"/>
      <c r="H14"/>
      <c r="I14"/>
      <c r="J14"/>
      <c r="K14"/>
      <c r="L14"/>
      <c r="M14"/>
      <c r="N14"/>
      <c r="O14" s="50"/>
    </row>
    <row r="15" spans="1:15" ht="14.4" x14ac:dyDescent="0.3">
      <c r="C15" s="62"/>
      <c r="D15" s="62"/>
      <c r="E15" s="62"/>
      <c r="F15" s="62"/>
      <c r="G15" s="62"/>
      <c r="H15" s="62"/>
      <c r="I15" s="62"/>
      <c r="J15" s="62"/>
      <c r="K15" s="62"/>
      <c r="L15" s="62"/>
      <c r="M15" s="62"/>
      <c r="N15" s="62"/>
      <c r="O15" s="62"/>
    </row>
    <row r="16" spans="1:15" ht="14.4" x14ac:dyDescent="0.3">
      <c r="C16" s="50"/>
      <c r="D16" s="50"/>
      <c r="E16" s="50"/>
      <c r="F16" s="50"/>
      <c r="G16" s="50"/>
      <c r="H16" s="50"/>
      <c r="I16" s="50"/>
      <c r="J16" s="50"/>
      <c r="K16" s="50"/>
      <c r="L16" s="50"/>
      <c r="M16" s="50"/>
      <c r="N16" s="50"/>
      <c r="O16" s="50"/>
    </row>
    <row r="17" spans="3:15" ht="14.4" x14ac:dyDescent="0.3">
      <c r="C17" s="48"/>
      <c r="D17" s="48"/>
      <c r="E17" s="48"/>
      <c r="F17" s="48"/>
      <c r="G17" s="48"/>
      <c r="H17" s="48"/>
      <c r="I17" s="48"/>
      <c r="J17" s="48"/>
      <c r="K17" s="48"/>
      <c r="L17" s="48"/>
      <c r="M17" s="48"/>
      <c r="N17" s="48"/>
      <c r="O17" s="48"/>
    </row>
    <row r="18" spans="3:15" ht="14.4" x14ac:dyDescent="0.3">
      <c r="C18"/>
      <c r="D18"/>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sheetData>
  <sortState xmlns:xlrd2="http://schemas.microsoft.com/office/spreadsheetml/2017/richdata2" ref="A3:N4">
    <sortCondition ref="B3:B4"/>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4140625" defaultRowHeight="13.8" x14ac:dyDescent="0.25"/>
  <cols>
    <col min="1" max="1" width="9.44140625" style="2"/>
    <col min="2" max="2" width="15.6640625" style="2" customWidth="1"/>
    <col min="3" max="3" width="12.5546875" style="2" bestFit="1" customWidth="1"/>
    <col min="4" max="4" width="13.109375" style="2" bestFit="1" customWidth="1"/>
    <col min="5" max="5" width="11.88671875" style="2" bestFit="1" customWidth="1"/>
    <col min="6" max="6" width="13.109375" style="2" bestFit="1" customWidth="1"/>
    <col min="7" max="7" width="8.44140625" style="2" customWidth="1"/>
    <col min="8" max="8" width="13.88671875" style="2" bestFit="1" customWidth="1"/>
    <col min="9" max="9" width="12.88671875" style="2" bestFit="1" customWidth="1"/>
    <col min="10" max="10" width="8.5546875" style="2" customWidth="1"/>
    <col min="11" max="11" width="13.109375" style="2" bestFit="1" customWidth="1"/>
    <col min="12" max="12" width="12.5546875" style="2" customWidth="1"/>
    <col min="13" max="14" width="13.88671875" style="2" bestFit="1" customWidth="1"/>
    <col min="15" max="16384" width="9.44140625" style="2"/>
  </cols>
  <sheetData>
    <row r="1" spans="1:18" ht="17.25" customHeight="1" x14ac:dyDescent="0.25">
      <c r="A1" s="73" t="s">
        <v>7</v>
      </c>
      <c r="B1" s="14" t="s">
        <v>8</v>
      </c>
      <c r="C1" s="75" t="s">
        <v>9</v>
      </c>
      <c r="D1" s="76"/>
      <c r="E1" s="76"/>
      <c r="F1" s="76"/>
      <c r="G1" s="76"/>
      <c r="H1" s="76"/>
      <c r="I1" s="76"/>
      <c r="J1" s="76"/>
      <c r="K1" s="76"/>
      <c r="L1" s="76"/>
      <c r="M1" s="76"/>
      <c r="N1" s="77"/>
    </row>
    <row r="2" spans="1:18" ht="55.2" x14ac:dyDescent="0.25">
      <c r="A2" s="74"/>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3">
        <f t="shared" ref="A3:A4" si="0">SUM(C3:N3)</f>
        <v>-36.578081913609999</v>
      </c>
      <c r="B3" s="17">
        <v>45278</v>
      </c>
      <c r="C3" s="18">
        <v>8.0131209609299994</v>
      </c>
      <c r="D3" s="18">
        <v>7.7789915102999974</v>
      </c>
      <c r="E3" s="18">
        <v>-5.9801178000000013</v>
      </c>
      <c r="F3" s="18">
        <v>-29.5259407</v>
      </c>
      <c r="G3" s="18">
        <v>2.2920613590000007</v>
      </c>
      <c r="H3" s="18">
        <v>-7.8694622972400001</v>
      </c>
      <c r="I3" s="18">
        <v>0.19570719999999997</v>
      </c>
      <c r="J3" s="18">
        <v>13.853507262599997</v>
      </c>
      <c r="K3" s="18">
        <v>11.9494774908</v>
      </c>
      <c r="L3" s="18">
        <v>-0.1853017999999968</v>
      </c>
      <c r="M3" s="18">
        <v>-36.238665500000003</v>
      </c>
      <c r="N3" s="18">
        <v>-0.86145959999999977</v>
      </c>
      <c r="O3" s="16"/>
    </row>
    <row r="4" spans="1:18" x14ac:dyDescent="0.25">
      <c r="A4" s="53">
        <f t="shared" si="0"/>
        <v>-544.69572383972002</v>
      </c>
      <c r="B4" s="13">
        <v>45285</v>
      </c>
      <c r="C4" s="15">
        <v>-17.831898602380004</v>
      </c>
      <c r="D4" s="15">
        <v>-16.737388610899998</v>
      </c>
      <c r="E4" s="15">
        <v>-2.2733573999999996</v>
      </c>
      <c r="F4" s="15">
        <v>-301.27868590400004</v>
      </c>
      <c r="G4" s="15">
        <v>0.27356084020000049</v>
      </c>
      <c r="H4" s="15">
        <v>-84.640876598720027</v>
      </c>
      <c r="I4" s="15">
        <v>2.0027780999999996</v>
      </c>
      <c r="J4" s="15">
        <v>-10.1510446739</v>
      </c>
      <c r="K4" s="15">
        <v>-40.801458090019992</v>
      </c>
      <c r="L4" s="15">
        <v>-21.608405299999998</v>
      </c>
      <c r="M4" s="15">
        <v>-34.546618699999989</v>
      </c>
      <c r="N4" s="15">
        <v>-17.1023289</v>
      </c>
      <c r="O4" s="16"/>
    </row>
    <row r="5" spans="1:18" x14ac:dyDescent="0.25">
      <c r="A5" s="53">
        <f>SUM(C5:N5)</f>
        <v>135.04870890604002</v>
      </c>
      <c r="B5" s="17">
        <v>45292</v>
      </c>
      <c r="C5" s="18">
        <v>3.9668050207800016</v>
      </c>
      <c r="D5" s="18">
        <v>3.6788268044000003</v>
      </c>
      <c r="E5" s="18">
        <v>-2.2887771999999993</v>
      </c>
      <c r="F5" s="18">
        <v>32.909492200000003</v>
      </c>
      <c r="G5" s="18">
        <v>5.2414420900000369E-2</v>
      </c>
      <c r="H5" s="18">
        <v>20.367000373960011</v>
      </c>
      <c r="I5" s="18">
        <v>3.9070897000000011</v>
      </c>
      <c r="J5" s="18">
        <v>9.706336327599999</v>
      </c>
      <c r="K5" s="18">
        <v>24.442620658399999</v>
      </c>
      <c r="L5" s="18">
        <v>10.036562499999999</v>
      </c>
      <c r="M5" s="18">
        <v>31.4090484</v>
      </c>
      <c r="N5" s="18">
        <v>-3.1387103000000001</v>
      </c>
      <c r="O5" s="16"/>
    </row>
    <row r="6" spans="1:18" x14ac:dyDescent="0.25">
      <c r="A6" s="53">
        <f>SUM(C6:N6)</f>
        <v>8.5130864374700259</v>
      </c>
      <c r="B6" s="70">
        <v>45299</v>
      </c>
      <c r="C6" s="69">
        <v>-1.1167644727499992</v>
      </c>
      <c r="D6" s="69">
        <v>16.491054545900003</v>
      </c>
      <c r="E6" s="69">
        <v>2.6265024999999995</v>
      </c>
      <c r="F6" s="69">
        <v>26.711648500000017</v>
      </c>
      <c r="G6" s="69">
        <v>0.81769596699999969</v>
      </c>
      <c r="H6" s="69">
        <v>-45.081208232719987</v>
      </c>
      <c r="I6" s="69">
        <v>0.17719180000000004</v>
      </c>
      <c r="J6" s="69">
        <v>4.7307883068999965</v>
      </c>
      <c r="K6" s="69">
        <v>23.817458623140002</v>
      </c>
      <c r="L6" s="69">
        <v>3.7264744000000007</v>
      </c>
      <c r="M6" s="69">
        <v>-12.073844999999999</v>
      </c>
      <c r="N6" s="69">
        <v>-12.313910500000002</v>
      </c>
      <c r="P6" s="16"/>
    </row>
    <row r="7" spans="1:18" ht="14.4" x14ac:dyDescent="0.3">
      <c r="B7" s="12" t="s">
        <v>5</v>
      </c>
      <c r="C7" s="12"/>
      <c r="D7" s="12"/>
    </row>
    <row r="8" spans="1:18" ht="14.4" x14ac:dyDescent="0.3">
      <c r="B8" s="12" t="s">
        <v>86</v>
      </c>
      <c r="C8" s="12"/>
      <c r="D8" s="12"/>
    </row>
    <row r="9" spans="1:18" ht="14.4" x14ac:dyDescent="0.3">
      <c r="B9" s="12" t="s">
        <v>6</v>
      </c>
      <c r="C9" s="12"/>
      <c r="D9" s="12"/>
    </row>
    <row r="10" spans="1:18" ht="14.4" x14ac:dyDescent="0.3">
      <c r="B10" s="12" t="s">
        <v>77</v>
      </c>
      <c r="C10" s="13"/>
      <c r="D10" s="13"/>
    </row>
    <row r="11" spans="1:18" ht="14.4" x14ac:dyDescent="0.3">
      <c r="C11" s="65"/>
      <c r="D11" s="65"/>
      <c r="E11" s="65"/>
      <c r="F11" s="65"/>
      <c r="G11" s="65"/>
      <c r="H11" s="65"/>
      <c r="I11" s="65"/>
      <c r="J11" s="65"/>
      <c r="K11" s="65"/>
      <c r="L11" s="65"/>
      <c r="M11" s="65"/>
      <c r="N11" s="65"/>
    </row>
    <row r="12" spans="1:18" ht="14.4" x14ac:dyDescent="0.3">
      <c r="B12"/>
      <c r="C12"/>
      <c r="D12"/>
      <c r="E12"/>
      <c r="F12"/>
      <c r="G12"/>
      <c r="H12"/>
      <c r="I12"/>
      <c r="J12"/>
      <c r="K12"/>
      <c r="L12"/>
      <c r="M12"/>
      <c r="N12"/>
    </row>
    <row r="13" spans="1:18" ht="14.4" x14ac:dyDescent="0.3">
      <c r="B13"/>
      <c r="C13" s="81"/>
      <c r="D13" s="81"/>
      <c r="E13" s="81"/>
      <c r="F13" s="81"/>
      <c r="G13" s="81"/>
      <c r="H13" s="81"/>
      <c r="I13" s="81"/>
      <c r="J13" s="81"/>
      <c r="K13" s="81"/>
      <c r="L13" s="81"/>
      <c r="M13" s="81"/>
      <c r="N13" s="81"/>
      <c r="O13" s="50"/>
      <c r="P13"/>
      <c r="Q13"/>
      <c r="R13"/>
    </row>
    <row r="14" spans="1:18" ht="14.4" x14ac:dyDescent="0.3">
      <c r="B14"/>
      <c r="C14"/>
      <c r="D14"/>
      <c r="E14"/>
      <c r="F14"/>
      <c r="G14"/>
      <c r="H14"/>
      <c r="I14"/>
      <c r="J14"/>
      <c r="K14"/>
      <c r="L14"/>
      <c r="M14"/>
      <c r="N14"/>
      <c r="O14"/>
      <c r="P14"/>
      <c r="Q14"/>
      <c r="R14"/>
    </row>
    <row r="15" spans="1:18" ht="14.4" x14ac:dyDescent="0.3">
      <c r="C15" s="62"/>
      <c r="D15" s="62"/>
      <c r="E15" s="62"/>
      <c r="F15" s="62"/>
      <c r="G15" s="62"/>
      <c r="H15" s="62"/>
      <c r="I15" s="62"/>
      <c r="J15" s="62"/>
      <c r="K15" s="62"/>
      <c r="L15" s="62"/>
      <c r="M15" s="62"/>
      <c r="N15" s="62"/>
      <c r="O15"/>
    </row>
    <row r="16" spans="1:18" ht="14.4" x14ac:dyDescent="0.3">
      <c r="C16" s="48"/>
      <c r="D16" s="48"/>
      <c r="E16" s="48"/>
      <c r="F16" s="48"/>
      <c r="G16" s="48"/>
      <c r="H16" s="48"/>
      <c r="I16" s="48"/>
      <c r="J16" s="48"/>
      <c r="K16" s="48"/>
      <c r="L16" s="48"/>
      <c r="M16" s="48"/>
      <c r="N16" s="48"/>
    </row>
    <row r="17" spans="3:14" ht="14.4" x14ac:dyDescent="0.3">
      <c r="C17"/>
      <c r="D17"/>
      <c r="E17"/>
      <c r="F17"/>
      <c r="G17"/>
      <c r="H17"/>
      <c r="I17"/>
      <c r="J17"/>
      <c r="K17"/>
      <c r="L17"/>
      <c r="M17"/>
      <c r="N17"/>
    </row>
    <row r="18" spans="3:14" ht="14.4" x14ac:dyDescent="0.3">
      <c r="C18" s="50"/>
      <c r="D18" s="50"/>
      <c r="E18" s="50"/>
      <c r="F18" s="50"/>
      <c r="G18" s="50"/>
      <c r="H18" s="50"/>
      <c r="I18" s="50"/>
      <c r="J18" s="50"/>
      <c r="K18" s="50"/>
      <c r="L18" s="50"/>
      <c r="M18" s="50"/>
      <c r="N18" s="50"/>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5"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6640625" customWidth="1"/>
  </cols>
  <sheetData>
    <row r="1" spans="1:9" ht="55.2" x14ac:dyDescent="0.3">
      <c r="A1" s="36" t="str">
        <f>CONCATENATE("STI Constituents - ",'Weekly Top 10'!$C$5)</f>
        <v>STI Constituents - Week of 8 January 2024</v>
      </c>
      <c r="B1" s="19" t="s">
        <v>1</v>
      </c>
      <c r="C1" s="20" t="s">
        <v>75</v>
      </c>
      <c r="D1" s="20" t="s">
        <v>76</v>
      </c>
    </row>
    <row r="2" spans="1:9" x14ac:dyDescent="0.3">
      <c r="A2" s="21" t="s">
        <v>92</v>
      </c>
      <c r="B2" s="22" t="s">
        <v>26</v>
      </c>
      <c r="C2" s="23">
        <v>-4.7362830000000002</v>
      </c>
      <c r="D2" s="23">
        <v>1.4119269999999999</v>
      </c>
      <c r="E2" s="44"/>
      <c r="F2" s="48"/>
      <c r="H2" s="49"/>
      <c r="I2" s="49"/>
    </row>
    <row r="3" spans="1:9" x14ac:dyDescent="0.3">
      <c r="A3" s="24" t="s">
        <v>81</v>
      </c>
      <c r="B3" s="25" t="s">
        <v>58</v>
      </c>
      <c r="C3" s="9">
        <v>5.9188850000000004</v>
      </c>
      <c r="D3" s="9">
        <v>-0.449853</v>
      </c>
      <c r="E3" s="44"/>
      <c r="F3" s="48"/>
      <c r="H3" s="49"/>
      <c r="I3" s="49"/>
    </row>
    <row r="4" spans="1:9" x14ac:dyDescent="0.3">
      <c r="A4" s="6" t="s">
        <v>88</v>
      </c>
      <c r="B4" s="8" t="s">
        <v>87</v>
      </c>
      <c r="C4" s="7">
        <v>3.8831889999999998</v>
      </c>
      <c r="D4" s="7">
        <v>1.0236479999999999</v>
      </c>
      <c r="E4" s="44"/>
      <c r="F4" s="48"/>
      <c r="H4" s="49"/>
      <c r="I4" s="49"/>
    </row>
    <row r="5" spans="1:9" x14ac:dyDescent="0.3">
      <c r="A5" s="24" t="s">
        <v>65</v>
      </c>
      <c r="B5" s="25" t="s">
        <v>56</v>
      </c>
      <c r="C5" s="9">
        <v>0.65520100000000003</v>
      </c>
      <c r="D5" s="9">
        <v>1.9031149999999999</v>
      </c>
      <c r="E5" s="44"/>
      <c r="F5" s="48"/>
      <c r="H5" s="49"/>
      <c r="I5" s="49"/>
    </row>
    <row r="6" spans="1:9" x14ac:dyDescent="0.3">
      <c r="A6" s="6" t="s">
        <v>268</v>
      </c>
      <c r="B6" s="8" t="s">
        <v>22</v>
      </c>
      <c r="C6" s="7">
        <v>10.390489000000001</v>
      </c>
      <c r="D6" s="7">
        <v>41.453082000000002</v>
      </c>
      <c r="E6" s="44"/>
      <c r="F6" s="48"/>
      <c r="H6" s="49"/>
      <c r="I6" s="49"/>
    </row>
    <row r="7" spans="1:9" x14ac:dyDescent="0.3">
      <c r="A7" s="24" t="s">
        <v>89</v>
      </c>
      <c r="B7" s="25" t="s">
        <v>59</v>
      </c>
      <c r="C7" s="9">
        <v>-2.0914735634000001</v>
      </c>
      <c r="D7" s="9">
        <v>3.0592237458999998</v>
      </c>
      <c r="E7" s="44"/>
      <c r="F7" s="48"/>
      <c r="H7" s="49"/>
      <c r="I7" s="49"/>
    </row>
    <row r="8" spans="1:9" x14ac:dyDescent="0.3">
      <c r="A8" s="6" t="s">
        <v>90</v>
      </c>
      <c r="B8" s="8" t="s">
        <v>91</v>
      </c>
      <c r="C8" s="7">
        <v>-0.81924699999999995</v>
      </c>
      <c r="D8" s="7">
        <v>0.81745250000000003</v>
      </c>
      <c r="E8" s="44"/>
      <c r="F8" s="48"/>
      <c r="H8" s="49"/>
      <c r="I8" s="49"/>
    </row>
    <row r="9" spans="1:9" x14ac:dyDescent="0.3">
      <c r="A9" s="24" t="s">
        <v>83</v>
      </c>
      <c r="B9" s="25" t="s">
        <v>82</v>
      </c>
      <c r="C9" s="9">
        <v>-0.13275600000000001</v>
      </c>
      <c r="D9" s="9">
        <v>0.98060199999999997</v>
      </c>
      <c r="E9" s="44"/>
      <c r="F9" s="48"/>
      <c r="H9" s="49"/>
      <c r="I9" s="49"/>
    </row>
    <row r="10" spans="1:9" x14ac:dyDescent="0.3">
      <c r="A10" s="6" t="s">
        <v>38</v>
      </c>
      <c r="B10" s="8" t="s">
        <v>37</v>
      </c>
      <c r="C10" s="7">
        <v>5.6639109999999997</v>
      </c>
      <c r="D10" s="7">
        <v>-6.4016535000000001</v>
      </c>
      <c r="E10" s="44"/>
      <c r="F10" s="48"/>
      <c r="H10" s="49"/>
      <c r="I10" s="49"/>
    </row>
    <row r="11" spans="1:9" x14ac:dyDescent="0.3">
      <c r="A11" s="24" t="s">
        <v>66</v>
      </c>
      <c r="B11" s="25" t="s">
        <v>57</v>
      </c>
      <c r="C11" s="9">
        <v>4.6632952047000016</v>
      </c>
      <c r="D11" s="9">
        <v>2.5329540068999998</v>
      </c>
      <c r="E11" s="44"/>
      <c r="F11" s="48"/>
      <c r="H11" s="49"/>
      <c r="I11" s="49"/>
    </row>
    <row r="12" spans="1:9" x14ac:dyDescent="0.3">
      <c r="A12" s="6" t="s">
        <v>52</v>
      </c>
      <c r="B12" s="8" t="s">
        <v>50</v>
      </c>
      <c r="C12" s="7">
        <v>-3.1783570000000001</v>
      </c>
      <c r="D12" s="7">
        <v>0.98911400000000005</v>
      </c>
      <c r="E12" s="44"/>
      <c r="F12" s="48"/>
      <c r="H12" s="49"/>
      <c r="I12" s="49"/>
    </row>
    <row r="13" spans="1:9" x14ac:dyDescent="0.3">
      <c r="A13" s="24" t="s">
        <v>64</v>
      </c>
      <c r="B13" s="25" t="s">
        <v>54</v>
      </c>
      <c r="C13" s="9">
        <v>0.25748613890000621</v>
      </c>
      <c r="D13" s="9">
        <v>-0.43987101130000011</v>
      </c>
      <c r="E13" s="44"/>
      <c r="F13" s="48"/>
      <c r="H13" s="49"/>
      <c r="I13" s="49"/>
    </row>
    <row r="14" spans="1:9" x14ac:dyDescent="0.3">
      <c r="A14" s="6" t="s">
        <v>35</v>
      </c>
      <c r="B14" s="8" t="s">
        <v>33</v>
      </c>
      <c r="C14" s="7">
        <v>-7.7124769999999998</v>
      </c>
      <c r="D14" s="7">
        <v>11.057327000000001</v>
      </c>
      <c r="E14" s="44"/>
      <c r="F14" s="48"/>
      <c r="H14" s="49"/>
      <c r="I14" s="49"/>
    </row>
    <row r="15" spans="1:9" x14ac:dyDescent="0.3">
      <c r="A15" s="24" t="s">
        <v>79</v>
      </c>
      <c r="B15" s="25" t="s">
        <v>78</v>
      </c>
      <c r="C15" s="9">
        <v>-2.394082</v>
      </c>
      <c r="D15" s="9">
        <v>0.35333500000000001</v>
      </c>
      <c r="E15" s="44"/>
      <c r="F15" s="48"/>
      <c r="H15" s="49"/>
      <c r="I15" s="49"/>
    </row>
    <row r="16" spans="1:9" x14ac:dyDescent="0.3">
      <c r="A16" s="6" t="s">
        <v>42</v>
      </c>
      <c r="B16" s="8" t="s">
        <v>40</v>
      </c>
      <c r="C16" s="7">
        <v>1.0450619999999999</v>
      </c>
      <c r="D16" s="7">
        <v>3.7994560000000002</v>
      </c>
      <c r="E16" s="44"/>
      <c r="F16" s="48"/>
      <c r="H16" s="49"/>
      <c r="I16" s="49"/>
    </row>
    <row r="17" spans="1:9" x14ac:dyDescent="0.3">
      <c r="A17" s="24" t="s">
        <v>269</v>
      </c>
      <c r="B17" s="25" t="s">
        <v>60</v>
      </c>
      <c r="C17" s="9">
        <v>-0.51733600000000002</v>
      </c>
      <c r="D17" s="9">
        <v>2.0471629999999998</v>
      </c>
      <c r="E17" s="44"/>
      <c r="F17" s="48"/>
      <c r="H17" s="49"/>
      <c r="I17" s="49"/>
    </row>
    <row r="18" spans="1:9" x14ac:dyDescent="0.3">
      <c r="A18" s="6" t="s">
        <v>28</v>
      </c>
      <c r="B18" s="8" t="s">
        <v>23</v>
      </c>
      <c r="C18" s="7">
        <v>52.408544999999997</v>
      </c>
      <c r="D18" s="7">
        <v>-1.7756540000000001</v>
      </c>
      <c r="H18" s="49"/>
      <c r="I18" s="49"/>
    </row>
    <row r="19" spans="1:9" x14ac:dyDescent="0.3">
      <c r="A19" s="24" t="s">
        <v>36</v>
      </c>
      <c r="B19" s="25" t="s">
        <v>31</v>
      </c>
      <c r="C19" s="9">
        <v>30.300560000000001</v>
      </c>
      <c r="D19" s="9">
        <v>-32.240873999999998</v>
      </c>
      <c r="E19" s="44"/>
      <c r="F19" s="48"/>
      <c r="H19" s="49"/>
      <c r="I19" s="49"/>
    </row>
    <row r="20" spans="1:9" x14ac:dyDescent="0.3">
      <c r="A20" s="6" t="s">
        <v>230</v>
      </c>
      <c r="B20" s="8" t="s">
        <v>93</v>
      </c>
      <c r="C20" s="7">
        <v>1.291739</v>
      </c>
      <c r="D20" s="7">
        <v>5.0639226000000006</v>
      </c>
      <c r="E20" s="44"/>
      <c r="F20" s="48"/>
      <c r="H20" s="49"/>
      <c r="I20" s="49"/>
    </row>
    <row r="21" spans="1:9" x14ac:dyDescent="0.3">
      <c r="A21" s="24" t="s">
        <v>47</v>
      </c>
      <c r="B21" s="25" t="s">
        <v>44</v>
      </c>
      <c r="C21" s="9">
        <v>11.6669</v>
      </c>
      <c r="D21" s="9">
        <v>-12.410894000000001</v>
      </c>
      <c r="E21" s="44"/>
      <c r="F21" s="48"/>
      <c r="H21" s="49"/>
      <c r="I21" s="49"/>
    </row>
    <row r="22" spans="1:9" x14ac:dyDescent="0.3">
      <c r="A22" s="6" t="s">
        <v>34</v>
      </c>
      <c r="B22" s="8" t="s">
        <v>32</v>
      </c>
      <c r="C22" s="7">
        <v>-2.9549460000000001</v>
      </c>
      <c r="D22" s="71">
        <v>-13.430427</v>
      </c>
      <c r="E22" s="44"/>
      <c r="F22" s="48"/>
      <c r="H22" s="49"/>
      <c r="I22" s="49"/>
    </row>
    <row r="23" spans="1:9" x14ac:dyDescent="0.3">
      <c r="A23" s="24" t="s">
        <v>30</v>
      </c>
      <c r="B23" s="25" t="s">
        <v>25</v>
      </c>
      <c r="C23" s="9">
        <v>15.586482</v>
      </c>
      <c r="D23" s="9">
        <v>-11.399347000000001</v>
      </c>
      <c r="E23" s="44"/>
      <c r="F23" s="48"/>
      <c r="H23" s="49"/>
      <c r="I23" s="49"/>
    </row>
    <row r="24" spans="1:9" x14ac:dyDescent="0.3">
      <c r="A24" s="6" t="s">
        <v>41</v>
      </c>
      <c r="B24" s="8" t="s">
        <v>39</v>
      </c>
      <c r="C24" s="7">
        <v>5.291658</v>
      </c>
      <c r="D24" s="7">
        <v>-4.5358599999999996</v>
      </c>
      <c r="E24" s="44"/>
      <c r="F24" s="48"/>
      <c r="H24" s="49"/>
      <c r="I24" s="49"/>
    </row>
    <row r="25" spans="1:9" x14ac:dyDescent="0.3">
      <c r="A25" s="24" t="s">
        <v>51</v>
      </c>
      <c r="B25" s="25" t="s">
        <v>49</v>
      </c>
      <c r="C25" s="9">
        <v>16.059531</v>
      </c>
      <c r="D25" s="9">
        <v>-12.352755500000001</v>
      </c>
      <c r="E25" s="44"/>
      <c r="F25" s="48"/>
      <c r="H25" s="49"/>
      <c r="I25" s="49"/>
    </row>
    <row r="26" spans="1:9" x14ac:dyDescent="0.3">
      <c r="A26" s="6" t="s">
        <v>62</v>
      </c>
      <c r="B26" s="8" t="s">
        <v>53</v>
      </c>
      <c r="C26" s="7">
        <v>1.1496795</v>
      </c>
      <c r="D26" s="7">
        <v>0.6773245</v>
      </c>
      <c r="E26" s="44"/>
      <c r="F26" s="48"/>
      <c r="H26" s="49"/>
      <c r="I26" s="49"/>
    </row>
    <row r="27" spans="1:9" x14ac:dyDescent="0.3">
      <c r="A27" s="24" t="s">
        <v>29</v>
      </c>
      <c r="B27" s="25" t="s">
        <v>24</v>
      </c>
      <c r="C27" s="9">
        <v>40.340837000000001</v>
      </c>
      <c r="D27" s="9">
        <v>-3.3613339999999998</v>
      </c>
      <c r="E27" s="44"/>
      <c r="F27" s="48"/>
      <c r="H27" s="49"/>
      <c r="I27" s="49"/>
    </row>
    <row r="28" spans="1:9" x14ac:dyDescent="0.3">
      <c r="A28" s="6" t="s">
        <v>67</v>
      </c>
      <c r="B28" s="8" t="s">
        <v>61</v>
      </c>
      <c r="C28" s="7">
        <v>-0.24186299999999999</v>
      </c>
      <c r="D28" s="7">
        <v>-1.9525870000000001</v>
      </c>
      <c r="E28" s="44"/>
      <c r="F28" s="48"/>
      <c r="H28" s="49"/>
      <c r="I28" s="49"/>
    </row>
    <row r="29" spans="1:9" x14ac:dyDescent="0.3">
      <c r="A29" s="24" t="s">
        <v>48</v>
      </c>
      <c r="B29" s="25" t="s">
        <v>45</v>
      </c>
      <c r="C29" s="9">
        <v>3.7076850000000001</v>
      </c>
      <c r="D29" s="9">
        <v>-2.5142099999999998</v>
      </c>
      <c r="E29" s="44"/>
      <c r="F29" s="48"/>
      <c r="H29" s="49"/>
      <c r="I29" s="49"/>
    </row>
    <row r="30" spans="1:9" x14ac:dyDescent="0.3">
      <c r="A30" s="6" t="s">
        <v>46</v>
      </c>
      <c r="B30" s="8" t="s">
        <v>43</v>
      </c>
      <c r="C30" s="7">
        <v>-6.5758830000000001</v>
      </c>
      <c r="D30" s="7">
        <v>12.145284999999999</v>
      </c>
      <c r="E30" s="44"/>
      <c r="F30" s="48"/>
      <c r="H30" s="49"/>
      <c r="I30" s="49"/>
    </row>
    <row r="31" spans="1:9" ht="15" thickBot="1" x14ac:dyDescent="0.35">
      <c r="A31" s="24" t="s">
        <v>63</v>
      </c>
      <c r="B31" s="25" t="s">
        <v>55</v>
      </c>
      <c r="C31" s="9">
        <v>22.217537</v>
      </c>
      <c r="D31" s="9">
        <v>-12.641795999999999</v>
      </c>
      <c r="E31" s="44"/>
      <c r="F31" s="48"/>
      <c r="H31" s="49"/>
      <c r="I31" s="49"/>
    </row>
    <row r="32" spans="1:9" ht="21" customHeight="1" thickBot="1" x14ac:dyDescent="0.35">
      <c r="A32" s="78" t="s">
        <v>68</v>
      </c>
      <c r="B32" s="79"/>
      <c r="C32" s="26">
        <f>SUM(C2:C31)</f>
        <v>201.14396828019997</v>
      </c>
      <c r="D32" s="26">
        <f>SUM(D2:D31)</f>
        <v>-26.592184658499995</v>
      </c>
    </row>
    <row r="34" spans="1:7" x14ac:dyDescent="0.3">
      <c r="A34" s="12" t="s">
        <v>69</v>
      </c>
      <c r="B34" s="61"/>
      <c r="C34" s="61"/>
      <c r="D34" s="61"/>
      <c r="E34" s="61"/>
      <c r="F34" s="61"/>
      <c r="G34" s="61"/>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O109"/>
  <sheetViews>
    <sheetView showGridLines="0" zoomScaleNormal="100" workbookViewId="0"/>
  </sheetViews>
  <sheetFormatPr defaultRowHeight="14.4" x14ac:dyDescent="0.3"/>
  <cols>
    <col min="1" max="1" width="51.6640625" customWidth="1"/>
    <col min="2" max="2" width="8.5546875" customWidth="1"/>
    <col min="3" max="3" width="14.5546875" customWidth="1"/>
    <col min="4" max="4" width="17.44140625" customWidth="1"/>
    <col min="5" max="5" width="22.5546875" customWidth="1"/>
    <col min="6" max="6" width="31.5546875" bestFit="1" customWidth="1"/>
    <col min="7" max="8" width="14" customWidth="1"/>
  </cols>
  <sheetData>
    <row r="1" spans="1:15" ht="55.2" x14ac:dyDescent="0.3">
      <c r="A1" s="36" t="str">
        <f>CONCATENATE("100 Most Traded Stocks YTD - ",'Weekly Top 10'!$C$5)</f>
        <v>100 Most Traded Stocks YTD - Week of 8 January 2024</v>
      </c>
      <c r="B1" s="19" t="s">
        <v>1</v>
      </c>
      <c r="C1" s="58" t="s">
        <v>105</v>
      </c>
      <c r="D1" s="20" t="s">
        <v>104</v>
      </c>
      <c r="E1" s="20" t="s">
        <v>106</v>
      </c>
      <c r="F1" s="20" t="s">
        <v>107</v>
      </c>
      <c r="H1" s="48"/>
    </row>
    <row r="2" spans="1:15" x14ac:dyDescent="0.3">
      <c r="A2" s="21" t="s">
        <v>27</v>
      </c>
      <c r="B2" s="22" t="s">
        <v>22</v>
      </c>
      <c r="C2" s="84">
        <v>86.359121393333325</v>
      </c>
      <c r="D2" s="84">
        <v>39.430031</v>
      </c>
      <c r="E2" s="84">
        <v>10.390489000000001</v>
      </c>
      <c r="F2" s="23" t="s">
        <v>14</v>
      </c>
      <c r="G2" s="83"/>
      <c r="H2" s="83"/>
      <c r="I2" s="83"/>
      <c r="J2" s="49"/>
      <c r="M2" s="83"/>
      <c r="N2" s="83"/>
      <c r="O2" s="83"/>
    </row>
    <row r="3" spans="1:15" x14ac:dyDescent="0.3">
      <c r="A3" s="24" t="s">
        <v>51</v>
      </c>
      <c r="B3" s="25" t="s">
        <v>49</v>
      </c>
      <c r="C3" s="85">
        <v>60.014800588888882</v>
      </c>
      <c r="D3" s="85">
        <v>-21.197590300000002</v>
      </c>
      <c r="E3" s="85">
        <v>16.059531</v>
      </c>
      <c r="F3" s="9" t="s">
        <v>220</v>
      </c>
      <c r="G3" s="83"/>
      <c r="H3" s="83"/>
      <c r="I3" s="83"/>
      <c r="J3" s="49"/>
      <c r="M3" s="83"/>
      <c r="N3" s="83"/>
      <c r="O3" s="83"/>
    </row>
    <row r="4" spans="1:15" x14ac:dyDescent="0.3">
      <c r="A4" s="6" t="s">
        <v>29</v>
      </c>
      <c r="B4" s="8" t="s">
        <v>24</v>
      </c>
      <c r="C4" s="86">
        <v>53.343525222222219</v>
      </c>
      <c r="D4" s="86">
        <v>64.036404000000005</v>
      </c>
      <c r="E4" s="86">
        <v>40.340837000000001</v>
      </c>
      <c r="F4" s="7" t="s">
        <v>14</v>
      </c>
      <c r="G4" s="83"/>
      <c r="H4" s="83"/>
      <c r="I4" s="83"/>
      <c r="J4" s="49"/>
      <c r="M4" s="83"/>
      <c r="N4" s="83"/>
      <c r="O4" s="83"/>
    </row>
    <row r="5" spans="1:15" x14ac:dyDescent="0.3">
      <c r="A5" s="24" t="s">
        <v>151</v>
      </c>
      <c r="B5" s="25" t="s">
        <v>58</v>
      </c>
      <c r="C5" s="85">
        <v>42.641635533333329</v>
      </c>
      <c r="D5" s="85">
        <v>-3.0379999999998891E-2</v>
      </c>
      <c r="E5" s="85">
        <v>5.9188849999999995</v>
      </c>
      <c r="F5" s="9" t="s">
        <v>18</v>
      </c>
      <c r="G5" s="83"/>
      <c r="H5" s="83"/>
      <c r="I5" s="83"/>
      <c r="J5" s="49"/>
      <c r="M5" s="83"/>
      <c r="N5" s="83"/>
      <c r="O5" s="83"/>
    </row>
    <row r="6" spans="1:15" x14ac:dyDescent="0.3">
      <c r="A6" s="6" t="s">
        <v>227</v>
      </c>
      <c r="B6" s="8" t="s">
        <v>23</v>
      </c>
      <c r="C6" s="86">
        <v>41.652495000000002</v>
      </c>
      <c r="D6" s="86">
        <v>51.432727999999997</v>
      </c>
      <c r="E6" s="86">
        <v>52.408544999999997</v>
      </c>
      <c r="F6" s="7" t="s">
        <v>14</v>
      </c>
      <c r="G6" s="83"/>
      <c r="H6" s="83"/>
      <c r="I6" s="83"/>
      <c r="J6" s="49"/>
      <c r="M6" s="83"/>
      <c r="N6" s="83"/>
      <c r="O6" s="83"/>
    </row>
    <row r="7" spans="1:15" x14ac:dyDescent="0.3">
      <c r="A7" s="24" t="s">
        <v>154</v>
      </c>
      <c r="B7" s="25" t="s">
        <v>26</v>
      </c>
      <c r="C7" s="85">
        <v>29.049573871111111</v>
      </c>
      <c r="D7" s="85">
        <v>-2.6482890000000001</v>
      </c>
      <c r="E7" s="85">
        <v>-4.7362830000000002</v>
      </c>
      <c r="F7" s="9" t="s">
        <v>18</v>
      </c>
      <c r="G7" s="83"/>
      <c r="H7" s="83"/>
      <c r="I7" s="83"/>
      <c r="J7" s="49"/>
      <c r="M7" s="83"/>
      <c r="N7" s="83"/>
      <c r="O7" s="83"/>
    </row>
    <row r="8" spans="1:15" x14ac:dyDescent="0.3">
      <c r="A8" s="6" t="s">
        <v>152</v>
      </c>
      <c r="B8" s="8" t="s">
        <v>55</v>
      </c>
      <c r="C8" s="86">
        <v>28.513741166666673</v>
      </c>
      <c r="D8" s="86">
        <v>27.157184999999998</v>
      </c>
      <c r="E8" s="86">
        <v>22.217537</v>
      </c>
      <c r="F8" s="52" t="s">
        <v>15</v>
      </c>
      <c r="G8" s="83"/>
      <c r="H8" s="83"/>
      <c r="I8" s="83"/>
      <c r="J8" s="49"/>
      <c r="M8" s="83"/>
      <c r="N8" s="83"/>
      <c r="O8" s="83"/>
    </row>
    <row r="9" spans="1:15" x14ac:dyDescent="0.3">
      <c r="A9" s="24" t="s">
        <v>34</v>
      </c>
      <c r="B9" s="25" t="s">
        <v>32</v>
      </c>
      <c r="C9" s="85">
        <v>24.33047366666667</v>
      </c>
      <c r="D9" s="85">
        <v>-10.704264</v>
      </c>
      <c r="E9" s="85">
        <v>-2.9549460000000001</v>
      </c>
      <c r="F9" s="9" t="s">
        <v>15</v>
      </c>
      <c r="G9" s="83"/>
      <c r="H9" s="83"/>
      <c r="I9" s="83"/>
      <c r="J9" s="49"/>
      <c r="M9" s="83"/>
      <c r="N9" s="83"/>
      <c r="O9" s="83"/>
    </row>
    <row r="10" spans="1:15" x14ac:dyDescent="0.3">
      <c r="A10" s="6" t="s">
        <v>230</v>
      </c>
      <c r="B10" s="8" t="s">
        <v>93</v>
      </c>
      <c r="C10" s="86">
        <v>21.097048167777782</v>
      </c>
      <c r="D10" s="86">
        <v>-6.2518661000000009</v>
      </c>
      <c r="E10" s="86">
        <v>1.291739</v>
      </c>
      <c r="F10" s="7" t="s">
        <v>15</v>
      </c>
      <c r="G10" s="83"/>
      <c r="H10" s="83"/>
      <c r="I10" s="83"/>
      <c r="J10" s="49"/>
      <c r="M10" s="83"/>
      <c r="N10" s="83"/>
      <c r="O10" s="83"/>
    </row>
    <row r="11" spans="1:15" x14ac:dyDescent="0.3">
      <c r="A11" s="24" t="s">
        <v>157</v>
      </c>
      <c r="B11" s="25" t="s">
        <v>87</v>
      </c>
      <c r="C11" s="85">
        <v>20.43356688888889</v>
      </c>
      <c r="D11" s="85">
        <v>-6.8396749999999997</v>
      </c>
      <c r="E11" s="85">
        <v>3.8831889999999998</v>
      </c>
      <c r="F11" s="9" t="s">
        <v>14</v>
      </c>
      <c r="G11" s="83"/>
      <c r="H11" s="83"/>
      <c r="I11" s="83"/>
      <c r="J11" s="49"/>
      <c r="M11" s="83"/>
      <c r="N11" s="83"/>
      <c r="O11" s="83"/>
    </row>
    <row r="12" spans="1:15" x14ac:dyDescent="0.3">
      <c r="A12" s="6" t="s">
        <v>241</v>
      </c>
      <c r="B12" s="8" t="s">
        <v>33</v>
      </c>
      <c r="C12" s="86">
        <v>20.361483777777782</v>
      </c>
      <c r="D12" s="86">
        <v>4.8960109999999997</v>
      </c>
      <c r="E12" s="86">
        <v>-7.7124769999999998</v>
      </c>
      <c r="F12" s="7" t="s">
        <v>15</v>
      </c>
      <c r="G12" s="83"/>
      <c r="H12" s="83"/>
      <c r="I12" s="83"/>
      <c r="J12" s="49"/>
      <c r="M12" s="83"/>
      <c r="N12" s="83"/>
      <c r="O12" s="83"/>
    </row>
    <row r="13" spans="1:15" x14ac:dyDescent="0.3">
      <c r="A13" s="24" t="s">
        <v>155</v>
      </c>
      <c r="B13" s="25" t="s">
        <v>40</v>
      </c>
      <c r="C13" s="85">
        <v>19.513396288888892</v>
      </c>
      <c r="D13" s="85">
        <v>-2.8082569999999998</v>
      </c>
      <c r="E13" s="85">
        <v>1.0450619999999999</v>
      </c>
      <c r="F13" s="9" t="s">
        <v>18</v>
      </c>
      <c r="G13" s="83"/>
      <c r="H13" s="83"/>
      <c r="I13" s="83"/>
      <c r="J13" s="49"/>
      <c r="M13" s="83"/>
      <c r="N13" s="83"/>
      <c r="O13" s="83"/>
    </row>
    <row r="14" spans="1:15" x14ac:dyDescent="0.3">
      <c r="A14" s="6" t="s">
        <v>153</v>
      </c>
      <c r="B14" s="8" t="s">
        <v>37</v>
      </c>
      <c r="C14" s="86">
        <v>17.293421277777782</v>
      </c>
      <c r="D14" s="86">
        <v>8.6377474999999997</v>
      </c>
      <c r="E14" s="86">
        <v>5.6639109999999997</v>
      </c>
      <c r="F14" s="7" t="s">
        <v>11</v>
      </c>
      <c r="G14" s="83"/>
      <c r="H14" s="83"/>
      <c r="I14" s="83"/>
      <c r="J14" s="49"/>
      <c r="M14" s="83"/>
      <c r="N14" s="83"/>
      <c r="O14" s="83"/>
    </row>
    <row r="15" spans="1:15" x14ac:dyDescent="0.3">
      <c r="A15" s="24" t="s">
        <v>160</v>
      </c>
      <c r="B15" s="25" t="s">
        <v>53</v>
      </c>
      <c r="C15" s="85">
        <v>16.851614222222221</v>
      </c>
      <c r="D15" s="85">
        <v>10.610424</v>
      </c>
      <c r="E15" s="85">
        <v>1.1496795</v>
      </c>
      <c r="F15" s="9" t="s">
        <v>12</v>
      </c>
      <c r="G15" s="83"/>
      <c r="H15" s="83"/>
      <c r="I15" s="83"/>
      <c r="J15" s="49"/>
      <c r="M15" s="83"/>
      <c r="N15" s="83"/>
      <c r="O15" s="83"/>
    </row>
    <row r="16" spans="1:15" x14ac:dyDescent="0.3">
      <c r="A16" s="6" t="s">
        <v>113</v>
      </c>
      <c r="B16" s="8" t="s">
        <v>108</v>
      </c>
      <c r="C16" s="86">
        <v>15.908830379111109</v>
      </c>
      <c r="D16" s="86">
        <v>3.4223235000000001</v>
      </c>
      <c r="E16" s="86">
        <v>2.9001589999999999</v>
      </c>
      <c r="F16" s="7" t="s">
        <v>18</v>
      </c>
      <c r="G16" s="83"/>
      <c r="H16" s="83"/>
      <c r="I16" s="83"/>
      <c r="J16" s="49"/>
      <c r="M16" s="83"/>
      <c r="N16" s="83"/>
      <c r="O16" s="83"/>
    </row>
    <row r="17" spans="1:15" x14ac:dyDescent="0.3">
      <c r="A17" s="24" t="s">
        <v>159</v>
      </c>
      <c r="B17" s="25" t="s">
        <v>54</v>
      </c>
      <c r="C17" s="85">
        <v>14.99956399346889</v>
      </c>
      <c r="D17" s="85">
        <v>2.666973732599998</v>
      </c>
      <c r="E17" s="85">
        <v>0.25748613889999977</v>
      </c>
      <c r="F17" s="9" t="s">
        <v>15</v>
      </c>
      <c r="G17" s="83"/>
      <c r="H17" s="83"/>
      <c r="I17" s="83"/>
      <c r="J17" s="49"/>
      <c r="M17" s="83"/>
      <c r="N17" s="83"/>
      <c r="O17" s="83"/>
    </row>
    <row r="18" spans="1:15" x14ac:dyDescent="0.3">
      <c r="A18" s="6" t="s">
        <v>36</v>
      </c>
      <c r="B18" s="8" t="s">
        <v>31</v>
      </c>
      <c r="C18" s="86">
        <v>14.910540088888888</v>
      </c>
      <c r="D18" s="86">
        <v>32.974221999999997</v>
      </c>
      <c r="E18" s="86">
        <v>30.300560000000001</v>
      </c>
      <c r="F18" s="7" t="s">
        <v>15</v>
      </c>
      <c r="G18" s="83"/>
      <c r="H18" s="83"/>
      <c r="I18" s="83"/>
      <c r="J18" s="49"/>
      <c r="M18" s="83"/>
      <c r="N18" s="83"/>
      <c r="O18" s="83"/>
    </row>
    <row r="19" spans="1:15" x14ac:dyDescent="0.3">
      <c r="A19" s="24" t="s">
        <v>156</v>
      </c>
      <c r="B19" s="25" t="s">
        <v>43</v>
      </c>
      <c r="C19" s="85">
        <v>13.54956611111111</v>
      </c>
      <c r="D19" s="85">
        <v>0.27646599999999999</v>
      </c>
      <c r="E19" s="85">
        <v>-6.5758830000000001</v>
      </c>
      <c r="F19" s="9" t="s">
        <v>12</v>
      </c>
      <c r="G19" s="83"/>
      <c r="H19" s="83"/>
      <c r="I19" s="83"/>
      <c r="J19" s="49"/>
      <c r="M19" s="83"/>
      <c r="N19" s="83"/>
      <c r="O19" s="83"/>
    </row>
    <row r="20" spans="1:15" x14ac:dyDescent="0.3">
      <c r="A20" s="6" t="s">
        <v>161</v>
      </c>
      <c r="B20" s="8" t="s">
        <v>44</v>
      </c>
      <c r="C20" s="86">
        <v>12.96250336666667</v>
      </c>
      <c r="D20" s="86">
        <v>17.134868999999998</v>
      </c>
      <c r="E20" s="86">
        <v>11.6669</v>
      </c>
      <c r="F20" s="7" t="s">
        <v>20</v>
      </c>
      <c r="G20" s="83"/>
      <c r="H20" s="83"/>
      <c r="I20" s="83"/>
      <c r="J20" s="49"/>
      <c r="M20" s="83"/>
      <c r="N20" s="83"/>
      <c r="O20" s="83"/>
    </row>
    <row r="21" spans="1:15" x14ac:dyDescent="0.3">
      <c r="A21" s="24" t="s">
        <v>165</v>
      </c>
      <c r="B21" s="25" t="s">
        <v>45</v>
      </c>
      <c r="C21" s="85">
        <v>12.251011699999999</v>
      </c>
      <c r="D21" s="85">
        <v>11.548735000000001</v>
      </c>
      <c r="E21" s="85">
        <v>3.7076850000000001</v>
      </c>
      <c r="F21" s="9" t="s">
        <v>221</v>
      </c>
      <c r="G21" s="83"/>
      <c r="H21" s="83"/>
      <c r="I21" s="83"/>
      <c r="J21" s="49"/>
      <c r="M21" s="83"/>
      <c r="N21" s="83"/>
      <c r="O21" s="83"/>
    </row>
    <row r="22" spans="1:15" x14ac:dyDescent="0.3">
      <c r="A22" s="6" t="s">
        <v>167</v>
      </c>
      <c r="B22" s="8" t="s">
        <v>80</v>
      </c>
      <c r="C22" s="86">
        <v>12.017374</v>
      </c>
      <c r="D22" s="86">
        <v>-18.902108999999999</v>
      </c>
      <c r="E22" s="86">
        <v>-11.099943</v>
      </c>
      <c r="F22" s="7" t="s">
        <v>18</v>
      </c>
      <c r="G22" s="83"/>
      <c r="H22" s="83"/>
      <c r="I22" s="83"/>
      <c r="J22" s="49"/>
      <c r="M22" s="83"/>
      <c r="N22" s="83"/>
      <c r="O22" s="83"/>
    </row>
    <row r="23" spans="1:15" x14ac:dyDescent="0.3">
      <c r="A23" s="24" t="s">
        <v>172</v>
      </c>
      <c r="B23" s="25" t="s">
        <v>61</v>
      </c>
      <c r="C23" s="85">
        <v>11.97550352</v>
      </c>
      <c r="D23" s="85">
        <v>4.3971010000000001</v>
      </c>
      <c r="E23" s="85">
        <v>-0.24186299999999999</v>
      </c>
      <c r="F23" s="9" t="s">
        <v>17</v>
      </c>
      <c r="G23" s="83"/>
      <c r="H23" s="83"/>
      <c r="I23" s="83"/>
      <c r="J23" s="49"/>
      <c r="M23" s="83"/>
      <c r="N23" s="83"/>
      <c r="O23" s="83"/>
    </row>
    <row r="24" spans="1:15" x14ac:dyDescent="0.3">
      <c r="A24" s="6" t="s">
        <v>30</v>
      </c>
      <c r="B24" s="8" t="s">
        <v>25</v>
      </c>
      <c r="C24" s="86">
        <v>11.84126512222222</v>
      </c>
      <c r="D24" s="86">
        <v>14.181316000000001</v>
      </c>
      <c r="E24" s="86">
        <v>15.586482</v>
      </c>
      <c r="F24" s="7" t="s">
        <v>14</v>
      </c>
      <c r="G24" s="83"/>
      <c r="H24" s="83"/>
      <c r="I24" s="83"/>
      <c r="J24" s="49"/>
      <c r="M24" s="83"/>
      <c r="N24" s="83"/>
      <c r="O24" s="83"/>
    </row>
    <row r="25" spans="1:15" x14ac:dyDescent="0.3">
      <c r="A25" s="24" t="s">
        <v>41</v>
      </c>
      <c r="B25" s="25" t="s">
        <v>39</v>
      </c>
      <c r="C25" s="85">
        <v>11.52814177777778</v>
      </c>
      <c r="D25" s="85">
        <v>-0.24705199999999999</v>
      </c>
      <c r="E25" s="85">
        <v>5.291658</v>
      </c>
      <c r="F25" s="9" t="s">
        <v>15</v>
      </c>
      <c r="G25" s="83"/>
      <c r="H25" s="83"/>
      <c r="I25" s="83"/>
      <c r="J25" s="49"/>
      <c r="M25" s="83"/>
      <c r="N25" s="83"/>
      <c r="O25" s="83"/>
    </row>
    <row r="26" spans="1:15" x14ac:dyDescent="0.3">
      <c r="A26" s="6" t="s">
        <v>168</v>
      </c>
      <c r="B26" s="8" t="s">
        <v>78</v>
      </c>
      <c r="C26" s="86">
        <v>11.23312905555556</v>
      </c>
      <c r="D26" s="86">
        <v>-4.9933670000000001</v>
      </c>
      <c r="E26" s="86">
        <v>-2.394082</v>
      </c>
      <c r="F26" s="7" t="s">
        <v>18</v>
      </c>
      <c r="G26" s="83"/>
      <c r="H26" s="83"/>
      <c r="I26" s="83"/>
      <c r="J26" s="49"/>
      <c r="M26" s="83"/>
      <c r="N26" s="83"/>
      <c r="O26" s="83"/>
    </row>
    <row r="27" spans="1:15" x14ac:dyDescent="0.3">
      <c r="A27" s="24" t="s">
        <v>158</v>
      </c>
      <c r="B27" s="25" t="s">
        <v>60</v>
      </c>
      <c r="C27" s="85">
        <v>10.549317322222219</v>
      </c>
      <c r="D27" s="85">
        <v>-3.6049030000000002</v>
      </c>
      <c r="E27" s="85">
        <v>-0.51733600000000002</v>
      </c>
      <c r="F27" s="9" t="s">
        <v>18</v>
      </c>
      <c r="G27" s="83"/>
      <c r="H27" s="83"/>
      <c r="I27" s="83"/>
      <c r="J27" s="49"/>
      <c r="M27" s="83"/>
      <c r="N27" s="83"/>
      <c r="O27" s="83"/>
    </row>
    <row r="28" spans="1:15" x14ac:dyDescent="0.3">
      <c r="A28" s="6" t="s">
        <v>163</v>
      </c>
      <c r="B28" s="8" t="s">
        <v>56</v>
      </c>
      <c r="C28" s="86">
        <v>9.0115858222222229</v>
      </c>
      <c r="D28" s="86">
        <v>-3.7529530000000002</v>
      </c>
      <c r="E28" s="86">
        <v>0.65520100000000003</v>
      </c>
      <c r="F28" s="7" t="s">
        <v>17</v>
      </c>
      <c r="G28" s="83"/>
      <c r="H28" s="83"/>
      <c r="I28" s="83"/>
      <c r="J28" s="49"/>
      <c r="M28" s="83"/>
      <c r="N28" s="83"/>
      <c r="O28" s="83"/>
    </row>
    <row r="29" spans="1:15" x14ac:dyDescent="0.3">
      <c r="A29" s="24" t="s">
        <v>169</v>
      </c>
      <c r="B29" s="25" t="s">
        <v>57</v>
      </c>
      <c r="C29" s="85">
        <v>8.609250010077778</v>
      </c>
      <c r="D29" s="85">
        <v>8.5821479934999996</v>
      </c>
      <c r="E29" s="85">
        <v>4.6632952046999998</v>
      </c>
      <c r="F29" s="9" t="s">
        <v>17</v>
      </c>
      <c r="G29" s="83"/>
      <c r="H29" s="83"/>
      <c r="I29" s="83"/>
      <c r="J29" s="49"/>
      <c r="M29" s="83"/>
      <c r="N29" s="83"/>
      <c r="O29" s="83"/>
    </row>
    <row r="30" spans="1:15" x14ac:dyDescent="0.3">
      <c r="A30" s="6" t="s">
        <v>162</v>
      </c>
      <c r="B30" s="8" t="s">
        <v>50</v>
      </c>
      <c r="C30" s="86">
        <v>7.6915513000000004</v>
      </c>
      <c r="D30" s="86">
        <v>-0.98541800000000002</v>
      </c>
      <c r="E30" s="86">
        <v>-3.1783570000000001</v>
      </c>
      <c r="F30" s="7" t="s">
        <v>11</v>
      </c>
      <c r="G30" s="83"/>
      <c r="H30" s="83"/>
      <c r="I30" s="83"/>
      <c r="J30" s="49"/>
      <c r="M30" s="83"/>
      <c r="N30" s="83"/>
      <c r="O30" s="83"/>
    </row>
    <row r="31" spans="1:15" x14ac:dyDescent="0.3">
      <c r="A31" s="24" t="s">
        <v>164</v>
      </c>
      <c r="B31" s="25" t="s">
        <v>82</v>
      </c>
      <c r="C31" s="85">
        <v>7.3840959833333324</v>
      </c>
      <c r="D31" s="85">
        <v>-1.9429169999999991</v>
      </c>
      <c r="E31" s="85">
        <v>-0.1327559999999996</v>
      </c>
      <c r="F31" s="9" t="s">
        <v>18</v>
      </c>
      <c r="G31" s="83"/>
      <c r="H31" s="83"/>
      <c r="I31" s="83"/>
      <c r="J31" s="49"/>
      <c r="M31" s="83"/>
      <c r="N31" s="83"/>
      <c r="O31" s="83"/>
    </row>
    <row r="32" spans="1:15" x14ac:dyDescent="0.3">
      <c r="A32" s="6" t="s">
        <v>170</v>
      </c>
      <c r="B32" s="8" t="s">
        <v>114</v>
      </c>
      <c r="C32" s="86">
        <v>6.5084070000000001</v>
      </c>
      <c r="D32" s="86">
        <v>6.6054729999999999</v>
      </c>
      <c r="E32" s="86">
        <v>1.989824</v>
      </c>
      <c r="F32" s="7" t="s">
        <v>15</v>
      </c>
      <c r="G32" s="83"/>
      <c r="H32" s="83"/>
      <c r="I32" s="83"/>
      <c r="J32" s="49"/>
      <c r="M32" s="83"/>
      <c r="N32" s="83"/>
      <c r="O32" s="83"/>
    </row>
    <row r="33" spans="1:15" x14ac:dyDescent="0.3">
      <c r="A33" s="24" t="s">
        <v>173</v>
      </c>
      <c r="B33" s="25" t="s">
        <v>97</v>
      </c>
      <c r="C33" s="85">
        <v>5.9389459999999996</v>
      </c>
      <c r="D33" s="85">
        <v>-3.8024789999999999</v>
      </c>
      <c r="E33" s="85">
        <v>-1.821534</v>
      </c>
      <c r="F33" s="9" t="s">
        <v>18</v>
      </c>
      <c r="G33" s="83"/>
      <c r="H33" s="83"/>
      <c r="I33" s="83"/>
      <c r="J33" s="49"/>
      <c r="M33" s="83"/>
      <c r="N33" s="83"/>
      <c r="O33" s="83"/>
    </row>
    <row r="34" spans="1:15" x14ac:dyDescent="0.3">
      <c r="A34" s="6" t="s">
        <v>166</v>
      </c>
      <c r="B34" s="8" t="s">
        <v>94</v>
      </c>
      <c r="C34" s="86">
        <v>5.2794040000000004</v>
      </c>
      <c r="D34" s="86">
        <v>3.0224039999999999</v>
      </c>
      <c r="E34" s="86">
        <v>1.0661229999999999</v>
      </c>
      <c r="F34" s="7" t="s">
        <v>18</v>
      </c>
      <c r="G34" s="83"/>
      <c r="H34" s="83"/>
      <c r="I34" s="83"/>
      <c r="J34" s="49"/>
      <c r="M34" s="83"/>
      <c r="N34" s="83"/>
      <c r="O34" s="83"/>
    </row>
    <row r="35" spans="1:15" x14ac:dyDescent="0.3">
      <c r="A35" s="24" t="s">
        <v>177</v>
      </c>
      <c r="B35" s="25" t="s">
        <v>100</v>
      </c>
      <c r="C35" s="85">
        <v>5.1019330555555555</v>
      </c>
      <c r="D35" s="85">
        <v>-1.8276025</v>
      </c>
      <c r="E35" s="85">
        <v>-2.1397504999999999</v>
      </c>
      <c r="F35" s="9" t="s">
        <v>15</v>
      </c>
      <c r="G35" s="83"/>
      <c r="H35" s="83"/>
      <c r="I35" s="83"/>
      <c r="J35" s="49"/>
      <c r="M35" s="83"/>
      <c r="N35" s="83"/>
      <c r="O35" s="83"/>
    </row>
    <row r="36" spans="1:15" x14ac:dyDescent="0.3">
      <c r="A36" s="6" t="s">
        <v>179</v>
      </c>
      <c r="B36" s="8" t="s">
        <v>118</v>
      </c>
      <c r="C36" s="86">
        <v>4.7374220555555562</v>
      </c>
      <c r="D36" s="86">
        <v>-0.85187999999999997</v>
      </c>
      <c r="E36" s="86">
        <v>-0.22942499999999999</v>
      </c>
      <c r="F36" s="7" t="s">
        <v>221</v>
      </c>
      <c r="G36" s="83"/>
      <c r="H36" s="83"/>
      <c r="I36" s="83"/>
      <c r="J36" s="49"/>
      <c r="M36" s="83"/>
      <c r="N36" s="83"/>
      <c r="O36" s="83"/>
    </row>
    <row r="37" spans="1:15" x14ac:dyDescent="0.3">
      <c r="A37" s="24" t="s">
        <v>178</v>
      </c>
      <c r="B37" s="25" t="s">
        <v>117</v>
      </c>
      <c r="C37" s="85">
        <v>4.6446297222222217</v>
      </c>
      <c r="D37" s="85">
        <v>4.0273389999999996</v>
      </c>
      <c r="E37" s="85">
        <v>3.1546729999999998</v>
      </c>
      <c r="F37" s="9" t="s">
        <v>18</v>
      </c>
      <c r="G37" s="83"/>
      <c r="H37" s="83"/>
      <c r="I37" s="83"/>
      <c r="J37" s="49"/>
      <c r="M37" s="83"/>
      <c r="N37" s="83"/>
      <c r="O37" s="83"/>
    </row>
    <row r="38" spans="1:15" x14ac:dyDescent="0.3">
      <c r="A38" s="6" t="s">
        <v>242</v>
      </c>
      <c r="B38" s="8" t="s">
        <v>243</v>
      </c>
      <c r="C38" s="86">
        <v>4.4202677888888893</v>
      </c>
      <c r="D38" s="86">
        <v>-0.14603460000000001</v>
      </c>
      <c r="E38" s="86">
        <v>-0.29801259999999996</v>
      </c>
      <c r="F38" s="7" t="s">
        <v>15</v>
      </c>
      <c r="G38" s="83"/>
      <c r="H38" s="83"/>
      <c r="I38" s="83"/>
      <c r="J38" s="49"/>
      <c r="M38" s="83"/>
      <c r="N38" s="83"/>
      <c r="O38" s="83"/>
    </row>
    <row r="39" spans="1:15" x14ac:dyDescent="0.3">
      <c r="A39" s="24" t="s">
        <v>199</v>
      </c>
      <c r="B39" s="25" t="s">
        <v>132</v>
      </c>
      <c r="C39" s="85">
        <v>3.800359555555556</v>
      </c>
      <c r="D39" s="85">
        <v>-5.9577549999999997</v>
      </c>
      <c r="E39" s="85">
        <v>-3.4774850000000002</v>
      </c>
      <c r="F39" s="9" t="s">
        <v>221</v>
      </c>
      <c r="G39" s="83"/>
      <c r="H39" s="83"/>
      <c r="I39" s="83"/>
      <c r="J39" s="49"/>
      <c r="M39" s="83"/>
      <c r="N39" s="83"/>
      <c r="O39" s="83"/>
    </row>
    <row r="40" spans="1:15" x14ac:dyDescent="0.3">
      <c r="A40" s="6" t="s">
        <v>193</v>
      </c>
      <c r="B40" s="8" t="s">
        <v>112</v>
      </c>
      <c r="C40" s="86">
        <v>3.626072511111111</v>
      </c>
      <c r="D40" s="86">
        <v>0.5216052000000001</v>
      </c>
      <c r="E40" s="86">
        <v>-1.0131228000000001</v>
      </c>
      <c r="F40" s="7" t="s">
        <v>223</v>
      </c>
      <c r="G40" s="83"/>
      <c r="H40" s="83"/>
      <c r="I40" s="83"/>
      <c r="J40" s="49"/>
      <c r="M40" s="83"/>
      <c r="N40" s="83"/>
      <c r="O40" s="83"/>
    </row>
    <row r="41" spans="1:15" x14ac:dyDescent="0.3">
      <c r="A41" s="24" t="s">
        <v>187</v>
      </c>
      <c r="B41" s="25" t="s">
        <v>124</v>
      </c>
      <c r="C41" s="85">
        <v>3.3229253677777777</v>
      </c>
      <c r="D41" s="85">
        <v>2.2375060000000002</v>
      </c>
      <c r="E41" s="85">
        <v>0.15924650000000001</v>
      </c>
      <c r="F41" s="9" t="s">
        <v>220</v>
      </c>
      <c r="G41" s="83"/>
      <c r="H41" s="83"/>
      <c r="I41" s="83"/>
      <c r="J41" s="49"/>
      <c r="M41" s="83"/>
      <c r="N41" s="83"/>
      <c r="O41" s="83"/>
    </row>
    <row r="42" spans="1:15" x14ac:dyDescent="0.3">
      <c r="A42" s="6" t="s">
        <v>109</v>
      </c>
      <c r="B42" s="8" t="s">
        <v>110</v>
      </c>
      <c r="C42" s="86">
        <v>3.2743699999999998</v>
      </c>
      <c r="D42" s="86">
        <v>1.2029449999999999</v>
      </c>
      <c r="E42" s="86">
        <v>1.0068760000000001</v>
      </c>
      <c r="F42" s="7" t="s">
        <v>18</v>
      </c>
      <c r="G42" s="83"/>
      <c r="H42" s="83"/>
      <c r="I42" s="83"/>
      <c r="J42" s="49"/>
      <c r="M42" s="83"/>
      <c r="N42" s="83"/>
      <c r="O42" s="83"/>
    </row>
    <row r="43" spans="1:15" x14ac:dyDescent="0.3">
      <c r="A43" s="24" t="s">
        <v>171</v>
      </c>
      <c r="B43" s="25" t="s">
        <v>231</v>
      </c>
      <c r="C43" s="85">
        <v>3.2560894444444441</v>
      </c>
      <c r="D43" s="85">
        <v>-0.69551300000000005</v>
      </c>
      <c r="E43" s="85">
        <v>-0.82846299999999995</v>
      </c>
      <c r="F43" s="9" t="s">
        <v>221</v>
      </c>
      <c r="G43" s="83"/>
      <c r="H43" s="83"/>
      <c r="I43" s="83"/>
      <c r="J43" s="49"/>
      <c r="M43" s="83"/>
      <c r="N43" s="83"/>
      <c r="O43" s="83"/>
    </row>
    <row r="44" spans="1:15" x14ac:dyDescent="0.3">
      <c r="A44" s="6" t="s">
        <v>214</v>
      </c>
      <c r="B44" s="8" t="s">
        <v>232</v>
      </c>
      <c r="C44" s="86">
        <v>2.9619599666666669</v>
      </c>
      <c r="D44" s="86">
        <v>0.21256360000000002</v>
      </c>
      <c r="E44" s="86">
        <v>0.29934890000000003</v>
      </c>
      <c r="F44" s="7" t="s">
        <v>222</v>
      </c>
      <c r="G44" s="83"/>
      <c r="H44" s="83"/>
      <c r="I44" s="83"/>
      <c r="J44" s="49"/>
      <c r="M44" s="83"/>
      <c r="N44" s="83"/>
      <c r="O44" s="83"/>
    </row>
    <row r="45" spans="1:15" x14ac:dyDescent="0.3">
      <c r="A45" s="24" t="s">
        <v>180</v>
      </c>
      <c r="B45" s="25" t="s">
        <v>119</v>
      </c>
      <c r="C45" s="85">
        <v>2.5843456666666671</v>
      </c>
      <c r="D45" s="85">
        <v>-2.9414859999999998</v>
      </c>
      <c r="E45" s="85">
        <v>-3.0979795000000001</v>
      </c>
      <c r="F45" s="9" t="s">
        <v>221</v>
      </c>
      <c r="G45" s="83"/>
      <c r="H45" s="83"/>
      <c r="I45" s="83"/>
      <c r="J45" s="49"/>
      <c r="M45" s="83"/>
      <c r="N45" s="83"/>
      <c r="O45" s="83"/>
    </row>
    <row r="46" spans="1:15" x14ac:dyDescent="0.3">
      <c r="A46" s="6" t="s">
        <v>188</v>
      </c>
      <c r="B46" s="8" t="s">
        <v>125</v>
      </c>
      <c r="C46" s="86">
        <v>2.4236548981722228</v>
      </c>
      <c r="D46" s="86">
        <v>-0.88621836121000008</v>
      </c>
      <c r="E46" s="86">
        <v>-0.53436498142000011</v>
      </c>
      <c r="F46" s="7" t="s">
        <v>11</v>
      </c>
      <c r="G46" s="83"/>
      <c r="H46" s="83"/>
      <c r="I46" s="83"/>
      <c r="J46" s="49"/>
      <c r="M46" s="83"/>
      <c r="N46" s="83"/>
      <c r="O46" s="83"/>
    </row>
    <row r="47" spans="1:15" x14ac:dyDescent="0.3">
      <c r="A47" s="24" t="s">
        <v>205</v>
      </c>
      <c r="B47" s="25" t="s">
        <v>138</v>
      </c>
      <c r="C47" s="85">
        <v>2.405181777777778</v>
      </c>
      <c r="D47" s="85">
        <v>-5.6565205000000001</v>
      </c>
      <c r="E47" s="85">
        <v>-4.8781375000000002</v>
      </c>
      <c r="F47" s="9" t="s">
        <v>223</v>
      </c>
      <c r="G47" s="83"/>
      <c r="H47" s="83"/>
      <c r="I47" s="83"/>
      <c r="J47" s="49"/>
      <c r="M47" s="83"/>
      <c r="N47" s="83"/>
      <c r="O47" s="83"/>
    </row>
    <row r="48" spans="1:15" x14ac:dyDescent="0.3">
      <c r="A48" s="6" t="s">
        <v>184</v>
      </c>
      <c r="B48" s="8" t="s">
        <v>96</v>
      </c>
      <c r="C48" s="86">
        <v>2.1962164</v>
      </c>
      <c r="D48" s="86">
        <v>-3.158439</v>
      </c>
      <c r="E48" s="86">
        <v>-1.007309</v>
      </c>
      <c r="F48" s="7" t="s">
        <v>12</v>
      </c>
      <c r="G48" s="83"/>
      <c r="H48" s="83"/>
      <c r="I48" s="83"/>
      <c r="J48" s="49"/>
      <c r="M48" s="83"/>
      <c r="N48" s="83"/>
      <c r="O48" s="83"/>
    </row>
    <row r="49" spans="1:15" x14ac:dyDescent="0.3">
      <c r="A49" s="24" t="s">
        <v>195</v>
      </c>
      <c r="B49" s="25" t="s">
        <v>129</v>
      </c>
      <c r="C49" s="85">
        <v>2.1664228333333329</v>
      </c>
      <c r="D49" s="85">
        <v>3.414911</v>
      </c>
      <c r="E49" s="85">
        <v>2.520581</v>
      </c>
      <c r="F49" s="9" t="s">
        <v>223</v>
      </c>
      <c r="G49" s="83"/>
      <c r="H49" s="83"/>
      <c r="I49" s="83"/>
      <c r="J49" s="49"/>
      <c r="M49" s="83"/>
      <c r="N49" s="83"/>
      <c r="O49" s="83"/>
    </row>
    <row r="50" spans="1:15" x14ac:dyDescent="0.3">
      <c r="A50" s="6" t="s">
        <v>176</v>
      </c>
      <c r="B50" s="8" t="s">
        <v>95</v>
      </c>
      <c r="C50" s="86">
        <v>2.1638916915555551</v>
      </c>
      <c r="D50" s="86">
        <v>-1.1283582239999999</v>
      </c>
      <c r="E50" s="86">
        <v>8.0704776000000006E-2</v>
      </c>
      <c r="F50" s="7" t="s">
        <v>221</v>
      </c>
      <c r="G50" s="83"/>
      <c r="H50" s="83"/>
      <c r="I50" s="83"/>
      <c r="J50" s="49"/>
      <c r="M50" s="83"/>
      <c r="N50" s="83"/>
      <c r="O50" s="83"/>
    </row>
    <row r="51" spans="1:15" x14ac:dyDescent="0.3">
      <c r="A51" s="24" t="s">
        <v>174</v>
      </c>
      <c r="B51" s="25" t="s">
        <v>115</v>
      </c>
      <c r="C51" s="85">
        <v>2.1108279333333333</v>
      </c>
      <c r="D51" s="85">
        <v>-2.4020049999999999</v>
      </c>
      <c r="E51" s="85">
        <v>-2.2037415</v>
      </c>
      <c r="F51" s="9" t="s">
        <v>18</v>
      </c>
      <c r="G51" s="83"/>
      <c r="H51" s="83"/>
      <c r="I51" s="83"/>
      <c r="J51" s="49"/>
      <c r="M51" s="83"/>
      <c r="N51" s="83"/>
      <c r="O51" s="83"/>
    </row>
    <row r="52" spans="1:15" x14ac:dyDescent="0.3">
      <c r="A52" s="6" t="s">
        <v>175</v>
      </c>
      <c r="B52" s="8" t="s">
        <v>116</v>
      </c>
      <c r="C52" s="86">
        <v>1.985812166666667</v>
      </c>
      <c r="D52" s="86">
        <v>0.32145449999999998</v>
      </c>
      <c r="E52" s="86">
        <v>0.49993149999999997</v>
      </c>
      <c r="F52" s="7" t="s">
        <v>12</v>
      </c>
      <c r="G52" s="83"/>
      <c r="H52" s="83"/>
      <c r="I52" s="83"/>
      <c r="J52" s="49"/>
      <c r="M52" s="83"/>
      <c r="N52" s="83"/>
      <c r="O52" s="83"/>
    </row>
    <row r="53" spans="1:15" x14ac:dyDescent="0.3">
      <c r="A53" s="24" t="s">
        <v>244</v>
      </c>
      <c r="B53" s="25" t="s">
        <v>245</v>
      </c>
      <c r="C53" s="85">
        <v>1.863958244444444</v>
      </c>
      <c r="D53" s="85">
        <v>4.9262600000000017E-2</v>
      </c>
      <c r="E53" s="85">
        <v>1.3754000000000001E-3</v>
      </c>
      <c r="F53" s="9" t="s">
        <v>15</v>
      </c>
      <c r="G53" s="83"/>
      <c r="H53" s="83"/>
      <c r="I53" s="83"/>
      <c r="J53" s="49"/>
      <c r="M53" s="83"/>
      <c r="N53" s="83"/>
      <c r="O53" s="83"/>
    </row>
    <row r="54" spans="1:15" x14ac:dyDescent="0.3">
      <c r="A54" s="6" t="s">
        <v>194</v>
      </c>
      <c r="B54" s="8" t="s">
        <v>128</v>
      </c>
      <c r="C54" s="86">
        <v>1.8206790888888889</v>
      </c>
      <c r="D54" s="86">
        <v>-2.7873800000000002</v>
      </c>
      <c r="E54" s="86">
        <v>-2.1954560000000001</v>
      </c>
      <c r="F54" s="7" t="s">
        <v>18</v>
      </c>
      <c r="G54" s="83"/>
      <c r="H54" s="83"/>
      <c r="I54" s="83"/>
      <c r="J54" s="49"/>
      <c r="M54" s="83"/>
      <c r="N54" s="83"/>
      <c r="O54" s="83"/>
    </row>
    <row r="55" spans="1:15" x14ac:dyDescent="0.3">
      <c r="A55" s="24" t="s">
        <v>190</v>
      </c>
      <c r="B55" s="25" t="s">
        <v>59</v>
      </c>
      <c r="C55" s="85">
        <v>1.7925436756111111</v>
      </c>
      <c r="D55" s="85">
        <v>-2.7203293717999997</v>
      </c>
      <c r="E55" s="85">
        <v>-2.0914735634000001</v>
      </c>
      <c r="F55" s="9" t="s">
        <v>12</v>
      </c>
      <c r="G55" s="83"/>
      <c r="H55" s="83"/>
      <c r="I55" s="83"/>
      <c r="J55" s="49"/>
      <c r="M55" s="83"/>
      <c r="N55" s="83"/>
      <c r="O55" s="83"/>
    </row>
    <row r="56" spans="1:15" x14ac:dyDescent="0.3">
      <c r="A56" s="6" t="s">
        <v>182</v>
      </c>
      <c r="B56" s="8" t="s">
        <v>101</v>
      </c>
      <c r="C56" s="86">
        <v>1.7744169999999999</v>
      </c>
      <c r="D56" s="86">
        <v>-0.85229750000000004</v>
      </c>
      <c r="E56" s="86">
        <v>-0.73949799999999999</v>
      </c>
      <c r="F56" s="7" t="s">
        <v>18</v>
      </c>
      <c r="G56" s="83"/>
      <c r="H56" s="83"/>
      <c r="I56" s="83"/>
      <c r="J56" s="49"/>
      <c r="M56" s="83"/>
      <c r="N56" s="83"/>
      <c r="O56" s="83"/>
    </row>
    <row r="57" spans="1:15" x14ac:dyDescent="0.3">
      <c r="A57" s="24" t="s">
        <v>192</v>
      </c>
      <c r="B57" s="25" t="s">
        <v>127</v>
      </c>
      <c r="C57" s="85">
        <v>1.605653988205556</v>
      </c>
      <c r="D57" s="85">
        <v>4.4647698850000035E-2</v>
      </c>
      <c r="E57" s="85">
        <v>0.29735972724999998</v>
      </c>
      <c r="F57" s="9" t="s">
        <v>18</v>
      </c>
      <c r="G57" s="83"/>
      <c r="H57" s="83"/>
      <c r="I57" s="83"/>
      <c r="J57" s="49"/>
      <c r="M57" s="83"/>
      <c r="N57" s="83"/>
      <c r="O57" s="83"/>
    </row>
    <row r="58" spans="1:15" x14ac:dyDescent="0.3">
      <c r="A58" s="6" t="s">
        <v>191</v>
      </c>
      <c r="B58" s="8" t="s">
        <v>126</v>
      </c>
      <c r="C58" s="86">
        <v>1.510769888888889</v>
      </c>
      <c r="D58" s="86">
        <v>-0.4563750000000002</v>
      </c>
      <c r="E58" s="86">
        <v>-0.32122000000000001</v>
      </c>
      <c r="F58" s="7" t="s">
        <v>18</v>
      </c>
      <c r="G58" s="83"/>
      <c r="H58" s="83"/>
      <c r="I58" s="83"/>
      <c r="J58" s="49"/>
      <c r="M58" s="83"/>
      <c r="N58" s="83"/>
      <c r="O58" s="83"/>
    </row>
    <row r="59" spans="1:15" x14ac:dyDescent="0.3">
      <c r="A59" s="24" t="s">
        <v>210</v>
      </c>
      <c r="B59" s="25" t="s">
        <v>143</v>
      </c>
      <c r="C59" s="85">
        <v>1.3643846111111111</v>
      </c>
      <c r="D59" s="85">
        <v>0.1067975</v>
      </c>
      <c r="E59" s="85">
        <v>-2.5309999999999999E-2</v>
      </c>
      <c r="F59" s="9" t="s">
        <v>17</v>
      </c>
      <c r="G59" s="83"/>
      <c r="H59" s="83"/>
      <c r="I59" s="83"/>
      <c r="J59" s="49"/>
      <c r="M59" s="83"/>
      <c r="N59" s="83"/>
      <c r="O59" s="83"/>
    </row>
    <row r="60" spans="1:15" x14ac:dyDescent="0.3">
      <c r="A60" s="6" t="s">
        <v>189</v>
      </c>
      <c r="B60" s="8" t="s">
        <v>111</v>
      </c>
      <c r="C60" s="86">
        <v>1.360565333333333</v>
      </c>
      <c r="D60" s="86">
        <v>-1.0558615</v>
      </c>
      <c r="E60" s="86">
        <v>-0.20617550000000001</v>
      </c>
      <c r="F60" s="7" t="s">
        <v>16</v>
      </c>
      <c r="G60" s="83"/>
      <c r="H60" s="83"/>
      <c r="I60" s="83"/>
      <c r="J60" s="49"/>
      <c r="M60" s="83"/>
      <c r="N60" s="83"/>
      <c r="O60" s="83"/>
    </row>
    <row r="61" spans="1:15" x14ac:dyDescent="0.3">
      <c r="A61" s="24" t="s">
        <v>201</v>
      </c>
      <c r="B61" s="25" t="s">
        <v>134</v>
      </c>
      <c r="C61" s="85">
        <v>1.348814722222222</v>
      </c>
      <c r="D61" s="85">
        <v>0.64606649999999999</v>
      </c>
      <c r="E61" s="85">
        <v>0.47657349999999998</v>
      </c>
      <c r="F61" s="9" t="s">
        <v>222</v>
      </c>
      <c r="G61" s="83"/>
      <c r="H61" s="83"/>
      <c r="I61" s="83"/>
      <c r="J61" s="49"/>
      <c r="M61" s="83"/>
      <c r="N61" s="83"/>
      <c r="O61" s="83"/>
    </row>
    <row r="62" spans="1:15" x14ac:dyDescent="0.3">
      <c r="A62" s="6" t="s">
        <v>196</v>
      </c>
      <c r="B62" s="8" t="s">
        <v>130</v>
      </c>
      <c r="C62" s="86">
        <v>1.272162111111111</v>
      </c>
      <c r="D62" s="86">
        <v>-0.771872</v>
      </c>
      <c r="E62" s="86">
        <v>-1.1039140000000001</v>
      </c>
      <c r="F62" s="7" t="s">
        <v>18</v>
      </c>
      <c r="G62" s="83"/>
      <c r="H62" s="83"/>
      <c r="I62" s="83"/>
      <c r="J62" s="49"/>
      <c r="M62" s="83"/>
      <c r="N62" s="83"/>
      <c r="O62" s="83"/>
    </row>
    <row r="63" spans="1:15" x14ac:dyDescent="0.3">
      <c r="A63" s="24" t="s">
        <v>183</v>
      </c>
      <c r="B63" s="25" t="s">
        <v>121</v>
      </c>
      <c r="C63" s="85">
        <v>1.183486777777778</v>
      </c>
      <c r="D63" s="85">
        <v>1.892266</v>
      </c>
      <c r="E63" s="85">
        <v>1.31769</v>
      </c>
      <c r="F63" s="9" t="s">
        <v>12</v>
      </c>
      <c r="G63" s="83"/>
      <c r="H63" s="83"/>
      <c r="I63" s="83"/>
      <c r="J63" s="49"/>
      <c r="M63" s="83"/>
      <c r="N63" s="83"/>
      <c r="O63" s="83"/>
    </row>
    <row r="64" spans="1:15" x14ac:dyDescent="0.3">
      <c r="A64" s="6" t="s">
        <v>200</v>
      </c>
      <c r="B64" s="8" t="s">
        <v>133</v>
      </c>
      <c r="C64" s="86">
        <v>1.0923703535544451</v>
      </c>
      <c r="D64" s="86">
        <v>0.70375105321999998</v>
      </c>
      <c r="E64" s="86">
        <v>0.56039985671000003</v>
      </c>
      <c r="F64" s="7" t="s">
        <v>18</v>
      </c>
      <c r="G64" s="83"/>
      <c r="H64" s="83"/>
      <c r="I64" s="83"/>
      <c r="J64" s="49"/>
      <c r="M64" s="83"/>
      <c r="N64" s="83"/>
      <c r="O64" s="83"/>
    </row>
    <row r="65" spans="1:15" x14ac:dyDescent="0.3">
      <c r="A65" s="24" t="s">
        <v>208</v>
      </c>
      <c r="B65" s="25" t="s">
        <v>141</v>
      </c>
      <c r="C65" s="85">
        <v>1.0695377568777782</v>
      </c>
      <c r="D65" s="85">
        <v>0.141744008</v>
      </c>
      <c r="E65" s="85">
        <v>9.7291747900000045E-2</v>
      </c>
      <c r="F65" s="9" t="s">
        <v>18</v>
      </c>
      <c r="G65" s="83"/>
      <c r="H65" s="83"/>
      <c r="I65" s="83"/>
      <c r="J65" s="49"/>
      <c r="M65" s="83"/>
      <c r="N65" s="83"/>
      <c r="O65" s="83"/>
    </row>
    <row r="66" spans="1:15" x14ac:dyDescent="0.3">
      <c r="A66" s="6" t="s">
        <v>212</v>
      </c>
      <c r="B66" s="8" t="s">
        <v>145</v>
      </c>
      <c r="C66" s="86">
        <v>1.030642944444444</v>
      </c>
      <c r="D66" s="86">
        <v>-0.79876999999999998</v>
      </c>
      <c r="E66" s="86">
        <v>-0.99013899999999999</v>
      </c>
      <c r="F66" s="7" t="s">
        <v>18</v>
      </c>
      <c r="G66" s="83"/>
      <c r="H66" s="83"/>
      <c r="I66" s="83"/>
      <c r="J66" s="49"/>
      <c r="M66" s="83"/>
      <c r="N66" s="83"/>
      <c r="O66" s="83"/>
    </row>
    <row r="67" spans="1:15" x14ac:dyDescent="0.3">
      <c r="A67" s="24" t="s">
        <v>207</v>
      </c>
      <c r="B67" s="25" t="s">
        <v>140</v>
      </c>
      <c r="C67" s="85">
        <v>0.9319196111111111</v>
      </c>
      <c r="D67" s="85">
        <v>1.2946845</v>
      </c>
      <c r="E67" s="85">
        <v>0.75217500000000004</v>
      </c>
      <c r="F67" s="9" t="s">
        <v>222</v>
      </c>
      <c r="G67" s="83"/>
      <c r="H67" s="83"/>
      <c r="I67" s="83"/>
      <c r="J67" s="49"/>
      <c r="M67" s="83"/>
      <c r="N67" s="83"/>
      <c r="O67" s="83"/>
    </row>
    <row r="68" spans="1:15" x14ac:dyDescent="0.3">
      <c r="A68" s="6" t="s">
        <v>204</v>
      </c>
      <c r="B68" s="8" t="s">
        <v>137</v>
      </c>
      <c r="C68" s="86">
        <v>0.93067566666666668</v>
      </c>
      <c r="D68" s="86">
        <v>1.101936</v>
      </c>
      <c r="E68" s="86">
        <v>0.44273200000000001</v>
      </c>
      <c r="F68" s="7" t="s">
        <v>18</v>
      </c>
      <c r="G68" s="83"/>
      <c r="H68" s="83"/>
      <c r="I68" s="83"/>
      <c r="J68" s="49"/>
      <c r="M68" s="83"/>
      <c r="N68" s="83"/>
      <c r="O68" s="83"/>
    </row>
    <row r="69" spans="1:15" x14ac:dyDescent="0.3">
      <c r="A69" s="24" t="s">
        <v>198</v>
      </c>
      <c r="B69" s="25" t="s">
        <v>131</v>
      </c>
      <c r="C69" s="85">
        <v>0.91780960000000011</v>
      </c>
      <c r="D69" s="85">
        <v>-0.1443065</v>
      </c>
      <c r="E69" s="85">
        <v>-0.15231039999999998</v>
      </c>
      <c r="F69" s="9" t="s">
        <v>223</v>
      </c>
      <c r="G69" s="83"/>
      <c r="H69" s="83"/>
      <c r="I69" s="83"/>
      <c r="J69" s="49"/>
      <c r="M69" s="83"/>
      <c r="N69" s="83"/>
      <c r="O69" s="83"/>
    </row>
    <row r="70" spans="1:15" x14ac:dyDescent="0.3">
      <c r="A70" s="6" t="s">
        <v>211</v>
      </c>
      <c r="B70" s="8" t="s">
        <v>144</v>
      </c>
      <c r="C70" s="86">
        <v>0.8996600555555555</v>
      </c>
      <c r="D70" s="86">
        <v>-2.1796115</v>
      </c>
      <c r="E70" s="86">
        <v>-2.202353</v>
      </c>
      <c r="F70" s="7" t="s">
        <v>15</v>
      </c>
      <c r="G70" s="83"/>
      <c r="H70" s="83"/>
      <c r="I70" s="83"/>
      <c r="J70" s="49"/>
      <c r="M70" s="83"/>
      <c r="N70" s="83"/>
      <c r="O70" s="83"/>
    </row>
    <row r="71" spans="1:15" x14ac:dyDescent="0.3">
      <c r="A71" s="24" t="s">
        <v>181</v>
      </c>
      <c r="B71" s="25" t="s">
        <v>120</v>
      </c>
      <c r="C71" s="85">
        <v>0.88126938888888884</v>
      </c>
      <c r="D71" s="85">
        <v>0.53604949999999996</v>
      </c>
      <c r="E71" s="85">
        <v>0.220751</v>
      </c>
      <c r="F71" s="9" t="s">
        <v>14</v>
      </c>
      <c r="G71" s="83"/>
      <c r="H71" s="83"/>
      <c r="I71" s="83"/>
      <c r="J71" s="49"/>
      <c r="M71" s="83"/>
      <c r="N71" s="83"/>
      <c r="O71" s="83"/>
    </row>
    <row r="72" spans="1:15" x14ac:dyDescent="0.3">
      <c r="A72" s="6" t="s">
        <v>217</v>
      </c>
      <c r="B72" s="8" t="s">
        <v>99</v>
      </c>
      <c r="C72" s="86">
        <v>0.86465792755000004</v>
      </c>
      <c r="D72" s="86">
        <v>0.55056750004999999</v>
      </c>
      <c r="E72" s="86">
        <v>0.16246097904999998</v>
      </c>
      <c r="F72" s="7" t="s">
        <v>18</v>
      </c>
      <c r="G72" s="83"/>
      <c r="H72" s="83"/>
      <c r="I72" s="83"/>
      <c r="J72" s="49"/>
      <c r="M72" s="83"/>
      <c r="N72" s="83"/>
      <c r="O72" s="83"/>
    </row>
    <row r="73" spans="1:15" x14ac:dyDescent="0.3">
      <c r="A73" s="24" t="s">
        <v>206</v>
      </c>
      <c r="B73" s="25" t="s">
        <v>139</v>
      </c>
      <c r="C73" s="85">
        <v>0.83907322222222225</v>
      </c>
      <c r="D73" s="85">
        <v>-0.878328</v>
      </c>
      <c r="E73" s="85">
        <v>-2.1120000000000052E-2</v>
      </c>
      <c r="F73" s="9" t="s">
        <v>220</v>
      </c>
      <c r="G73" s="83"/>
      <c r="H73" s="83"/>
      <c r="I73" s="83"/>
      <c r="J73" s="49"/>
      <c r="M73" s="83"/>
      <c r="N73" s="83"/>
      <c r="O73" s="83"/>
    </row>
    <row r="74" spans="1:15" x14ac:dyDescent="0.3">
      <c r="A74" s="6" t="s">
        <v>197</v>
      </c>
      <c r="B74" s="8" t="s">
        <v>98</v>
      </c>
      <c r="C74" s="86">
        <v>0.82440526718444451</v>
      </c>
      <c r="D74" s="86">
        <v>0.76307854501999994</v>
      </c>
      <c r="E74" s="86">
        <v>0.38848905894000002</v>
      </c>
      <c r="F74" s="7" t="s">
        <v>15</v>
      </c>
      <c r="G74" s="83"/>
      <c r="H74" s="83"/>
      <c r="I74" s="83"/>
      <c r="J74" s="49"/>
      <c r="M74" s="83"/>
      <c r="N74" s="83"/>
      <c r="O74" s="83"/>
    </row>
    <row r="75" spans="1:15" x14ac:dyDescent="0.3">
      <c r="A75" s="24" t="s">
        <v>218</v>
      </c>
      <c r="B75" s="25" t="s">
        <v>149</v>
      </c>
      <c r="C75" s="85">
        <v>0.82433604625555557</v>
      </c>
      <c r="D75" s="85">
        <v>-1.0108994971</v>
      </c>
      <c r="E75" s="85">
        <v>-0.71707438899999998</v>
      </c>
      <c r="F75" s="9" t="s">
        <v>18</v>
      </c>
      <c r="G75" s="83"/>
      <c r="H75" s="83"/>
      <c r="I75" s="83"/>
      <c r="J75" s="49"/>
      <c r="M75" s="83"/>
      <c r="N75" s="83"/>
      <c r="O75" s="83"/>
    </row>
    <row r="76" spans="1:15" x14ac:dyDescent="0.3">
      <c r="A76" s="6" t="s">
        <v>215</v>
      </c>
      <c r="B76" s="8" t="s">
        <v>147</v>
      </c>
      <c r="C76" s="86">
        <v>0.81464022222222221</v>
      </c>
      <c r="D76" s="86">
        <v>-1.0580879999999999</v>
      </c>
      <c r="E76" s="86">
        <v>-1.178107</v>
      </c>
      <c r="F76" s="7" t="s">
        <v>12</v>
      </c>
      <c r="G76" s="83"/>
      <c r="H76" s="83"/>
      <c r="I76" s="83"/>
      <c r="J76" s="49"/>
      <c r="M76" s="83"/>
      <c r="N76" s="83"/>
      <c r="O76" s="83"/>
    </row>
    <row r="77" spans="1:15" x14ac:dyDescent="0.3">
      <c r="A77" s="24" t="s">
        <v>185</v>
      </c>
      <c r="B77" s="25" t="s">
        <v>122</v>
      </c>
      <c r="C77" s="85">
        <v>0.80840866666666666</v>
      </c>
      <c r="D77" s="85">
        <v>-1.1779219999999999</v>
      </c>
      <c r="E77" s="85">
        <v>-0.88430699999999995</v>
      </c>
      <c r="F77" s="9" t="s">
        <v>222</v>
      </c>
      <c r="G77" s="83"/>
      <c r="H77" s="83"/>
      <c r="I77" s="83"/>
      <c r="J77" s="49"/>
      <c r="M77" s="83"/>
      <c r="N77" s="83"/>
      <c r="O77" s="83"/>
    </row>
    <row r="78" spans="1:15" x14ac:dyDescent="0.3">
      <c r="A78" s="6" t="s">
        <v>103</v>
      </c>
      <c r="B78" s="8" t="s">
        <v>102</v>
      </c>
      <c r="C78" s="86">
        <v>0.79427104444444452</v>
      </c>
      <c r="D78" s="86">
        <v>-1.2086215</v>
      </c>
      <c r="E78" s="86">
        <v>0.146061</v>
      </c>
      <c r="F78" s="7" t="s">
        <v>12</v>
      </c>
      <c r="G78" s="83"/>
      <c r="H78" s="83"/>
      <c r="I78" s="83"/>
      <c r="J78" s="49"/>
      <c r="M78" s="83"/>
      <c r="N78" s="83"/>
      <c r="O78" s="83"/>
    </row>
    <row r="79" spans="1:15" x14ac:dyDescent="0.3">
      <c r="A79" s="24" t="s">
        <v>235</v>
      </c>
      <c r="B79" s="25" t="s">
        <v>236</v>
      </c>
      <c r="C79" s="85">
        <v>0.75225255555555548</v>
      </c>
      <c r="D79" s="85">
        <v>-0.18482199999999999</v>
      </c>
      <c r="E79" s="85">
        <v>-0.36573650000000002</v>
      </c>
      <c r="F79" s="9" t="s">
        <v>221</v>
      </c>
      <c r="G79" s="83"/>
      <c r="H79" s="83"/>
      <c r="I79" s="83"/>
      <c r="J79" s="49"/>
      <c r="M79" s="83"/>
      <c r="N79" s="83"/>
      <c r="O79" s="83"/>
    </row>
    <row r="80" spans="1:15" x14ac:dyDescent="0.3">
      <c r="A80" s="6" t="s">
        <v>233</v>
      </c>
      <c r="B80" s="8" t="s">
        <v>234</v>
      </c>
      <c r="C80" s="86">
        <v>0.74108192222222224</v>
      </c>
      <c r="D80" s="86">
        <v>0.27613199999999999</v>
      </c>
      <c r="E80" s="86">
        <v>0.26898650000000002</v>
      </c>
      <c r="F80" s="7" t="s">
        <v>18</v>
      </c>
      <c r="G80" s="83"/>
      <c r="H80" s="83"/>
      <c r="I80" s="83"/>
      <c r="J80" s="49"/>
      <c r="M80" s="83"/>
      <c r="N80" s="83"/>
      <c r="O80" s="83"/>
    </row>
    <row r="81" spans="1:15" x14ac:dyDescent="0.3">
      <c r="A81" s="24" t="s">
        <v>186</v>
      </c>
      <c r="B81" s="25" t="s">
        <v>123</v>
      </c>
      <c r="C81" s="85">
        <v>0.70094066666666666</v>
      </c>
      <c r="D81" s="85">
        <v>-0.14768600000000001</v>
      </c>
      <c r="E81" s="85">
        <v>-0.11311</v>
      </c>
      <c r="F81" s="9" t="s">
        <v>11</v>
      </c>
      <c r="G81" s="83"/>
      <c r="H81" s="83"/>
      <c r="I81" s="83"/>
      <c r="J81" s="49"/>
      <c r="M81" s="83"/>
      <c r="N81" s="83"/>
      <c r="O81" s="83"/>
    </row>
    <row r="82" spans="1:15" x14ac:dyDescent="0.3">
      <c r="A82" s="6" t="s">
        <v>246</v>
      </c>
      <c r="B82" s="8" t="s">
        <v>247</v>
      </c>
      <c r="C82" s="86">
        <v>0.62187547777777774</v>
      </c>
      <c r="D82" s="86">
        <v>-0.1541708</v>
      </c>
      <c r="E82" s="86">
        <v>-1.7084499999999999E-2</v>
      </c>
      <c r="F82" s="7" t="s">
        <v>222</v>
      </c>
      <c r="G82" s="83"/>
      <c r="H82" s="83"/>
      <c r="I82" s="83"/>
      <c r="J82" s="49"/>
      <c r="M82" s="83"/>
      <c r="N82" s="83"/>
      <c r="O82" s="83"/>
    </row>
    <row r="83" spans="1:15" x14ac:dyDescent="0.3">
      <c r="A83" s="24" t="s">
        <v>270</v>
      </c>
      <c r="B83" s="25" t="s">
        <v>271</v>
      </c>
      <c r="C83" s="85">
        <v>0.58438342222222217</v>
      </c>
      <c r="D83" s="85">
        <v>-5.8174800000000006E-2</v>
      </c>
      <c r="E83" s="85">
        <v>-3.9006900000000004E-2</v>
      </c>
      <c r="F83" s="9" t="s">
        <v>15</v>
      </c>
      <c r="G83" s="83"/>
      <c r="H83" s="83"/>
      <c r="I83" s="83"/>
      <c r="J83" s="49"/>
      <c r="M83" s="83"/>
      <c r="N83" s="83"/>
      <c r="O83" s="83"/>
    </row>
    <row r="84" spans="1:15" x14ac:dyDescent="0.3">
      <c r="A84" s="6" t="s">
        <v>252</v>
      </c>
      <c r="B84" s="8" t="s">
        <v>253</v>
      </c>
      <c r="C84" s="86">
        <v>0.57664213333333325</v>
      </c>
      <c r="D84" s="86">
        <v>-3.8333400000000004E-2</v>
      </c>
      <c r="E84" s="86">
        <v>-3.3790000000000048E-3</v>
      </c>
      <c r="F84" s="7" t="s">
        <v>14</v>
      </c>
      <c r="G84" s="83"/>
      <c r="H84" s="83"/>
      <c r="I84" s="83"/>
      <c r="J84" s="49"/>
      <c r="M84" s="83"/>
      <c r="N84" s="83"/>
      <c r="O84" s="83"/>
    </row>
    <row r="85" spans="1:15" x14ac:dyDescent="0.3">
      <c r="A85" s="24" t="s">
        <v>203</v>
      </c>
      <c r="B85" s="25" t="s">
        <v>136</v>
      </c>
      <c r="C85" s="85">
        <v>0.54292661111111118</v>
      </c>
      <c r="D85" s="85">
        <v>-1.2570515</v>
      </c>
      <c r="E85" s="85">
        <v>-0.99137299999999995</v>
      </c>
      <c r="F85" s="9" t="s">
        <v>18</v>
      </c>
      <c r="G85" s="83"/>
      <c r="H85" s="83"/>
      <c r="I85" s="83"/>
      <c r="J85" s="49"/>
      <c r="M85" s="83"/>
      <c r="N85" s="83"/>
      <c r="O85" s="83"/>
    </row>
    <row r="86" spans="1:15" x14ac:dyDescent="0.3">
      <c r="A86" s="6" t="s">
        <v>213</v>
      </c>
      <c r="B86" s="8" t="s">
        <v>146</v>
      </c>
      <c r="C86" s="86">
        <v>0.53387655555555547</v>
      </c>
      <c r="D86" s="86">
        <v>-0.60151250000000001</v>
      </c>
      <c r="E86" s="86">
        <v>-0.47497099999999998</v>
      </c>
      <c r="F86" s="7" t="s">
        <v>18</v>
      </c>
      <c r="G86" s="83"/>
      <c r="H86" s="83"/>
      <c r="I86" s="83"/>
      <c r="J86" s="49"/>
      <c r="M86" s="83"/>
      <c r="N86" s="83"/>
      <c r="O86" s="83"/>
    </row>
    <row r="87" spans="1:15" x14ac:dyDescent="0.3">
      <c r="A87" s="24" t="s">
        <v>272</v>
      </c>
      <c r="B87" s="25" t="s">
        <v>273</v>
      </c>
      <c r="C87" s="85">
        <v>0.49142092222222222</v>
      </c>
      <c r="D87" s="85">
        <v>-0.20720350000000001</v>
      </c>
      <c r="E87" s="85">
        <v>-0.15754199999999999</v>
      </c>
      <c r="F87" s="9" t="s">
        <v>15</v>
      </c>
      <c r="G87" s="83"/>
      <c r="H87" s="83"/>
      <c r="I87" s="83"/>
      <c r="J87" s="49"/>
      <c r="M87" s="83"/>
      <c r="N87" s="83"/>
      <c r="O87" s="83"/>
    </row>
    <row r="88" spans="1:15" x14ac:dyDescent="0.3">
      <c r="A88" s="6" t="s">
        <v>248</v>
      </c>
      <c r="B88" s="8" t="s">
        <v>249</v>
      </c>
      <c r="C88" s="86">
        <v>0.4898714555555555</v>
      </c>
      <c r="D88" s="86">
        <v>-0.67600169999999993</v>
      </c>
      <c r="E88" s="86">
        <v>-6.0298699999999997E-2</v>
      </c>
      <c r="F88" s="7" t="s">
        <v>17</v>
      </c>
      <c r="G88" s="83"/>
      <c r="H88" s="83"/>
      <c r="I88" s="83"/>
      <c r="J88" s="49"/>
      <c r="M88" s="83"/>
      <c r="N88" s="83"/>
      <c r="O88" s="83"/>
    </row>
    <row r="89" spans="1:15" x14ac:dyDescent="0.3">
      <c r="A89" s="24" t="s">
        <v>274</v>
      </c>
      <c r="B89" s="25" t="s">
        <v>275</v>
      </c>
      <c r="C89" s="85">
        <v>0.48387569010000003</v>
      </c>
      <c r="D89" s="85">
        <v>1.4862445630999999</v>
      </c>
      <c r="E89" s="85">
        <v>0.98439495220000006</v>
      </c>
      <c r="F89" s="9" t="s">
        <v>222</v>
      </c>
      <c r="G89" s="83"/>
      <c r="H89" s="83"/>
      <c r="I89" s="83"/>
      <c r="J89" s="49"/>
      <c r="M89" s="83"/>
      <c r="N89" s="83"/>
      <c r="O89" s="83"/>
    </row>
    <row r="90" spans="1:15" x14ac:dyDescent="0.3">
      <c r="A90" s="6" t="s">
        <v>228</v>
      </c>
      <c r="B90" s="8" t="s">
        <v>229</v>
      </c>
      <c r="C90" s="86">
        <v>0.45576716666666667</v>
      </c>
      <c r="D90" s="86">
        <v>1.085E-3</v>
      </c>
      <c r="E90" s="86">
        <v>-4.5561999999999998E-2</v>
      </c>
      <c r="F90" s="7" t="s">
        <v>17</v>
      </c>
      <c r="G90" s="83"/>
      <c r="H90" s="83"/>
      <c r="I90" s="83"/>
      <c r="J90" s="49"/>
      <c r="M90" s="83"/>
      <c r="N90" s="83"/>
      <c r="O90" s="83"/>
    </row>
    <row r="91" spans="1:15" x14ac:dyDescent="0.3">
      <c r="A91" s="24" t="s">
        <v>276</v>
      </c>
      <c r="B91" s="25" t="s">
        <v>277</v>
      </c>
      <c r="C91" s="85">
        <v>0.43577472222222219</v>
      </c>
      <c r="D91" s="85">
        <v>-0.24008850000000001</v>
      </c>
      <c r="E91" s="85">
        <v>-0.23442550000000001</v>
      </c>
      <c r="F91" s="9" t="s">
        <v>17</v>
      </c>
      <c r="G91" s="83"/>
      <c r="H91" s="83"/>
      <c r="I91" s="83"/>
      <c r="J91" s="49"/>
      <c r="M91" s="83"/>
      <c r="N91" s="83"/>
      <c r="O91" s="83"/>
    </row>
    <row r="92" spans="1:15" x14ac:dyDescent="0.3">
      <c r="A92" s="6" t="s">
        <v>238</v>
      </c>
      <c r="B92" s="8" t="s">
        <v>239</v>
      </c>
      <c r="C92" s="86">
        <v>0.43166507777777779</v>
      </c>
      <c r="D92" s="86">
        <v>-1.1014820000000001</v>
      </c>
      <c r="E92" s="86">
        <v>-0.76752949999999998</v>
      </c>
      <c r="F92" s="7" t="s">
        <v>221</v>
      </c>
      <c r="G92" s="83"/>
      <c r="H92" s="83"/>
      <c r="I92" s="83"/>
      <c r="J92" s="49"/>
      <c r="M92" s="83"/>
      <c r="N92" s="83"/>
      <c r="O92" s="83"/>
    </row>
    <row r="93" spans="1:15" x14ac:dyDescent="0.3">
      <c r="A93" s="24" t="s">
        <v>256</v>
      </c>
      <c r="B93" s="25" t="s">
        <v>257</v>
      </c>
      <c r="C93" s="85">
        <v>0.40803598888888892</v>
      </c>
      <c r="D93" s="85">
        <v>0.1370509</v>
      </c>
      <c r="E93" s="85">
        <v>6.4565400000000009E-2</v>
      </c>
      <c r="F93" s="9" t="s">
        <v>223</v>
      </c>
      <c r="G93" s="83"/>
      <c r="H93" s="83"/>
      <c r="I93" s="83"/>
      <c r="J93" s="49"/>
      <c r="M93" s="83"/>
      <c r="N93" s="83"/>
      <c r="O93" s="83"/>
    </row>
    <row r="94" spans="1:15" x14ac:dyDescent="0.3">
      <c r="A94" s="6" t="s">
        <v>250</v>
      </c>
      <c r="B94" s="8" t="s">
        <v>251</v>
      </c>
      <c r="C94" s="86">
        <v>0.39937897777777781</v>
      </c>
      <c r="D94" s="86">
        <v>6.9436999999999997E-3</v>
      </c>
      <c r="E94" s="86">
        <v>4.1203000000000004E-3</v>
      </c>
      <c r="F94" s="7" t="s">
        <v>15</v>
      </c>
      <c r="G94" s="83"/>
      <c r="H94" s="83"/>
      <c r="I94" s="83"/>
      <c r="J94" s="49"/>
      <c r="M94" s="83"/>
      <c r="N94" s="83"/>
      <c r="O94" s="83"/>
    </row>
    <row r="95" spans="1:15" x14ac:dyDescent="0.3">
      <c r="A95" s="24" t="s">
        <v>209</v>
      </c>
      <c r="B95" s="25" t="s">
        <v>142</v>
      </c>
      <c r="C95" s="85">
        <v>0.39555094444444439</v>
      </c>
      <c r="D95" s="85">
        <v>0.16903000000000001</v>
      </c>
      <c r="E95" s="85">
        <v>0.3157085</v>
      </c>
      <c r="F95" s="9" t="s">
        <v>18</v>
      </c>
      <c r="G95" s="83"/>
      <c r="H95" s="83"/>
      <c r="I95" s="83"/>
      <c r="J95" s="49"/>
      <c r="M95" s="83"/>
      <c r="N95" s="83"/>
      <c r="O95" s="83"/>
    </row>
    <row r="96" spans="1:15" x14ac:dyDescent="0.3">
      <c r="A96" s="6" t="s">
        <v>202</v>
      </c>
      <c r="B96" s="8" t="s">
        <v>135</v>
      </c>
      <c r="C96" s="86">
        <v>0.39158266666666669</v>
      </c>
      <c r="D96" s="86">
        <v>-7.6711500000000002E-2</v>
      </c>
      <c r="E96" s="86">
        <v>-2.0324999999999999E-2</v>
      </c>
      <c r="F96" s="7" t="s">
        <v>221</v>
      </c>
      <c r="G96" s="83"/>
      <c r="H96" s="83"/>
      <c r="I96" s="83"/>
      <c r="J96" s="49"/>
      <c r="M96" s="83"/>
      <c r="N96" s="83"/>
      <c r="O96" s="83"/>
    </row>
    <row r="97" spans="1:15" x14ac:dyDescent="0.3">
      <c r="A97" s="24" t="s">
        <v>216</v>
      </c>
      <c r="B97" s="25" t="s">
        <v>148</v>
      </c>
      <c r="C97" s="85">
        <v>0.38002811111111112</v>
      </c>
      <c r="D97" s="85">
        <v>0.15303399999999992</v>
      </c>
      <c r="E97" s="85">
        <v>5.5437999999999973E-2</v>
      </c>
      <c r="F97" s="9" t="s">
        <v>12</v>
      </c>
      <c r="G97" s="83"/>
      <c r="H97" s="83"/>
      <c r="I97" s="83"/>
      <c r="J97" s="49"/>
      <c r="M97" s="83"/>
      <c r="N97" s="83"/>
      <c r="O97" s="83"/>
    </row>
    <row r="98" spans="1:15" x14ac:dyDescent="0.3">
      <c r="A98" s="6" t="s">
        <v>278</v>
      </c>
      <c r="B98" s="8" t="s">
        <v>91</v>
      </c>
      <c r="C98" s="86">
        <v>0.3799284444444444</v>
      </c>
      <c r="D98" s="86">
        <v>-0.8941635</v>
      </c>
      <c r="E98" s="86">
        <v>-0.81924699999999995</v>
      </c>
      <c r="F98" s="7" t="s">
        <v>12</v>
      </c>
      <c r="G98" s="83"/>
      <c r="H98" s="83"/>
      <c r="I98" s="83"/>
      <c r="J98" s="49"/>
      <c r="M98" s="83"/>
      <c r="N98" s="83"/>
      <c r="O98" s="83"/>
    </row>
    <row r="99" spans="1:15" x14ac:dyDescent="0.3">
      <c r="A99" s="24" t="s">
        <v>258</v>
      </c>
      <c r="B99" s="25" t="s">
        <v>259</v>
      </c>
      <c r="C99" s="85">
        <v>0.37141800000000003</v>
      </c>
      <c r="D99" s="85">
        <v>-0.50159100000000001</v>
      </c>
      <c r="E99" s="85">
        <v>-0.138486</v>
      </c>
      <c r="F99" s="9" t="s">
        <v>17</v>
      </c>
      <c r="G99" s="83"/>
      <c r="H99" s="83"/>
      <c r="I99" s="83"/>
      <c r="J99" s="49"/>
      <c r="M99" s="83"/>
      <c r="N99" s="83"/>
      <c r="O99" s="83"/>
    </row>
    <row r="100" spans="1:15" x14ac:dyDescent="0.3">
      <c r="A100" s="6" t="s">
        <v>219</v>
      </c>
      <c r="B100" s="8" t="s">
        <v>150</v>
      </c>
      <c r="C100" s="86">
        <v>0.35086514444444439</v>
      </c>
      <c r="D100" s="86">
        <v>-5.8164199999999999E-2</v>
      </c>
      <c r="E100" s="86">
        <v>9.5168200000000008E-2</v>
      </c>
      <c r="F100" s="7" t="s">
        <v>15</v>
      </c>
      <c r="G100" s="83"/>
      <c r="H100" s="83"/>
      <c r="I100" s="83"/>
      <c r="J100" s="49"/>
      <c r="M100" s="83"/>
      <c r="N100" s="83"/>
      <c r="O100" s="83"/>
    </row>
    <row r="101" spans="1:15" x14ac:dyDescent="0.3">
      <c r="A101" s="59" t="s">
        <v>254</v>
      </c>
      <c r="B101" s="60" t="s">
        <v>255</v>
      </c>
      <c r="C101" s="87">
        <v>0.34725316666666667</v>
      </c>
      <c r="D101" s="87">
        <v>0.542188</v>
      </c>
      <c r="E101" s="87">
        <v>0.10925600000000001</v>
      </c>
      <c r="F101" s="10" t="s">
        <v>221</v>
      </c>
      <c r="G101" s="83"/>
      <c r="H101" s="83"/>
      <c r="I101" s="83"/>
      <c r="J101" s="49"/>
      <c r="M101" s="83"/>
      <c r="N101" s="83"/>
      <c r="O101" s="83"/>
    </row>
    <row r="102" spans="1:15" x14ac:dyDescent="0.3">
      <c r="A102" s="56"/>
      <c r="B102" s="11"/>
      <c r="C102" s="11"/>
      <c r="D102" s="57"/>
      <c r="E102" s="57"/>
      <c r="F102" s="57"/>
      <c r="H102" s="48"/>
      <c r="J102" s="49"/>
    </row>
    <row r="104" spans="1:15" x14ac:dyDescent="0.3">
      <c r="A104" s="12" t="s">
        <v>69</v>
      </c>
    </row>
    <row r="105" spans="1:15" x14ac:dyDescent="0.3">
      <c r="A105" s="12" t="s">
        <v>84</v>
      </c>
    </row>
    <row r="106" spans="1:15" x14ac:dyDescent="0.3">
      <c r="A106" s="12" t="s">
        <v>226</v>
      </c>
    </row>
    <row r="107" spans="1:15" x14ac:dyDescent="0.3">
      <c r="A107" s="12" t="s">
        <v>225</v>
      </c>
    </row>
    <row r="108" spans="1:15" x14ac:dyDescent="0.3">
      <c r="A108" s="12" t="s">
        <v>237</v>
      </c>
    </row>
    <row r="109" spans="1:15" x14ac:dyDescent="0.3">
      <c r="A109" s="12" t="s">
        <v>77</v>
      </c>
    </row>
  </sheetData>
  <conditionalFormatting sqref="D2:E101">
    <cfRule type="cellIs" dxfId="0" priority="1" operator="lessThan">
      <formula>0</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2024-01-15T06:59:50Z</dcterms:modified>
</cp:coreProperties>
</file>