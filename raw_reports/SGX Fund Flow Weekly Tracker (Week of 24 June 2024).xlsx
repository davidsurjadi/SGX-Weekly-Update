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D54CDDC7-0539-40B9-8CBC-3DBB9795EB49}" xr6:coauthVersionLast="47" xr6:coauthVersionMax="47" xr10:uidLastSave="{00000000-0000-0000-0000-000000000000}"/>
  <bookViews>
    <workbookView xWindow="-90" yWindow="-16320" windowWidth="29040" windowHeight="15840" activeTab="4"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A6" i="2"/>
  <c r="D32" i="4"/>
  <c r="C32" i="4"/>
  <c r="A5" i="2" l="1"/>
  <c r="A4" i="2"/>
  <c r="A3" i="2"/>
  <c r="A3" i="3"/>
  <c r="A4" i="3"/>
  <c r="A5" i="3"/>
  <c r="A6" i="3" l="1"/>
  <c r="A1" i="4" l="1"/>
  <c r="C18" i="1" l="1"/>
  <c r="F18" i="1" s="1"/>
  <c r="F5" i="1"/>
</calcChain>
</file>

<file path=xl/sharedStrings.xml><?xml version="1.0" encoding="utf-8"?>
<sst xmlns="http://schemas.openxmlformats.org/spreadsheetml/2006/main" count="517" uniqueCount="288">
  <si>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</si>
  <si>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</si>
  <si>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</si>
  <si>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</si>
  <si>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</si>
  <si>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</si>
  <si>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</si>
  <si>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</si>
  <si>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</si>
  <si>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</si>
  <si>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</si>
  <si>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</si>
  <si>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</si>
  <si>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</si>
  <si>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</si>
  <si>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</si>
  <si>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</si>
  <si>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</si>
  <si>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</si>
  <si>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</si>
  <si>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</si>
  <si>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</si>
  <si>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</si>
  <si>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</si>
  <si>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</si>
  <si>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</si>
  <si>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</si>
  <si>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</si>
  <si>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</si>
  <si>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</si>
  <si>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</si>
  <si>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</si>
  <si>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</si>
  <si>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</si>
  <si>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</si>
  <si>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</si>
  <si>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</si>
  <si>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</si>
  <si>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</si>
  <si>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</si>
  <si>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</si>
  <si>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</si>
  <si>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</si>
  <si>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</si>
  <si>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</si>
  <si>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</si>
  <si>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</si>
  <si>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</si>
  <si>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</si>
  <si>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</si>
  <si>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</si>
  <si>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</si>
  <si>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</si>
  <si>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</si>
  <si>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</si>
  <si>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</si>
  <si>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</si>
  <si>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</si>
  <si>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</si>
  <si>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</si>
  <si>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</si>
  <si>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</si>
  <si>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</si>
  <si>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</si>
  <si>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</si>
  <si>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</si>
  <si>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</si>
  <si>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</si>
  <si>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</si>
  <si>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</si>
  <si>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</si>
  <si>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</si>
  <si>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</si>
  <si>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</si>
  <si>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</si>
  <si>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</si>
  <si>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</si>
  <si>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</si>
  <si>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</si>
  <si>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</si>
  <si>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</si>
  <si>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</si>
  <si>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</si>
  <si>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</si>
  <si>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</si>
  <si>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</si>
  <si>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</si>
  <si>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</si>
  <si>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</si>
  <si>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</si>
  <si>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</si>
  <si>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</si>
  <si>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</si>
  <si>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</si>
  <si>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</si>
  <si>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</si>
  <si>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</si>
  <si>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</si>
  <si>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</si>
  <si>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</si>
  <si>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</si>
  <si>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</si>
  <si>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</si>
  <si>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</si>
  <si>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</si>
  <si>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</si>
  <si>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</si>
  <si>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</si>
  <si>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</si>
  <si>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</si>
  <si>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</si>
  <si>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</si>
  <si>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</si>
  <si>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</si>
  <si>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</si>
  <si>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</si>
  <si>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</si>
  <si>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</si>
  <si>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</si>
  <si>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</si>
  <si>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</si>
  <si>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</si>
  <si>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</si>
  <si>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</si>
  <si>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</si>
  <si>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</si>
  <si>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</si>
  <si>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</si>
  <si>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</si>
  <si>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</si>
  <si>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</si>
  <si>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</si>
  <si>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</si>
  <si>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</si>
  <si>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</si>
  <si>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</si>
  <si>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</si>
  <si>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</si>
  <si>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</si>
  <si>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</si>
  <si>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</si>
  <si>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</si>
  <si>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</si>
  <si>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</si>
  <si>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</si>
  <si>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</si>
  <si>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</si>
  <si>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</si>
  <si>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</si>
  <si>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</si>
  <si>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</si>
  <si>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</si>
  <si>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</si>
  <si>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</si>
  <si>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</si>
  <si>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</si>
  <si>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</si>
  <si>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</si>
  <si>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</si>
  <si>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</si>
  <si>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</si>
  <si>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</si>
  <si>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</si>
  <si>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</si>
  <si>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</si>
  <si>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</si>
  <si>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</si>
  <si>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</si>
  <si>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</si>
  <si>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</si>
  <si>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</si>
  <si>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</si>
  <si>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</si>
  <si>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</si>
  <si>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</si>
  <si>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</si>
  <si>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</si>
  <si>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</si>
  <si>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</si>
  <si>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</si>
  <si>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</si>
  <si>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</si>
  <si>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</si>
  <si>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</si>
  <si>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</si>
  <si>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</si>
  <si>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</si>
  <si>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</si>
  <si>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</si>
  <si>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</si>
  <si>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</si>
  <si>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</si>
  <si>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</si>
  <si>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</si>
  <si>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</si>
  <si>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</si>
  <si>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</si>
  <si>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</si>
  <si>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</si>
  <si>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</si>
  <si>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</si>
  <si>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</si>
  <si>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</si>
  <si>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</si>
  <si>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</si>
  <si>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</si>
  <si>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</si>
  <si>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</si>
  <si>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</si>
  <si>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</si>
  <si>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</si>
  <si>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</si>
  <si>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</si>
  <si>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</si>
  <si>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</si>
  <si>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</si>
  <si>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</si>
  <si>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</si>
  <si>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</si>
  <si>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</si>
  <si>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</si>
  <si>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</si>
  <si>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</si>
  <si>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</si>
  <si>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</si>
  <si>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</si>
  <si>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</si>
  <si>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</si>
  <si>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</si>
  <si>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</si>
  <si>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</si>
  <si>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</si>
  <si>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</si>
  <si>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</si>
  <si>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</si>
  <si>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</si>
  <si>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</si>
  <si>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</si>
  <si>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</si>
  <si>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</si>
  <si>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</si>
  <si>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</si>
  <si>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</si>
  <si>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</si>
  <si>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</si>
  <si>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</si>
  <si>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</si>
  <si>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</si>
  <si>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</si>
  <si>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</si>
  <si>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</si>
  <si>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</si>
  <si>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</si>
  <si>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</si>
  <si>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</si>
  <si>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</si>
  <si>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</si>
  <si>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</si>
  <si>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</si>
  <si>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</si>
  <si>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</si>
  <si>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</si>
  <si>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</si>
  <si>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</si>
  <si>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</si>
  <si>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</si>
  <si>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</si>
  <si>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558</t>
  </si>
  <si>
    <t xml:space="preserve">Jardine Cycle &amp; Carriage </t>
  </si>
  <si>
    <t xml:space="preserve">Seatrium </t>
  </si>
  <si>
    <t xml:space="preserve">Sembcorp Industries </t>
  </si>
  <si>
    <t xml:space="preserve">Venture Corporation </t>
  </si>
  <si>
    <t xml:space="preserve">City Developments </t>
  </si>
  <si>
    <t xml:space="preserve">Genting Singapore </t>
  </si>
  <si>
    <t xml:space="preserve">CapitaLand Investment </t>
  </si>
  <si>
    <t>Week of 24 June 2024</t>
  </si>
  <si>
    <r>
      <t xml:space="preserve">Institutional investors net </t>
    </r>
    <r>
      <rPr>
        <b/>
        <sz val="11"/>
        <rFont val="Arial"/>
        <family val="2"/>
      </rPr>
      <t>sell</t>
    </r>
    <r>
      <rPr>
        <sz val="11"/>
        <rFont val="Arial"/>
        <family val="2"/>
      </rPr>
      <t xml:space="preserve"> (-S$117.3m) vs. (-S$121.9m) a week ago</t>
    </r>
  </si>
  <si>
    <r>
      <t xml:space="preserve">Retail investors net </t>
    </r>
    <r>
      <rPr>
        <b/>
        <sz val="11"/>
        <rFont val="Arial"/>
        <family val="2"/>
      </rPr>
      <t>sell</t>
    </r>
    <r>
      <rPr>
        <sz val="11"/>
        <rFont val="Arial"/>
        <family val="2"/>
      </rPr>
      <t xml:space="preserve"> (-S$92.5m) vs. (+S$71.9m) a week ago</t>
    </r>
  </si>
  <si>
    <t xml:space="preserve">Wilmar International </t>
  </si>
  <si>
    <t xml:space="preserve">Frencken Group </t>
  </si>
  <si>
    <t xml:space="preserve">Thai Beverage </t>
  </si>
  <si>
    <t xml:space="preserve">ST Engineering </t>
  </si>
  <si>
    <t xml:space="preserve">Hongkong Land </t>
  </si>
  <si>
    <t xml:space="preserve">Yoma Strategic </t>
  </si>
  <si>
    <t xml:space="preserve">Jardine Matheson </t>
  </si>
  <si>
    <t>Valuetronics</t>
  </si>
  <si>
    <t>BN2</t>
  </si>
  <si>
    <t>Seatrium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</si>
</sst>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Border="1" applyAlignment="1">
      <alignment horizontal="right"/>
    </xf>
    <xf numFmtId="164" fontId="0" fillId="0" borderId="0" xfId="0" applyNumberForma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275</v>
      </c>
    </row>
    <row r="2" spans="1:13" x14ac:dyDescent="0.3">
      <c r="A2" s="74" t="s">
        <v>276</v>
      </c>
      <c r="I2" s="52"/>
    </row>
    <row r="3" spans="1:13" x14ac:dyDescent="0.3">
      <c r="A3" s="74" t="s">
        <v>277</v>
      </c>
      <c r="I3" s="52"/>
    </row>
    <row r="5" spans="1:13" ht="29.25" customHeight="1" x14ac:dyDescent="0.3">
      <c r="A5" s="3" t="s">
        <v>0</v>
      </c>
      <c r="B5" s="3" t="s">
        <v>1</v>
      </c>
      <c r="C5" s="4" t="s">
        <v>275</v>
      </c>
      <c r="D5" s="64" t="s">
        <v>2</v>
      </c>
      <c r="E5" s="64" t="s">
        <v>1</v>
      </c>
      <c r="F5" s="65" t="str">
        <f>+C5</f>
        <v>Week of 24 June 2024</v>
      </c>
    </row>
    <row r="6" spans="1:13" ht="14.5" x14ac:dyDescent="0.35">
      <c r="A6" s="34" t="s">
        <v>49</v>
      </c>
      <c r="B6" s="67" t="s">
        <v>47</v>
      </c>
      <c r="C6" s="6">
        <v>83.089414100000013</v>
      </c>
      <c r="D6" s="34" t="s">
        <v>26</v>
      </c>
      <c r="E6" s="67" t="s">
        <v>21</v>
      </c>
      <c r="F6" s="6">
        <v>-73.569456000000002</v>
      </c>
      <c r="K6" s="45"/>
      <c r="L6"/>
      <c r="M6"/>
    </row>
    <row r="7" spans="1:13" ht="14.5" x14ac:dyDescent="0.35">
      <c r="A7" s="35" t="s">
        <v>281</v>
      </c>
      <c r="B7" s="10" t="s">
        <v>37</v>
      </c>
      <c r="C7" s="8">
        <v>36.653545999999999</v>
      </c>
      <c r="D7" s="35" t="s">
        <v>269</v>
      </c>
      <c r="E7" s="10" t="s">
        <v>260</v>
      </c>
      <c r="F7" s="8">
        <v>-36.158679999999997</v>
      </c>
      <c r="K7" s="45"/>
      <c r="L7"/>
      <c r="M7"/>
    </row>
    <row r="8" spans="1:13" ht="14.5" x14ac:dyDescent="0.35">
      <c r="A8" s="36" t="s">
        <v>28</v>
      </c>
      <c r="B8" s="67" t="s">
        <v>23</v>
      </c>
      <c r="C8" s="6">
        <v>26.239879999999999</v>
      </c>
      <c r="D8" s="36" t="s">
        <v>270</v>
      </c>
      <c r="E8" s="67" t="s">
        <v>42</v>
      </c>
      <c r="F8" s="6">
        <v>-28.244613999999999</v>
      </c>
      <c r="K8" s="45"/>
      <c r="L8"/>
      <c r="M8"/>
    </row>
    <row r="9" spans="1:13" ht="14.5" x14ac:dyDescent="0.35">
      <c r="A9" s="35" t="s">
        <v>271</v>
      </c>
      <c r="B9" s="10" t="s">
        <v>43</v>
      </c>
      <c r="C9" s="8">
        <v>6.8011699999999999</v>
      </c>
      <c r="D9" s="35" t="s">
        <v>273</v>
      </c>
      <c r="E9" s="10" t="s">
        <v>35</v>
      </c>
      <c r="F9" s="8">
        <v>-15.296751499999999</v>
      </c>
      <c r="K9" s="45"/>
      <c r="L9"/>
      <c r="M9"/>
    </row>
    <row r="10" spans="1:13" ht="14.5" x14ac:dyDescent="0.35">
      <c r="A10" s="36" t="s">
        <v>79</v>
      </c>
      <c r="B10" s="67" t="s">
        <v>78</v>
      </c>
      <c r="C10" s="6">
        <v>3.6616175000000002</v>
      </c>
      <c r="D10" s="36" t="s">
        <v>272</v>
      </c>
      <c r="E10" s="67" t="s">
        <v>54</v>
      </c>
      <c r="F10" s="6">
        <v>-11.89076</v>
      </c>
      <c r="K10" s="45"/>
      <c r="L10"/>
      <c r="M10"/>
    </row>
    <row r="11" spans="1:13" ht="14.5" x14ac:dyDescent="0.35">
      <c r="A11" s="35" t="s">
        <v>65</v>
      </c>
      <c r="B11" s="10" t="s">
        <v>59</v>
      </c>
      <c r="C11" s="8">
        <v>3.1845530000000002</v>
      </c>
      <c r="D11" s="35" t="s">
        <v>149</v>
      </c>
      <c r="E11" s="10" t="s">
        <v>32</v>
      </c>
      <c r="F11" s="8">
        <v>-11.211986</v>
      </c>
      <c r="K11" s="45"/>
      <c r="L11"/>
      <c r="M11"/>
    </row>
    <row r="12" spans="1:13" ht="14.5" x14ac:dyDescent="0.35">
      <c r="A12" s="36" t="s">
        <v>282</v>
      </c>
      <c r="B12" s="67" t="s">
        <v>55</v>
      </c>
      <c r="C12" s="6">
        <v>3.1286235864999998</v>
      </c>
      <c r="D12" s="36" t="s">
        <v>268</v>
      </c>
      <c r="E12" s="67" t="s">
        <v>48</v>
      </c>
      <c r="F12" s="6">
        <v>-10.978054</v>
      </c>
      <c r="K12" s="45"/>
      <c r="L12"/>
      <c r="M12"/>
    </row>
    <row r="13" spans="1:13" ht="14.5" x14ac:dyDescent="0.35">
      <c r="A13" s="35" t="s">
        <v>27</v>
      </c>
      <c r="B13" s="10" t="s">
        <v>22</v>
      </c>
      <c r="C13" s="8">
        <v>2.922377</v>
      </c>
      <c r="D13" s="35" t="s">
        <v>280</v>
      </c>
      <c r="E13" s="10" t="s">
        <v>51</v>
      </c>
      <c r="F13" s="8">
        <v>-10.6593505</v>
      </c>
      <c r="K13" s="45"/>
      <c r="L13"/>
      <c r="M13"/>
    </row>
    <row r="14" spans="1:13" ht="14.5" x14ac:dyDescent="0.35">
      <c r="A14" s="36" t="s">
        <v>283</v>
      </c>
      <c r="B14" s="67" t="s">
        <v>152</v>
      </c>
      <c r="C14" s="6">
        <v>2.7064300000000001</v>
      </c>
      <c r="D14" s="36" t="s">
        <v>278</v>
      </c>
      <c r="E14" s="67" t="s">
        <v>41</v>
      </c>
      <c r="F14" s="6">
        <v>-9.3800860000000004</v>
      </c>
      <c r="K14" s="45"/>
      <c r="L14"/>
      <c r="M14"/>
    </row>
    <row r="15" spans="1:13" ht="14.5" x14ac:dyDescent="0.35">
      <c r="A15" s="37" t="s">
        <v>279</v>
      </c>
      <c r="B15" s="33" t="s">
        <v>109</v>
      </c>
      <c r="C15" s="9">
        <v>2.6569410000000002</v>
      </c>
      <c r="D15" s="37" t="s">
        <v>75</v>
      </c>
      <c r="E15" s="33" t="s">
        <v>74</v>
      </c>
      <c r="F15" s="9">
        <v>-8.0202659999999995</v>
      </c>
      <c r="K15" s="45"/>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24 June 2024</v>
      </c>
      <c r="D18" s="66" t="s">
        <v>4</v>
      </c>
      <c r="E18" s="64" t="s">
        <v>1</v>
      </c>
      <c r="F18" s="65" t="str">
        <f>+C18</f>
        <v>Week of 24 June 2024</v>
      </c>
    </row>
    <row r="19" spans="1:9" x14ac:dyDescent="0.3">
      <c r="A19" s="61" t="s">
        <v>269</v>
      </c>
      <c r="B19" s="67" t="s">
        <v>260</v>
      </c>
      <c r="C19" s="6">
        <v>47.723638999999999</v>
      </c>
      <c r="D19" s="34" t="s">
        <v>49</v>
      </c>
      <c r="E19" s="67" t="s">
        <v>47</v>
      </c>
      <c r="F19" s="6">
        <v>-73.749561299999996</v>
      </c>
      <c r="I19" s="2"/>
    </row>
    <row r="20" spans="1:9" x14ac:dyDescent="0.3">
      <c r="A20" s="35" t="s">
        <v>270</v>
      </c>
      <c r="B20" s="10" t="s">
        <v>42</v>
      </c>
      <c r="C20" s="8">
        <v>27.289715000000001</v>
      </c>
      <c r="D20" s="35" t="s">
        <v>28</v>
      </c>
      <c r="E20" s="10" t="s">
        <v>23</v>
      </c>
      <c r="F20" s="8">
        <v>-66.155767999999995</v>
      </c>
      <c r="I20" s="2"/>
    </row>
    <row r="21" spans="1:9" x14ac:dyDescent="0.3">
      <c r="A21" s="36" t="s">
        <v>268</v>
      </c>
      <c r="B21" s="67" t="s">
        <v>48</v>
      </c>
      <c r="C21" s="6">
        <v>27.273401</v>
      </c>
      <c r="D21" s="36" t="s">
        <v>26</v>
      </c>
      <c r="E21" s="67" t="s">
        <v>21</v>
      </c>
      <c r="F21" s="6">
        <v>-49.485973000000001</v>
      </c>
      <c r="I21" s="2"/>
    </row>
    <row r="22" spans="1:9" x14ac:dyDescent="0.3">
      <c r="A22" s="35" t="s">
        <v>272</v>
      </c>
      <c r="B22" s="10" t="s">
        <v>54</v>
      </c>
      <c r="C22" s="8">
        <v>11.752554999999999</v>
      </c>
      <c r="D22" s="35" t="s">
        <v>281</v>
      </c>
      <c r="E22" s="10" t="s">
        <v>37</v>
      </c>
      <c r="F22" s="8">
        <v>-48.888444999999997</v>
      </c>
      <c r="I22" s="2"/>
    </row>
    <row r="23" spans="1:9" x14ac:dyDescent="0.3">
      <c r="A23" s="36" t="s">
        <v>40</v>
      </c>
      <c r="B23" s="67" t="s">
        <v>38</v>
      </c>
      <c r="C23" s="6">
        <v>10.855524000000001</v>
      </c>
      <c r="D23" s="36" t="s">
        <v>27</v>
      </c>
      <c r="E23" s="67" t="s">
        <v>22</v>
      </c>
      <c r="F23" s="6">
        <v>-37.497256</v>
      </c>
      <c r="I23" s="2"/>
    </row>
    <row r="24" spans="1:9" x14ac:dyDescent="0.3">
      <c r="A24" s="35" t="s">
        <v>75</v>
      </c>
      <c r="B24" s="10" t="s">
        <v>74</v>
      </c>
      <c r="C24" s="8">
        <v>9.6557250000000003</v>
      </c>
      <c r="D24" s="35" t="s">
        <v>33</v>
      </c>
      <c r="E24" s="10" t="s">
        <v>31</v>
      </c>
      <c r="F24" s="8">
        <v>-19.087928999999999</v>
      </c>
      <c r="I24" s="2"/>
    </row>
    <row r="25" spans="1:9" x14ac:dyDescent="0.3">
      <c r="A25" s="36" t="s">
        <v>280</v>
      </c>
      <c r="B25" s="67" t="s">
        <v>51</v>
      </c>
      <c r="C25" s="6">
        <v>8.2362455000000008</v>
      </c>
      <c r="D25" s="36" t="s">
        <v>271</v>
      </c>
      <c r="E25" s="67" t="s">
        <v>43</v>
      </c>
      <c r="F25" s="6">
        <v>-8.558567</v>
      </c>
      <c r="I25" s="2"/>
    </row>
    <row r="26" spans="1:9" x14ac:dyDescent="0.3">
      <c r="A26" s="35" t="s">
        <v>284</v>
      </c>
      <c r="B26" s="10" t="s">
        <v>52</v>
      </c>
      <c r="C26" s="8">
        <v>6.9450474022000002</v>
      </c>
      <c r="D26" s="35" t="s">
        <v>77</v>
      </c>
      <c r="E26" s="10" t="s">
        <v>56</v>
      </c>
      <c r="F26" s="8">
        <v>-6.2798780000000001</v>
      </c>
      <c r="I26" s="2"/>
    </row>
    <row r="27" spans="1:9" x14ac:dyDescent="0.3">
      <c r="A27" s="36" t="s">
        <v>273</v>
      </c>
      <c r="B27" s="67" t="s">
        <v>35</v>
      </c>
      <c r="C27" s="6">
        <v>6.7730899999999998</v>
      </c>
      <c r="D27" s="36" t="s">
        <v>274</v>
      </c>
      <c r="E27" s="67" t="s">
        <v>83</v>
      </c>
      <c r="F27" s="6">
        <v>-3.5870340000000001</v>
      </c>
      <c r="I27" s="2"/>
    </row>
    <row r="28" spans="1:9" x14ac:dyDescent="0.3">
      <c r="A28" s="37" t="s">
        <v>149</v>
      </c>
      <c r="B28" s="33" t="s">
        <v>32</v>
      </c>
      <c r="C28" s="9">
        <v>6.2226419999999996</v>
      </c>
      <c r="D28" s="37" t="s">
        <v>283</v>
      </c>
      <c r="E28" s="33" t="s">
        <v>152</v>
      </c>
      <c r="F28" s="9">
        <v>-2.5740435000000002</v>
      </c>
      <c r="I28" s="2"/>
    </row>
    <row r="29" spans="1:9" x14ac:dyDescent="0.3">
      <c r="A29" s="10"/>
      <c r="B29" s="10"/>
      <c r="C29" s="10"/>
      <c r="D29" s="10"/>
      <c r="E29" s="10"/>
      <c r="F29" s="10"/>
    </row>
    <row r="30" spans="1:9" ht="14.5" x14ac:dyDescent="0.35">
      <c r="A30" s="11" t="s">
        <v>248</v>
      </c>
      <c r="B30" s="11"/>
      <c r="C30" s="10"/>
      <c r="D30" s="10"/>
      <c r="E30" s="10"/>
      <c r="F30" s="10"/>
    </row>
    <row r="31" spans="1:9" ht="14.5" x14ac:dyDescent="0.35">
      <c r="A31" s="11" t="s">
        <v>80</v>
      </c>
      <c r="B31" s="11"/>
      <c r="C31" s="10"/>
      <c r="D31" s="10"/>
      <c r="E31" s="10"/>
      <c r="F31" s="10"/>
    </row>
    <row r="32" spans="1:9" ht="14.5" x14ac:dyDescent="0.35">
      <c r="A32" s="11" t="s">
        <v>252</v>
      </c>
      <c r="B32" s="11"/>
      <c r="C32" s="10"/>
      <c r="D32" s="10"/>
      <c r="E32" s="10"/>
      <c r="F32" s="10"/>
    </row>
    <row r="33" spans="1:9" ht="14.5" x14ac:dyDescent="0.35">
      <c r="A33" s="11" t="s">
        <v>6</v>
      </c>
      <c r="B33" s="11"/>
      <c r="C33" s="10"/>
      <c r="D33" s="10"/>
      <c r="E33" s="10"/>
      <c r="F33" s="10"/>
    </row>
    <row r="34" spans="1:9" ht="14.5" x14ac:dyDescent="0.35">
      <c r="A34" s="11" t="s">
        <v>263</v>
      </c>
      <c r="B34" s="11"/>
      <c r="C34" s="10"/>
      <c r="D34" s="10"/>
      <c r="E34" s="10"/>
      <c r="F34" s="10"/>
      <c r="G34" s="71"/>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264</v>
      </c>
      <c r="B38" s="24"/>
      <c r="C38" s="25"/>
      <c r="D38" s="25"/>
      <c r="E38" s="24"/>
      <c r="F38" s="24"/>
      <c r="I38" s="38"/>
    </row>
    <row r="39" spans="1:9" s="30" customFormat="1" ht="19.399999999999999" customHeight="1" x14ac:dyDescent="0.35">
      <c r="A39" s="27" t="s">
        <v>265</v>
      </c>
      <c r="B39" s="28"/>
      <c r="C39" s="29"/>
      <c r="D39" s="29"/>
      <c r="E39" s="28"/>
      <c r="F39" s="28"/>
      <c r="I39" s="41"/>
    </row>
    <row r="40" spans="1:9" ht="169.4" customHeight="1" x14ac:dyDescent="0.3">
      <c r="A40" s="82" t="s">
        <v>266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7 B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60" customHeight="1"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6">
        <f>SUM(C3:N3)</f>
        <v>93.846597846470004</v>
      </c>
      <c r="B3" s="12">
        <v>45446</v>
      </c>
      <c r="C3" s="75">
        <v>12.131523824900006</v>
      </c>
      <c r="D3" s="75">
        <v>1.6572573887000006</v>
      </c>
      <c r="E3" s="75">
        <v>-0.4509185</v>
      </c>
      <c r="F3" s="75">
        <v>19.05559749999999</v>
      </c>
      <c r="G3" s="75">
        <v>-1.2854339901</v>
      </c>
      <c r="H3" s="75">
        <v>16.400109661460011</v>
      </c>
      <c r="I3" s="75">
        <v>-0.570488</v>
      </c>
      <c r="J3" s="75">
        <v>-2.3913673480999997</v>
      </c>
      <c r="K3" s="75">
        <v>19.736417209610003</v>
      </c>
      <c r="L3" s="75">
        <v>3.9799148</v>
      </c>
      <c r="M3" s="75">
        <v>33.809486700000001</v>
      </c>
      <c r="N3" s="75">
        <v>-8.2255013999999989</v>
      </c>
    </row>
    <row r="4" spans="1:15" x14ac:dyDescent="0.3">
      <c r="A4" s="46">
        <f>SUM(C4:N4)</f>
        <v>-105.39059475969999</v>
      </c>
      <c r="B4" s="76">
        <v>45453</v>
      </c>
      <c r="C4" s="15">
        <v>1.2755470537999996</v>
      </c>
      <c r="D4" s="15">
        <v>-18.384658112899995</v>
      </c>
      <c r="E4" s="15">
        <v>-1.3775506</v>
      </c>
      <c r="F4" s="15">
        <v>38.572486699999992</v>
      </c>
      <c r="G4" s="15">
        <v>-3.8712951808000002</v>
      </c>
      <c r="H4" s="15">
        <v>-60.270752250379985</v>
      </c>
      <c r="I4" s="15">
        <v>7.503470000000001E-2</v>
      </c>
      <c r="J4" s="15">
        <v>-31.591707595999999</v>
      </c>
      <c r="K4" s="15">
        <v>-64.263352773419982</v>
      </c>
      <c r="L4" s="15">
        <v>-5.2374199999999947E-2</v>
      </c>
      <c r="M4" s="15">
        <v>35.453239000000004</v>
      </c>
      <c r="N4" s="15">
        <v>-0.9552115000000001</v>
      </c>
    </row>
    <row r="5" spans="1:15" x14ac:dyDescent="0.3">
      <c r="A5" s="46">
        <f>SUM(C5:N5)</f>
        <v>-121.93686918721993</v>
      </c>
      <c r="B5" s="12">
        <v>45460</v>
      </c>
      <c r="C5" s="75">
        <v>24.139443783599997</v>
      </c>
      <c r="D5" s="75">
        <v>5.2030824966999996</v>
      </c>
      <c r="E5" s="75">
        <v>0.25408929999999996</v>
      </c>
      <c r="F5" s="75">
        <v>-68.483769600000002</v>
      </c>
      <c r="G5" s="75">
        <v>-2.3365619793000003</v>
      </c>
      <c r="H5" s="75">
        <v>-77.576379505929907</v>
      </c>
      <c r="I5" s="75">
        <v>2.1944595999999996</v>
      </c>
      <c r="J5" s="75">
        <v>-10.1885239459</v>
      </c>
      <c r="K5" s="75">
        <v>-47.110491036390009</v>
      </c>
      <c r="L5" s="75">
        <v>11.151593300000002</v>
      </c>
      <c r="M5" s="75">
        <v>35.680075500000001</v>
      </c>
      <c r="N5" s="75">
        <v>5.1361129000000005</v>
      </c>
    </row>
    <row r="6" spans="1:15" x14ac:dyDescent="0.3">
      <c r="A6" s="46">
        <f>SUM(C6:N6)</f>
        <v>-117.26344911964009</v>
      </c>
      <c r="B6" s="76">
        <v>45467</v>
      </c>
      <c r="C6" s="15">
        <v>-29.144275539270005</v>
      </c>
      <c r="D6" s="15">
        <v>-26.184556056600002</v>
      </c>
      <c r="E6" s="15">
        <v>-0.87871569999999977</v>
      </c>
      <c r="F6" s="15">
        <v>-56.189728200000033</v>
      </c>
      <c r="G6" s="15">
        <v>-4.6159646699999994</v>
      </c>
      <c r="H6" s="15">
        <v>-23.032223120730016</v>
      </c>
      <c r="I6" s="15">
        <v>-0.96738109999999988</v>
      </c>
      <c r="J6" s="15">
        <v>-2.0954642135000023</v>
      </c>
      <c r="K6" s="15">
        <v>-33.756216419539996</v>
      </c>
      <c r="L6" s="15">
        <v>7.4059911000000005</v>
      </c>
      <c r="M6" s="15">
        <v>80.419705900000011</v>
      </c>
      <c r="N6" s="15">
        <v>-28.2246211</v>
      </c>
    </row>
    <row r="7" spans="1:15" ht="14.5" x14ac:dyDescent="0.35">
      <c r="A7" s="73"/>
      <c r="B7" s="60"/>
      <c r="C7" s="77"/>
      <c r="D7" s="77"/>
      <c r="E7" s="77"/>
      <c r="F7" s="77"/>
      <c r="G7" s="77"/>
      <c r="H7" s="77"/>
      <c r="I7" s="77"/>
      <c r="J7" s="77"/>
      <c r="K7" s="77"/>
      <c r="L7" s="77"/>
      <c r="M7" s="77"/>
      <c r="N7" s="77"/>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2"/>
      <c r="D13" s="72"/>
      <c r="E13" s="72"/>
      <c r="F13" s="72"/>
      <c r="G13" s="72"/>
      <c r="H13" s="72"/>
      <c r="I13" s="72"/>
      <c r="J13" s="72"/>
      <c r="K13" s="72"/>
      <c r="L13" s="72"/>
      <c r="M13" s="72"/>
      <c r="N13" s="72"/>
    </row>
    <row r="14" spans="1:15" ht="14.5" x14ac:dyDescent="0.35">
      <c r="B14" s="51"/>
      <c r="C14" s="51"/>
      <c r="D14" s="51"/>
      <c r="E14" s="51"/>
      <c r="F14" s="51"/>
      <c r="G14" s="51"/>
      <c r="H14" s="51"/>
      <c r="I14" s="51"/>
      <c r="J14" s="51"/>
      <c r="K14" s="51"/>
      <c r="L14" s="51"/>
      <c r="M14" s="51"/>
      <c r="N14"/>
      <c r="O14" s="44"/>
    </row>
    <row r="15" spans="1:15" ht="14.5" x14ac:dyDescent="0.35">
      <c r="C15" s="51"/>
      <c r="D15" s="51"/>
      <c r="E15" s="51"/>
      <c r="F15" s="51"/>
      <c r="G15" s="51"/>
      <c r="H15" s="51"/>
      <c r="I15" s="51"/>
      <c r="J15" s="51"/>
      <c r="K15" s="51"/>
      <c r="L15" s="51"/>
      <c r="M15" s="51"/>
      <c r="N15" s="51"/>
      <c r="O15" s="51"/>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9">
        <f t="shared" ref="A3:A5" si="0">SUM(C3:N3)</f>
        <v>47.259402025199989</v>
      </c>
      <c r="B3" s="54">
        <v>45446</v>
      </c>
      <c r="C3" s="53">
        <v>-8.1906884573400056</v>
      </c>
      <c r="D3" s="53">
        <v>-6.2907728693999996</v>
      </c>
      <c r="E3" s="53">
        <v>2.5133730999999999</v>
      </c>
      <c r="F3" s="53">
        <v>25.255270100000001</v>
      </c>
      <c r="G3" s="53">
        <v>0.23629502549999981</v>
      </c>
      <c r="H3" s="53">
        <v>-1.8885043691799905</v>
      </c>
      <c r="I3" s="53">
        <v>1.0317183999999997</v>
      </c>
      <c r="J3" s="53">
        <v>50.047821312099984</v>
      </c>
      <c r="K3" s="53">
        <v>-5.5909365164799976</v>
      </c>
      <c r="L3" s="53">
        <v>-7.1697770999999948</v>
      </c>
      <c r="M3" s="53">
        <v>-16.710851000000002</v>
      </c>
      <c r="N3" s="53">
        <v>14.016454400000001</v>
      </c>
      <c r="P3" s="14"/>
    </row>
    <row r="4" spans="1:18" x14ac:dyDescent="0.3">
      <c r="A4" s="69">
        <f t="shared" si="0"/>
        <v>258.64798993837996</v>
      </c>
      <c r="B4" s="68">
        <v>45453</v>
      </c>
      <c r="C4" s="59">
        <v>9.6350161704300046</v>
      </c>
      <c r="D4" s="59">
        <v>27.220811253400001</v>
      </c>
      <c r="E4" s="59">
        <v>3.0412921000000002</v>
      </c>
      <c r="F4" s="59">
        <v>37.751274900000006</v>
      </c>
      <c r="G4" s="59">
        <v>4.6708526639000016</v>
      </c>
      <c r="H4" s="59">
        <v>60.599164914250004</v>
      </c>
      <c r="I4" s="59">
        <v>0.27588640000000003</v>
      </c>
      <c r="J4" s="59">
        <v>41.139475195099998</v>
      </c>
      <c r="K4" s="59">
        <v>89.575455641300024</v>
      </c>
      <c r="L4" s="59">
        <v>-1.2559507000000001</v>
      </c>
      <c r="M4" s="59">
        <v>-21.560181800000002</v>
      </c>
      <c r="N4" s="59">
        <v>7.5548932000000004</v>
      </c>
      <c r="P4" s="14"/>
    </row>
    <row r="5" spans="1:18" x14ac:dyDescent="0.3">
      <c r="A5" s="69">
        <f t="shared" si="0"/>
        <v>71.916294767039972</v>
      </c>
      <c r="B5" s="70">
        <v>45460</v>
      </c>
      <c r="C5" s="53">
        <v>-29.725481190199996</v>
      </c>
      <c r="D5" s="53">
        <v>4.3831815075999998</v>
      </c>
      <c r="E5" s="53">
        <v>-4.3690449000000005</v>
      </c>
      <c r="F5" s="53">
        <v>22.495589400000007</v>
      </c>
      <c r="G5" s="53">
        <v>1.1455067937999999</v>
      </c>
      <c r="H5" s="53">
        <v>78.454997628449959</v>
      </c>
      <c r="I5" s="53">
        <v>-1.0884749999999999</v>
      </c>
      <c r="J5" s="53">
        <v>12.333689480100002</v>
      </c>
      <c r="K5" s="53">
        <v>42.82918384728999</v>
      </c>
      <c r="L5" s="53">
        <v>-13.937927099999998</v>
      </c>
      <c r="M5" s="53">
        <v>-37.6492711</v>
      </c>
      <c r="N5" s="53">
        <v>-2.9556545999999999</v>
      </c>
      <c r="P5" s="14"/>
    </row>
    <row r="6" spans="1:18" x14ac:dyDescent="0.3">
      <c r="A6" s="69">
        <f t="shared" ref="A6" si="1">SUM(C6:N6)</f>
        <v>-92.490112603250012</v>
      </c>
      <c r="B6" s="68">
        <v>45467</v>
      </c>
      <c r="C6" s="59">
        <v>36.512791460370003</v>
      </c>
      <c r="D6" s="59">
        <v>16.313744207300001</v>
      </c>
      <c r="E6" s="59">
        <v>2.0702863999999992</v>
      </c>
      <c r="F6" s="59">
        <v>-153.72309229999999</v>
      </c>
      <c r="G6" s="59">
        <v>6.2370899500999988</v>
      </c>
      <c r="H6" s="59">
        <v>6.7529405089299885</v>
      </c>
      <c r="I6" s="59">
        <v>0.91710700000000012</v>
      </c>
      <c r="J6" s="59">
        <v>6.6867620061000004</v>
      </c>
      <c r="K6" s="59">
        <v>34.748151763949991</v>
      </c>
      <c r="L6" s="59">
        <v>-7.0777466999999996</v>
      </c>
      <c r="M6" s="59">
        <v>-69.19573059999999</v>
      </c>
      <c r="N6" s="59">
        <v>27.267583699999999</v>
      </c>
      <c r="P6" s="14"/>
    </row>
    <row r="7" spans="1:18" ht="14.5" x14ac:dyDescent="0.35">
      <c r="A7" s="73"/>
      <c r="B7" s="54"/>
      <c r="C7" s="77"/>
      <c r="D7" s="77"/>
      <c r="E7" s="77"/>
      <c r="F7" s="77"/>
      <c r="G7" s="77"/>
      <c r="H7" s="77"/>
      <c r="I7" s="77"/>
      <c r="J7" s="77"/>
      <c r="K7" s="77"/>
      <c r="L7" s="77"/>
      <c r="M7" s="77"/>
      <c r="N7" s="77"/>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1"/>
      <c r="D12" s="51"/>
      <c r="E12" s="51"/>
      <c r="F12" s="51"/>
      <c r="G12" s="51"/>
      <c r="H12" s="51"/>
      <c r="I12" s="51"/>
      <c r="J12" s="51"/>
      <c r="K12" s="51"/>
      <c r="L12" s="51"/>
      <c r="M12" s="51"/>
      <c r="N12" s="51"/>
    </row>
    <row r="13" spans="1:18" ht="14.5" x14ac:dyDescent="0.35">
      <c r="B13"/>
      <c r="C13" s="51"/>
      <c r="D13" s="51"/>
      <c r="E13" s="51"/>
      <c r="F13" s="51"/>
      <c r="G13" s="51"/>
      <c r="H13" s="51"/>
      <c r="I13" s="51"/>
      <c r="J13" s="51"/>
      <c r="K13" s="51"/>
      <c r="L13" s="51"/>
      <c r="M13" s="51"/>
      <c r="N13" s="51"/>
      <c r="O13" s="44"/>
      <c r="P13"/>
      <c r="Q13"/>
      <c r="R13"/>
    </row>
    <row r="14" spans="1:18" ht="14.5" x14ac:dyDescent="0.35">
      <c r="B14"/>
      <c r="C14"/>
      <c r="D14"/>
      <c r="E14"/>
      <c r="F14"/>
      <c r="G14"/>
      <c r="H14"/>
      <c r="I14"/>
      <c r="J14"/>
      <c r="K14"/>
      <c r="L14"/>
      <c r="M14"/>
      <c r="N14"/>
      <c r="O14"/>
      <c r="P14"/>
      <c r="Q14"/>
      <c r="R14"/>
    </row>
    <row r="15" spans="1:18" ht="14.5" x14ac:dyDescent="0.35">
      <c r="C15" s="51"/>
      <c r="D15" s="51"/>
      <c r="E15" s="51"/>
      <c r="F15" s="51"/>
      <c r="G15" s="51"/>
      <c r="H15" s="51"/>
      <c r="I15" s="51"/>
      <c r="J15" s="51"/>
      <c r="K15" s="51"/>
      <c r="L15" s="51"/>
      <c r="M15" s="51"/>
      <c r="N15" s="51"/>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24 June 2024</v>
      </c>
      <c r="B1" s="16" t="s">
        <v>1</v>
      </c>
      <c r="C1" s="17" t="s">
        <v>71</v>
      </c>
      <c r="D1" s="17" t="s">
        <v>72</v>
      </c>
    </row>
    <row r="2" spans="1:5" x14ac:dyDescent="0.35">
      <c r="A2" s="18" t="s">
        <v>87</v>
      </c>
      <c r="B2" s="19" t="s">
        <v>25</v>
      </c>
      <c r="C2" s="20">
        <v>-7.3434799999999996</v>
      </c>
      <c r="D2" s="20">
        <v>3.5616509999999999</v>
      </c>
      <c r="E2" s="38"/>
    </row>
    <row r="3" spans="1:5" x14ac:dyDescent="0.35">
      <c r="A3" s="21" t="s">
        <v>77</v>
      </c>
      <c r="B3" s="22" t="s">
        <v>56</v>
      </c>
      <c r="C3" s="8">
        <v>-0.47319600000000001</v>
      </c>
      <c r="D3" s="8">
        <v>-6.2798780000000001</v>
      </c>
      <c r="E3" s="38"/>
    </row>
    <row r="4" spans="1:5" x14ac:dyDescent="0.35">
      <c r="A4" s="5" t="s">
        <v>84</v>
      </c>
      <c r="B4" s="7" t="s">
        <v>83</v>
      </c>
      <c r="C4" s="6">
        <v>-0.96157300000000001</v>
      </c>
      <c r="D4" s="6">
        <v>-3.5870340000000001</v>
      </c>
      <c r="E4" s="38"/>
    </row>
    <row r="5" spans="1:5" x14ac:dyDescent="0.35">
      <c r="A5" s="21" t="s">
        <v>63</v>
      </c>
      <c r="B5" s="22" t="s">
        <v>54</v>
      </c>
      <c r="C5" s="8">
        <v>-11.89076</v>
      </c>
      <c r="D5" s="8">
        <v>11.752554999999999</v>
      </c>
      <c r="E5" s="38"/>
    </row>
    <row r="6" spans="1:5" x14ac:dyDescent="0.35">
      <c r="A6" s="5" t="s">
        <v>26</v>
      </c>
      <c r="B6" s="7" t="s">
        <v>21</v>
      </c>
      <c r="C6" s="6">
        <v>-73.569456000000002</v>
      </c>
      <c r="D6" s="6">
        <v>-49.485973000000001</v>
      </c>
      <c r="E6" s="38"/>
    </row>
    <row r="7" spans="1:5" x14ac:dyDescent="0.35">
      <c r="A7" s="21" t="s">
        <v>85</v>
      </c>
      <c r="B7" s="22" t="s">
        <v>57</v>
      </c>
      <c r="C7" s="8">
        <v>-0.43401215659999998</v>
      </c>
      <c r="D7" s="8">
        <v>-0.12900129269999991</v>
      </c>
      <c r="E7" s="38"/>
    </row>
    <row r="8" spans="1:5" x14ac:dyDescent="0.35">
      <c r="A8" s="5" t="s">
        <v>253</v>
      </c>
      <c r="B8" s="7" t="s">
        <v>108</v>
      </c>
      <c r="C8" s="6">
        <v>-7.0852490000000001</v>
      </c>
      <c r="D8" s="6">
        <v>4.5930080000000002</v>
      </c>
      <c r="E8" s="38"/>
    </row>
    <row r="9" spans="1:5" x14ac:dyDescent="0.35">
      <c r="A9" s="21" t="s">
        <v>79</v>
      </c>
      <c r="B9" s="22" t="s">
        <v>78</v>
      </c>
      <c r="C9" s="8">
        <v>3.6616175000000002</v>
      </c>
      <c r="D9" s="8">
        <v>2.01918</v>
      </c>
      <c r="E9" s="38"/>
    </row>
    <row r="10" spans="1:5" x14ac:dyDescent="0.35">
      <c r="A10" s="5" t="s">
        <v>36</v>
      </c>
      <c r="B10" s="7" t="s">
        <v>35</v>
      </c>
      <c r="C10" s="6">
        <v>-15.296751499999999</v>
      </c>
      <c r="D10" s="6">
        <v>6.7730899999999998</v>
      </c>
      <c r="E10" s="38"/>
    </row>
    <row r="11" spans="1:5" x14ac:dyDescent="0.35">
      <c r="A11" s="21" t="s">
        <v>64</v>
      </c>
      <c r="B11" s="22" t="s">
        <v>55</v>
      </c>
      <c r="C11" s="8">
        <v>3.1286235864999998</v>
      </c>
      <c r="D11" s="8">
        <v>-0.65990329389999969</v>
      </c>
      <c r="E11" s="38"/>
    </row>
    <row r="12" spans="1:5" x14ac:dyDescent="0.35">
      <c r="A12" s="5" t="s">
        <v>50</v>
      </c>
      <c r="B12" s="7" t="s">
        <v>48</v>
      </c>
      <c r="C12" s="6">
        <v>-10.978054</v>
      </c>
      <c r="D12" s="6">
        <v>27.273401</v>
      </c>
      <c r="E12" s="38"/>
    </row>
    <row r="13" spans="1:5" x14ac:dyDescent="0.35">
      <c r="A13" s="21" t="s">
        <v>62</v>
      </c>
      <c r="B13" s="22" t="s">
        <v>52</v>
      </c>
      <c r="C13" s="8">
        <v>-6.4512165976999976</v>
      </c>
      <c r="D13" s="8">
        <v>6.9450474022000002</v>
      </c>
      <c r="E13" s="38"/>
    </row>
    <row r="14" spans="1:5" x14ac:dyDescent="0.35">
      <c r="A14" s="5" t="s">
        <v>149</v>
      </c>
      <c r="B14" s="7" t="s">
        <v>32</v>
      </c>
      <c r="C14" s="6">
        <v>-11.211986</v>
      </c>
      <c r="D14" s="6">
        <v>6.2226419999999996</v>
      </c>
      <c r="E14" s="38"/>
    </row>
    <row r="15" spans="1:5" x14ac:dyDescent="0.35">
      <c r="A15" s="21" t="s">
        <v>75</v>
      </c>
      <c r="B15" s="22" t="s">
        <v>74</v>
      </c>
      <c r="C15" s="8">
        <v>-8.0202659999999995</v>
      </c>
      <c r="D15" s="8">
        <v>9.6557250000000003</v>
      </c>
      <c r="E15" s="38"/>
    </row>
    <row r="16" spans="1:5" x14ac:dyDescent="0.35">
      <c r="A16" s="5" t="s">
        <v>40</v>
      </c>
      <c r="B16" s="7" t="s">
        <v>38</v>
      </c>
      <c r="C16" s="6">
        <v>-3.804236</v>
      </c>
      <c r="D16" s="6">
        <v>10.855524000000001</v>
      </c>
      <c r="E16" s="38"/>
    </row>
    <row r="17" spans="1:5" x14ac:dyDescent="0.35">
      <c r="A17" s="21" t="s">
        <v>249</v>
      </c>
      <c r="B17" s="22" t="s">
        <v>58</v>
      </c>
      <c r="C17" s="8">
        <v>-2.032232</v>
      </c>
      <c r="D17" s="8">
        <v>2.5860370000000001</v>
      </c>
      <c r="E17" s="38"/>
    </row>
    <row r="18" spans="1:5" x14ac:dyDescent="0.35">
      <c r="A18" s="5" t="s">
        <v>27</v>
      </c>
      <c r="B18" s="7" t="s">
        <v>22</v>
      </c>
      <c r="C18" s="6">
        <v>2.922377</v>
      </c>
      <c r="D18" s="6">
        <v>-37.497256</v>
      </c>
      <c r="E18" s="38"/>
    </row>
    <row r="19" spans="1:5" x14ac:dyDescent="0.35">
      <c r="A19" s="21" t="s">
        <v>34</v>
      </c>
      <c r="B19" s="22" t="s">
        <v>30</v>
      </c>
      <c r="C19" s="8">
        <v>2.1752159999999998</v>
      </c>
      <c r="D19" s="8">
        <v>0.64644599999999997</v>
      </c>
      <c r="E19" s="38"/>
    </row>
    <row r="20" spans="1:5" x14ac:dyDescent="0.35">
      <c r="A20" s="5" t="s">
        <v>143</v>
      </c>
      <c r="B20" s="7" t="s">
        <v>260</v>
      </c>
      <c r="C20" s="6">
        <v>-36.158679999999997</v>
      </c>
      <c r="D20" s="6">
        <v>47.723638999999999</v>
      </c>
      <c r="E20" s="38"/>
    </row>
    <row r="21" spans="1:5" x14ac:dyDescent="0.35">
      <c r="A21" s="21" t="s">
        <v>45</v>
      </c>
      <c r="B21" s="22" t="s">
        <v>42</v>
      </c>
      <c r="C21" s="8">
        <v>-28.244613999999999</v>
      </c>
      <c r="D21" s="8">
        <v>27.289715000000001</v>
      </c>
      <c r="E21" s="38"/>
    </row>
    <row r="22" spans="1:5" x14ac:dyDescent="0.35">
      <c r="A22" s="5" t="s">
        <v>33</v>
      </c>
      <c r="B22" s="7" t="s">
        <v>31</v>
      </c>
      <c r="C22" s="6">
        <v>1.5262549999999999</v>
      </c>
      <c r="D22" s="6">
        <v>-19.087928999999999</v>
      </c>
      <c r="E22" s="38"/>
    </row>
    <row r="23" spans="1:5" x14ac:dyDescent="0.35">
      <c r="A23" s="21" t="s">
        <v>29</v>
      </c>
      <c r="B23" s="22" t="s">
        <v>24</v>
      </c>
      <c r="C23" s="8">
        <v>-6.7966829999999998</v>
      </c>
      <c r="D23" s="8">
        <v>-0.316494</v>
      </c>
      <c r="E23" s="38"/>
    </row>
    <row r="24" spans="1:5" x14ac:dyDescent="0.35">
      <c r="A24" s="5" t="s">
        <v>39</v>
      </c>
      <c r="B24" s="7" t="s">
        <v>37</v>
      </c>
      <c r="C24" s="6">
        <v>36.653545999999999</v>
      </c>
      <c r="D24" s="6">
        <v>-48.888444999999997</v>
      </c>
      <c r="E24" s="38"/>
    </row>
    <row r="25" spans="1:5" x14ac:dyDescent="0.35">
      <c r="A25" s="21" t="s">
        <v>49</v>
      </c>
      <c r="B25" s="22" t="s">
        <v>47</v>
      </c>
      <c r="C25" s="8">
        <v>83.089414100000013</v>
      </c>
      <c r="D25" s="8">
        <v>-73.749561299999996</v>
      </c>
      <c r="E25" s="38"/>
    </row>
    <row r="26" spans="1:5" x14ac:dyDescent="0.35">
      <c r="A26" s="5" t="s">
        <v>60</v>
      </c>
      <c r="B26" s="7" t="s">
        <v>51</v>
      </c>
      <c r="C26" s="6">
        <v>-10.6593505</v>
      </c>
      <c r="D26" s="6">
        <v>8.2362455000000008</v>
      </c>
      <c r="E26" s="38"/>
    </row>
    <row r="27" spans="1:5" x14ac:dyDescent="0.35">
      <c r="A27" s="21" t="s">
        <v>28</v>
      </c>
      <c r="B27" s="22" t="s">
        <v>23</v>
      </c>
      <c r="C27" s="8">
        <v>26.239879999999999</v>
      </c>
      <c r="D27" s="8">
        <v>-66.155767999999995</v>
      </c>
      <c r="E27" s="38"/>
    </row>
    <row r="28" spans="1:5" x14ac:dyDescent="0.35">
      <c r="A28" s="5" t="s">
        <v>65</v>
      </c>
      <c r="B28" s="7" t="s">
        <v>59</v>
      </c>
      <c r="C28" s="6">
        <v>3.1845530000000002</v>
      </c>
      <c r="D28" s="6">
        <v>-1.640074</v>
      </c>
      <c r="E28" s="38"/>
    </row>
    <row r="29" spans="1:5" x14ac:dyDescent="0.35">
      <c r="A29" s="21" t="s">
        <v>46</v>
      </c>
      <c r="B29" s="22" t="s">
        <v>43</v>
      </c>
      <c r="C29" s="8">
        <v>6.8011699999999999</v>
      </c>
      <c r="D29" s="8">
        <v>-8.558567</v>
      </c>
      <c r="E29" s="38"/>
    </row>
    <row r="30" spans="1:5" x14ac:dyDescent="0.35">
      <c r="A30" s="5" t="s">
        <v>44</v>
      </c>
      <c r="B30" s="7" t="s">
        <v>41</v>
      </c>
      <c r="C30" s="6">
        <v>-9.3800860000000004</v>
      </c>
      <c r="D30" s="6">
        <v>5.0509029999999999</v>
      </c>
      <c r="E30" s="38"/>
    </row>
    <row r="31" spans="1:5" ht="15" thickBot="1" x14ac:dyDescent="0.4">
      <c r="A31" s="21" t="s">
        <v>61</v>
      </c>
      <c r="B31" s="22" t="s">
        <v>53</v>
      </c>
      <c r="C31" s="8">
        <v>-5.4355820000000001</v>
      </c>
      <c r="D31" s="8">
        <v>3.7154050000000001</v>
      </c>
      <c r="E31" s="38"/>
    </row>
    <row r="32" spans="1:5" ht="21" customHeight="1" thickBot="1" x14ac:dyDescent="0.4">
      <c r="A32" s="88" t="s">
        <v>66</v>
      </c>
      <c r="B32" s="89"/>
      <c r="C32" s="62">
        <f>SUM(C2:C31)</f>
        <v>-86.844811567800008</v>
      </c>
      <c r="D32" s="63">
        <f>SUM(D2:D31)</f>
        <v>-131.13566998439998</v>
      </c>
    </row>
    <row r="34" spans="1:5" x14ac:dyDescent="0.35">
      <c r="A34" s="11" t="s">
        <v>67</v>
      </c>
      <c r="B34" s="50"/>
      <c r="C34" s="50"/>
      <c r="D34" s="50"/>
      <c r="E34" s="50"/>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tabSelected="1"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 min="9" max="9" width="15.26953125" bestFit="1" customWidth="1"/>
    <col min="10" max="10" width="14.26953125" bestFit="1" customWidth="1"/>
  </cols>
  <sheetData>
    <row r="1" spans="1:15" ht="42" x14ac:dyDescent="0.35">
      <c r="A1" s="32" t="str">
        <f>CONCATENATE("100 Most Traded Stocks YTD - ",'Weekly Top 10'!$C$5)</f>
        <v>100 Most Traded Stocks YTD - Week of 24 June 2024</v>
      </c>
      <c r="B1" s="16" t="s">
        <v>1</v>
      </c>
      <c r="C1" s="49" t="s">
        <v>98</v>
      </c>
      <c r="D1" s="17" t="s">
        <v>97</v>
      </c>
      <c r="E1" s="17" t="s">
        <v>99</v>
      </c>
      <c r="F1" s="17" t="s">
        <v>100</v>
      </c>
    </row>
    <row r="2" spans="1:15" x14ac:dyDescent="0.35">
      <c r="A2" s="18" t="s">
        <v>26</v>
      </c>
      <c r="B2" s="19" t="s">
        <v>21</v>
      </c>
      <c r="C2" s="56">
        <v>141.49266665520332</v>
      </c>
      <c r="D2" s="56">
        <v>-27.919056500000011</v>
      </c>
      <c r="E2" s="56">
        <v>-73.569456000000002</v>
      </c>
      <c r="F2" s="20" t="s">
        <v>13</v>
      </c>
      <c r="G2" s="55"/>
      <c r="I2" s="55"/>
      <c r="O2" s="81"/>
    </row>
    <row r="3" spans="1:15" x14ac:dyDescent="0.35">
      <c r="A3" s="21" t="s">
        <v>28</v>
      </c>
      <c r="B3" s="22" t="s">
        <v>23</v>
      </c>
      <c r="C3" s="57">
        <v>83.598900193260164</v>
      </c>
      <c r="D3" s="57">
        <v>398.672822</v>
      </c>
      <c r="E3" s="57">
        <v>26.239879999999999</v>
      </c>
      <c r="F3" s="8" t="s">
        <v>13</v>
      </c>
      <c r="G3" s="55"/>
      <c r="I3" s="55"/>
      <c r="O3" s="81"/>
    </row>
    <row r="4" spans="1:15" x14ac:dyDescent="0.35">
      <c r="A4" s="5" t="s">
        <v>287</v>
      </c>
      <c r="B4" s="7" t="s">
        <v>260</v>
      </c>
      <c r="C4" s="58">
        <v>76.767637367567573</v>
      </c>
      <c r="D4" s="58">
        <v>-270.312614</v>
      </c>
      <c r="E4" s="58">
        <v>-36.158679999999997</v>
      </c>
      <c r="F4" s="6" t="s">
        <v>14</v>
      </c>
      <c r="G4" s="55"/>
      <c r="I4" s="55"/>
      <c r="O4" s="81"/>
    </row>
    <row r="5" spans="1:15" x14ac:dyDescent="0.35">
      <c r="A5" s="21" t="s">
        <v>49</v>
      </c>
      <c r="B5" s="22" t="s">
        <v>47</v>
      </c>
      <c r="C5" s="57">
        <v>76.576426313642258</v>
      </c>
      <c r="D5" s="57">
        <v>216.7103563</v>
      </c>
      <c r="E5" s="57">
        <v>83.089414099999999</v>
      </c>
      <c r="F5" s="8" t="s">
        <v>160</v>
      </c>
      <c r="G5" s="55"/>
      <c r="I5" s="55"/>
      <c r="O5" s="81"/>
    </row>
    <row r="6" spans="1:15" x14ac:dyDescent="0.35">
      <c r="A6" s="5" t="s">
        <v>164</v>
      </c>
      <c r="B6" s="7" t="s">
        <v>22</v>
      </c>
      <c r="C6" s="58">
        <v>71.859164071113824</v>
      </c>
      <c r="D6" s="58">
        <v>223.30132659999998</v>
      </c>
      <c r="E6" s="58">
        <v>2.922377</v>
      </c>
      <c r="F6" s="6" t="s">
        <v>13</v>
      </c>
      <c r="G6" s="55"/>
      <c r="I6" s="55"/>
      <c r="O6" s="81"/>
    </row>
    <row r="7" spans="1:15" x14ac:dyDescent="0.35">
      <c r="A7" s="21" t="s">
        <v>165</v>
      </c>
      <c r="B7" s="22" t="s">
        <v>56</v>
      </c>
      <c r="C7" s="57">
        <v>42.764695331463415</v>
      </c>
      <c r="D7" s="57">
        <v>-40.090913999999998</v>
      </c>
      <c r="E7" s="57">
        <v>-0.47319600000000001</v>
      </c>
      <c r="F7" s="8" t="s">
        <v>17</v>
      </c>
      <c r="G7" s="55"/>
      <c r="I7" s="55"/>
      <c r="O7" s="81"/>
    </row>
    <row r="8" spans="1:15" x14ac:dyDescent="0.35">
      <c r="A8" s="5" t="s">
        <v>167</v>
      </c>
      <c r="B8" s="7" t="s">
        <v>53</v>
      </c>
      <c r="C8" s="58">
        <v>42.192530423317066</v>
      </c>
      <c r="D8" s="58">
        <v>172.08062799999999</v>
      </c>
      <c r="E8" s="58">
        <v>-5.4355820000000001</v>
      </c>
      <c r="F8" s="6" t="s">
        <v>14</v>
      </c>
      <c r="G8" s="55"/>
      <c r="I8" s="55"/>
      <c r="O8" s="81"/>
    </row>
    <row r="9" spans="1:15" x14ac:dyDescent="0.35">
      <c r="A9" s="21" t="s">
        <v>33</v>
      </c>
      <c r="B9" s="22" t="s">
        <v>31</v>
      </c>
      <c r="C9" s="57">
        <v>37.490422995528455</v>
      </c>
      <c r="D9" s="57">
        <v>-250.853048</v>
      </c>
      <c r="E9" s="57">
        <v>1.5262549999999999</v>
      </c>
      <c r="F9" s="8" t="s">
        <v>14</v>
      </c>
      <c r="G9" s="55"/>
      <c r="I9" s="55"/>
      <c r="O9" s="81"/>
    </row>
    <row r="10" spans="1:15" x14ac:dyDescent="0.35">
      <c r="A10" s="5" t="s">
        <v>166</v>
      </c>
      <c r="B10" s="7" t="s">
        <v>25</v>
      </c>
      <c r="C10" s="58">
        <v>35.493299235121953</v>
      </c>
      <c r="D10" s="58">
        <v>-154.087456</v>
      </c>
      <c r="E10" s="58">
        <v>-7.3434799999999996</v>
      </c>
      <c r="F10" s="6" t="s">
        <v>17</v>
      </c>
      <c r="G10" s="55"/>
      <c r="I10" s="55"/>
      <c r="O10" s="81"/>
    </row>
    <row r="11" spans="1:15" x14ac:dyDescent="0.35">
      <c r="A11" s="21" t="s">
        <v>169</v>
      </c>
      <c r="B11" s="22" t="s">
        <v>38</v>
      </c>
      <c r="C11" s="57">
        <v>34.573235414390247</v>
      </c>
      <c r="D11" s="57">
        <v>-237.61041599999999</v>
      </c>
      <c r="E11" s="57">
        <v>-3.804236</v>
      </c>
      <c r="F11" s="8" t="s">
        <v>17</v>
      </c>
      <c r="G11" s="55"/>
      <c r="I11" s="55"/>
      <c r="O11" s="81"/>
    </row>
    <row r="12" spans="1:15" x14ac:dyDescent="0.35">
      <c r="A12" s="5" t="s">
        <v>170</v>
      </c>
      <c r="B12" s="7" t="s">
        <v>35</v>
      </c>
      <c r="C12" s="58">
        <v>27.67229427273984</v>
      </c>
      <c r="D12" s="58">
        <v>-106.2946865</v>
      </c>
      <c r="E12" s="58">
        <v>-15.296751499999999</v>
      </c>
      <c r="F12" s="6" t="s">
        <v>10</v>
      </c>
      <c r="G12" s="55"/>
      <c r="I12" s="55"/>
      <c r="O12" s="81"/>
    </row>
    <row r="13" spans="1:15" x14ac:dyDescent="0.35">
      <c r="A13" s="21" t="s">
        <v>168</v>
      </c>
      <c r="B13" s="22" t="s">
        <v>83</v>
      </c>
      <c r="C13" s="57">
        <v>27.01018485747154</v>
      </c>
      <c r="D13" s="57">
        <v>-116.08757900000001</v>
      </c>
      <c r="E13" s="57">
        <v>-0.96157300000000001</v>
      </c>
      <c r="F13" s="8" t="s">
        <v>13</v>
      </c>
      <c r="G13" s="55"/>
      <c r="I13" s="55"/>
      <c r="O13" s="81"/>
    </row>
    <row r="14" spans="1:15" x14ac:dyDescent="0.35">
      <c r="A14" s="5" t="s">
        <v>178</v>
      </c>
      <c r="B14" s="7" t="s">
        <v>48</v>
      </c>
      <c r="C14" s="58">
        <v>24.322712257154468</v>
      </c>
      <c r="D14" s="58">
        <v>-59.487724</v>
      </c>
      <c r="E14" s="58">
        <v>-10.978054</v>
      </c>
      <c r="F14" s="6" t="s">
        <v>10</v>
      </c>
      <c r="G14" s="55"/>
      <c r="I14" s="55"/>
      <c r="O14" s="81"/>
    </row>
    <row r="15" spans="1:15" x14ac:dyDescent="0.35">
      <c r="A15" s="21" t="s">
        <v>149</v>
      </c>
      <c r="B15" s="22" t="s">
        <v>32</v>
      </c>
      <c r="C15" s="57">
        <v>24.22763866122764</v>
      </c>
      <c r="D15" s="57">
        <v>1.5079180000000001</v>
      </c>
      <c r="E15" s="57">
        <v>-11.211986</v>
      </c>
      <c r="F15" s="8" t="s">
        <v>14</v>
      </c>
      <c r="G15" s="55"/>
      <c r="I15" s="55"/>
      <c r="O15" s="81"/>
    </row>
    <row r="16" spans="1:15" x14ac:dyDescent="0.35">
      <c r="A16" s="5" t="s">
        <v>176</v>
      </c>
      <c r="B16" s="7" t="s">
        <v>58</v>
      </c>
      <c r="C16" s="58">
        <v>23.407997674634153</v>
      </c>
      <c r="D16" s="58">
        <v>-181.817353</v>
      </c>
      <c r="E16" s="58">
        <v>-2.032232</v>
      </c>
      <c r="F16" s="6" t="s">
        <v>17</v>
      </c>
      <c r="G16" s="55"/>
      <c r="I16" s="55"/>
      <c r="J16" s="55"/>
      <c r="K16" s="55"/>
      <c r="O16" s="81"/>
    </row>
    <row r="17" spans="1:15" x14ac:dyDescent="0.35">
      <c r="A17" s="21" t="s">
        <v>180</v>
      </c>
      <c r="B17" s="22" t="s">
        <v>54</v>
      </c>
      <c r="C17" s="57">
        <v>20.87487224268293</v>
      </c>
      <c r="D17" s="57">
        <v>-224.63324159999999</v>
      </c>
      <c r="E17" s="57">
        <v>-11.89076</v>
      </c>
      <c r="F17" s="8" t="s">
        <v>16</v>
      </c>
      <c r="G17" s="55"/>
      <c r="I17" s="55"/>
      <c r="J17" s="55"/>
      <c r="K17" s="55"/>
      <c r="O17" s="81"/>
    </row>
    <row r="18" spans="1:15" x14ac:dyDescent="0.35">
      <c r="A18" s="5" t="s">
        <v>173</v>
      </c>
      <c r="B18" s="7" t="s">
        <v>41</v>
      </c>
      <c r="C18" s="58">
        <v>17.579108995292678</v>
      </c>
      <c r="D18" s="58">
        <v>-49.701908000000003</v>
      </c>
      <c r="E18" s="58">
        <v>-9.3800860000000004</v>
      </c>
      <c r="F18" s="6" t="s">
        <v>11</v>
      </c>
      <c r="G18" s="55"/>
      <c r="I18" s="55"/>
      <c r="J18" s="55"/>
      <c r="K18" s="55"/>
      <c r="O18" s="81"/>
    </row>
    <row r="19" spans="1:15" x14ac:dyDescent="0.35">
      <c r="A19" s="21" t="s">
        <v>39</v>
      </c>
      <c r="B19" s="22" t="s">
        <v>37</v>
      </c>
      <c r="C19" s="57">
        <v>17.50119645853659</v>
      </c>
      <c r="D19" s="57">
        <v>121.44308599999999</v>
      </c>
      <c r="E19" s="57">
        <v>36.653545999999999</v>
      </c>
      <c r="F19" s="8" t="s">
        <v>14</v>
      </c>
      <c r="G19" s="55"/>
      <c r="I19" s="55"/>
      <c r="J19" s="55"/>
      <c r="K19" s="55"/>
      <c r="O19" s="81"/>
    </row>
    <row r="20" spans="1:15" x14ac:dyDescent="0.35">
      <c r="A20" s="5" t="s">
        <v>174</v>
      </c>
      <c r="B20" s="7" t="s">
        <v>42</v>
      </c>
      <c r="C20" s="58">
        <v>17.447560063577232</v>
      </c>
      <c r="D20" s="58">
        <v>-18.767409799999999</v>
      </c>
      <c r="E20" s="58">
        <v>-28.244613999999999</v>
      </c>
      <c r="F20" s="6" t="s">
        <v>19</v>
      </c>
      <c r="G20" s="55"/>
      <c r="I20" s="55"/>
      <c r="J20" s="55"/>
      <c r="K20" s="55"/>
      <c r="O20" s="81"/>
    </row>
    <row r="21" spans="1:15" x14ac:dyDescent="0.35">
      <c r="A21" s="21" t="s">
        <v>29</v>
      </c>
      <c r="B21" s="22" t="s">
        <v>24</v>
      </c>
      <c r="C21" s="57">
        <v>17.308029415934961</v>
      </c>
      <c r="D21" s="57">
        <v>-52.370285000000003</v>
      </c>
      <c r="E21" s="57">
        <v>-6.7966829999999998</v>
      </c>
      <c r="F21" s="8" t="s">
        <v>13</v>
      </c>
      <c r="G21" s="55"/>
      <c r="I21" s="55"/>
      <c r="J21" s="55"/>
      <c r="K21" s="55"/>
      <c r="O21" s="81"/>
    </row>
    <row r="22" spans="1:15" x14ac:dyDescent="0.35">
      <c r="A22" s="5" t="s">
        <v>177</v>
      </c>
      <c r="B22" s="7" t="s">
        <v>51</v>
      </c>
      <c r="C22" s="58">
        <v>16.555561556097558</v>
      </c>
      <c r="D22" s="58">
        <v>36.560062500000008</v>
      </c>
      <c r="E22" s="58">
        <v>-10.6593505</v>
      </c>
      <c r="F22" s="6" t="s">
        <v>11</v>
      </c>
      <c r="G22" s="55"/>
      <c r="I22" s="55"/>
      <c r="J22" s="55"/>
      <c r="K22" s="55"/>
      <c r="O22" s="81"/>
    </row>
    <row r="23" spans="1:15" x14ac:dyDescent="0.35">
      <c r="A23" s="21" t="s">
        <v>172</v>
      </c>
      <c r="B23" s="22" t="s">
        <v>52</v>
      </c>
      <c r="C23" s="57">
        <v>15.795463376521601</v>
      </c>
      <c r="D23" s="57">
        <v>12.612270780250009</v>
      </c>
      <c r="E23" s="57">
        <v>-6.4512165977000002</v>
      </c>
      <c r="F23" s="8" t="s">
        <v>14</v>
      </c>
      <c r="G23" s="55"/>
      <c r="I23" s="55"/>
      <c r="J23" s="55"/>
      <c r="K23" s="55"/>
      <c r="O23" s="81"/>
    </row>
    <row r="24" spans="1:15" x14ac:dyDescent="0.35">
      <c r="A24" s="5" t="s">
        <v>179</v>
      </c>
      <c r="B24" s="7" t="s">
        <v>59</v>
      </c>
      <c r="C24" s="58">
        <v>14.195645441951221</v>
      </c>
      <c r="D24" s="58">
        <v>-121.21946699999999</v>
      </c>
      <c r="E24" s="58">
        <v>3.1845530000000002</v>
      </c>
      <c r="F24" s="6" t="s">
        <v>16</v>
      </c>
      <c r="G24" s="55"/>
      <c r="I24" s="55"/>
      <c r="J24" s="55"/>
      <c r="K24" s="55"/>
      <c r="O24" s="81"/>
    </row>
    <row r="25" spans="1:15" x14ac:dyDescent="0.35">
      <c r="A25" s="21" t="s">
        <v>175</v>
      </c>
      <c r="B25" s="22" t="s">
        <v>74</v>
      </c>
      <c r="C25" s="57">
        <v>12.951202115772359</v>
      </c>
      <c r="D25" s="57">
        <v>-84.345110000000005</v>
      </c>
      <c r="E25" s="57">
        <v>-8.0202659999999995</v>
      </c>
      <c r="F25" s="8" t="s">
        <v>17</v>
      </c>
      <c r="G25" s="55"/>
      <c r="I25" s="55"/>
      <c r="J25" s="55"/>
      <c r="K25" s="55"/>
      <c r="O25" s="81"/>
    </row>
    <row r="26" spans="1:15" x14ac:dyDescent="0.35">
      <c r="A26" s="5" t="s">
        <v>34</v>
      </c>
      <c r="B26" s="7" t="s">
        <v>30</v>
      </c>
      <c r="C26" s="58">
        <v>12.242729869918699</v>
      </c>
      <c r="D26" s="58">
        <v>33.896152999999998</v>
      </c>
      <c r="E26" s="58">
        <v>2.1752159999999998</v>
      </c>
      <c r="F26" s="6" t="s">
        <v>14</v>
      </c>
      <c r="G26" s="55"/>
      <c r="I26" s="55"/>
      <c r="J26" s="55"/>
      <c r="K26" s="55"/>
      <c r="O26" s="81"/>
    </row>
    <row r="27" spans="1:15" x14ac:dyDescent="0.35">
      <c r="A27" s="21" t="s">
        <v>184</v>
      </c>
      <c r="B27" s="22" t="s">
        <v>78</v>
      </c>
      <c r="C27" s="57">
        <v>11.44660274837398</v>
      </c>
      <c r="D27" s="57">
        <v>-62.560910499999999</v>
      </c>
      <c r="E27" s="57">
        <v>3.6616175000000002</v>
      </c>
      <c r="F27" s="8" t="s">
        <v>17</v>
      </c>
      <c r="G27" s="55"/>
      <c r="I27" s="55"/>
      <c r="J27" s="55"/>
      <c r="K27" s="55"/>
      <c r="O27" s="81"/>
    </row>
    <row r="28" spans="1:15" x14ac:dyDescent="0.35">
      <c r="A28" s="5" t="s">
        <v>181</v>
      </c>
      <c r="B28" s="7" t="s">
        <v>43</v>
      </c>
      <c r="C28" s="58">
        <v>10.620311019154471</v>
      </c>
      <c r="D28" s="58">
        <v>64.872185000000002</v>
      </c>
      <c r="E28" s="58">
        <v>6.8011699999999999</v>
      </c>
      <c r="F28" s="6" t="s">
        <v>161</v>
      </c>
      <c r="G28" s="55"/>
      <c r="I28" s="55"/>
      <c r="J28" s="55"/>
      <c r="K28" s="55"/>
      <c r="O28" s="81"/>
    </row>
    <row r="29" spans="1:15" x14ac:dyDescent="0.35">
      <c r="A29" s="21" t="s">
        <v>171</v>
      </c>
      <c r="B29" s="22" t="s">
        <v>76</v>
      </c>
      <c r="C29" s="57">
        <v>10.50445039154472</v>
      </c>
      <c r="D29" s="57">
        <v>-50.232255000000002</v>
      </c>
      <c r="E29" s="57">
        <v>2.2971780000000002</v>
      </c>
      <c r="F29" s="8" t="s">
        <v>17</v>
      </c>
      <c r="G29" s="55"/>
      <c r="I29" s="55"/>
      <c r="J29" s="55"/>
      <c r="K29" s="55"/>
      <c r="O29" s="81"/>
    </row>
    <row r="30" spans="1:15" x14ac:dyDescent="0.35">
      <c r="A30" s="5" t="s">
        <v>185</v>
      </c>
      <c r="B30" s="7" t="s">
        <v>55</v>
      </c>
      <c r="C30" s="58">
        <v>9.3205628755746357</v>
      </c>
      <c r="D30" s="58">
        <v>22.6553406574</v>
      </c>
      <c r="E30" s="58">
        <v>3.1286235865000003</v>
      </c>
      <c r="F30" s="6" t="s">
        <v>16</v>
      </c>
      <c r="G30" s="55"/>
      <c r="I30" s="55"/>
      <c r="J30" s="55"/>
      <c r="K30" s="55"/>
      <c r="O30" s="81"/>
    </row>
    <row r="31" spans="1:15" x14ac:dyDescent="0.35">
      <c r="A31" s="21" t="s">
        <v>186</v>
      </c>
      <c r="B31" s="22" t="s">
        <v>88</v>
      </c>
      <c r="C31" s="57">
        <v>8.4875432886178874</v>
      </c>
      <c r="D31" s="57">
        <v>-22.246230000000001</v>
      </c>
      <c r="E31" s="57">
        <v>1.4205380000000001</v>
      </c>
      <c r="F31" s="8" t="s">
        <v>17</v>
      </c>
      <c r="G31" s="55"/>
      <c r="I31" s="55"/>
      <c r="J31" s="55"/>
      <c r="K31" s="55"/>
      <c r="O31" s="81"/>
    </row>
    <row r="32" spans="1:15" x14ac:dyDescent="0.35">
      <c r="A32" s="5" t="s">
        <v>140</v>
      </c>
      <c r="B32" s="7" t="s">
        <v>105</v>
      </c>
      <c r="C32" s="58">
        <v>8.2571080528455276</v>
      </c>
      <c r="D32" s="58">
        <v>53.156683000000001</v>
      </c>
      <c r="E32" s="58">
        <v>-3.404601</v>
      </c>
      <c r="F32" s="6" t="s">
        <v>14</v>
      </c>
      <c r="G32" s="55"/>
      <c r="I32" s="55"/>
      <c r="J32" s="55"/>
      <c r="K32" s="55"/>
      <c r="O32" s="81"/>
    </row>
    <row r="33" spans="1:15" x14ac:dyDescent="0.35">
      <c r="A33" s="21" t="s">
        <v>183</v>
      </c>
      <c r="B33" s="22" t="s">
        <v>108</v>
      </c>
      <c r="C33" s="57">
        <v>7.0693721934959353</v>
      </c>
      <c r="D33" s="57">
        <v>-2.536937</v>
      </c>
      <c r="E33" s="57">
        <v>-7.0852490000000001</v>
      </c>
      <c r="F33" s="8" t="s">
        <v>17</v>
      </c>
      <c r="G33" s="55"/>
      <c r="I33" s="55"/>
      <c r="J33" s="55"/>
      <c r="K33" s="55"/>
      <c r="O33" s="81"/>
    </row>
    <row r="34" spans="1:15" x14ac:dyDescent="0.35">
      <c r="A34" s="5" t="s">
        <v>182</v>
      </c>
      <c r="B34" s="7" t="s">
        <v>101</v>
      </c>
      <c r="C34" s="58">
        <v>6.5759244324552855</v>
      </c>
      <c r="D34" s="58">
        <v>-20.066783999999998</v>
      </c>
      <c r="E34" s="58">
        <v>-1.2554689999999999</v>
      </c>
      <c r="F34" s="6" t="s">
        <v>17</v>
      </c>
      <c r="G34" s="55"/>
      <c r="I34" s="55"/>
      <c r="J34" s="55"/>
      <c r="K34" s="55"/>
      <c r="O34" s="81"/>
    </row>
    <row r="35" spans="1:15" x14ac:dyDescent="0.35">
      <c r="A35" s="21" t="s">
        <v>190</v>
      </c>
      <c r="B35" s="22" t="s">
        <v>267</v>
      </c>
      <c r="C35" s="57">
        <v>6.1689019000000007</v>
      </c>
      <c r="D35" s="57">
        <v>-16.957121000000001</v>
      </c>
      <c r="E35" s="57">
        <v>-2.0094609999999999</v>
      </c>
      <c r="F35" s="8" t="s">
        <v>161</v>
      </c>
      <c r="G35" s="55"/>
      <c r="I35" s="55"/>
      <c r="J35" s="55"/>
      <c r="K35" s="55"/>
      <c r="O35" s="81"/>
    </row>
    <row r="36" spans="1:15" x14ac:dyDescent="0.35">
      <c r="A36" s="5" t="s">
        <v>189</v>
      </c>
      <c r="B36" s="7" t="s">
        <v>109</v>
      </c>
      <c r="C36" s="58">
        <v>5.9463124219512196</v>
      </c>
      <c r="D36" s="58">
        <v>21.758762999999998</v>
      </c>
      <c r="E36" s="58">
        <v>2.6569410000000002</v>
      </c>
      <c r="F36" s="6" t="s">
        <v>161</v>
      </c>
      <c r="G36" s="55"/>
      <c r="I36" s="55"/>
      <c r="J36" s="55"/>
      <c r="K36" s="55"/>
      <c r="O36" s="81"/>
    </row>
    <row r="37" spans="1:15" x14ac:dyDescent="0.35">
      <c r="A37" s="21" t="s">
        <v>187</v>
      </c>
      <c r="B37" s="22" t="s">
        <v>89</v>
      </c>
      <c r="C37" s="57">
        <v>5.611880846536585</v>
      </c>
      <c r="D37" s="57">
        <v>-78.223965223999997</v>
      </c>
      <c r="E37" s="57">
        <v>-2.0482260000000001</v>
      </c>
      <c r="F37" s="8" t="s">
        <v>161</v>
      </c>
      <c r="G37" s="55"/>
      <c r="I37" s="55"/>
      <c r="J37" s="55"/>
      <c r="K37" s="55"/>
      <c r="O37" s="81"/>
    </row>
    <row r="38" spans="1:15" x14ac:dyDescent="0.35">
      <c r="A38" s="5" t="s">
        <v>188</v>
      </c>
      <c r="B38" s="7" t="s">
        <v>91</v>
      </c>
      <c r="C38" s="58">
        <v>4.7345611977642283</v>
      </c>
      <c r="D38" s="58">
        <v>-50.0668735</v>
      </c>
      <c r="E38" s="58">
        <v>-5.6682424999999999</v>
      </c>
      <c r="F38" s="6" t="s">
        <v>17</v>
      </c>
      <c r="G38" s="55"/>
      <c r="I38" s="55"/>
      <c r="J38" s="55"/>
      <c r="K38" s="55"/>
      <c r="O38" s="81"/>
    </row>
    <row r="39" spans="1:15" x14ac:dyDescent="0.35">
      <c r="A39" s="21" t="s">
        <v>207</v>
      </c>
      <c r="B39" s="22" t="s">
        <v>107</v>
      </c>
      <c r="C39" s="57">
        <v>4.2304970710569112</v>
      </c>
      <c r="D39" s="57">
        <v>-35.004570000000001</v>
      </c>
      <c r="E39" s="57">
        <v>-3.8922919999999999</v>
      </c>
      <c r="F39" s="8" t="s">
        <v>11</v>
      </c>
      <c r="G39" s="55"/>
      <c r="I39" s="55"/>
      <c r="J39" s="55"/>
      <c r="K39" s="55"/>
      <c r="O39" s="81"/>
    </row>
    <row r="40" spans="1:15" x14ac:dyDescent="0.35">
      <c r="A40" s="5" t="s">
        <v>193</v>
      </c>
      <c r="B40" s="7" t="s">
        <v>123</v>
      </c>
      <c r="C40" s="58">
        <v>4.1241407434959347</v>
      </c>
      <c r="D40" s="58">
        <v>6.6112859999999998</v>
      </c>
      <c r="E40" s="58">
        <v>1.5050140000000001</v>
      </c>
      <c r="F40" s="6" t="s">
        <v>161</v>
      </c>
      <c r="G40" s="55"/>
      <c r="I40" s="55"/>
      <c r="J40" s="55"/>
      <c r="K40" s="55"/>
      <c r="O40" s="81"/>
    </row>
    <row r="41" spans="1:15" x14ac:dyDescent="0.35">
      <c r="A41" s="21" t="s">
        <v>191</v>
      </c>
      <c r="B41" s="22" t="s">
        <v>120</v>
      </c>
      <c r="C41" s="57">
        <v>3.5296423252032518</v>
      </c>
      <c r="D41" s="57">
        <v>7.6700144999999997</v>
      </c>
      <c r="E41" s="57">
        <v>-2.3487415</v>
      </c>
      <c r="F41" s="8" t="s">
        <v>162</v>
      </c>
      <c r="G41" s="55"/>
      <c r="I41" s="55"/>
      <c r="J41" s="55"/>
      <c r="K41" s="55"/>
      <c r="O41" s="81"/>
    </row>
    <row r="42" spans="1:15" x14ac:dyDescent="0.35">
      <c r="A42" s="5" t="s">
        <v>212</v>
      </c>
      <c r="B42" s="7" t="s">
        <v>128</v>
      </c>
      <c r="C42" s="58">
        <v>3.5046741560975612</v>
      </c>
      <c r="D42" s="58">
        <v>18.1118925</v>
      </c>
      <c r="E42" s="58">
        <v>0.31178099999999997</v>
      </c>
      <c r="F42" s="6" t="s">
        <v>162</v>
      </c>
      <c r="G42" s="55"/>
      <c r="I42" s="55"/>
      <c r="J42" s="55"/>
      <c r="K42" s="55"/>
      <c r="O42" s="81"/>
    </row>
    <row r="43" spans="1:15" x14ac:dyDescent="0.35">
      <c r="A43" s="21" t="s">
        <v>194</v>
      </c>
      <c r="B43" s="22" t="s">
        <v>110</v>
      </c>
      <c r="C43" s="57">
        <v>3.3857546024390239</v>
      </c>
      <c r="D43" s="57">
        <v>-20.387781499999999</v>
      </c>
      <c r="E43" s="57">
        <v>0.28564650000000003</v>
      </c>
      <c r="F43" s="8" t="s">
        <v>161</v>
      </c>
      <c r="G43" s="55"/>
      <c r="I43" s="55"/>
      <c r="J43" s="55"/>
      <c r="K43" s="55"/>
      <c r="O43" s="81"/>
    </row>
    <row r="44" spans="1:15" x14ac:dyDescent="0.35">
      <c r="A44" s="5" t="s">
        <v>195</v>
      </c>
      <c r="B44" s="7" t="s">
        <v>102</v>
      </c>
      <c r="C44" s="58">
        <v>3.2701681443902442</v>
      </c>
      <c r="D44" s="58">
        <v>-2.0169914999999992</v>
      </c>
      <c r="E44" s="58">
        <v>-1.7445415</v>
      </c>
      <c r="F44" s="6" t="s">
        <v>17</v>
      </c>
      <c r="G44" s="55"/>
      <c r="I44" s="55"/>
      <c r="J44" s="55"/>
      <c r="K44" s="55"/>
      <c r="O44" s="81"/>
    </row>
    <row r="45" spans="1:15" x14ac:dyDescent="0.35">
      <c r="A45" s="21" t="s">
        <v>196</v>
      </c>
      <c r="B45" s="22" t="s">
        <v>115</v>
      </c>
      <c r="C45" s="57">
        <v>3.1405476661788621</v>
      </c>
      <c r="D45" s="57">
        <v>-29.860005000000001</v>
      </c>
      <c r="E45" s="57">
        <v>-1.8228025000000001</v>
      </c>
      <c r="F45" s="8" t="s">
        <v>160</v>
      </c>
      <c r="G45" s="55"/>
      <c r="I45" s="55"/>
      <c r="J45" s="55"/>
      <c r="K45" s="55"/>
      <c r="O45" s="81"/>
    </row>
    <row r="46" spans="1:15" x14ac:dyDescent="0.35">
      <c r="A46" s="5" t="s">
        <v>192</v>
      </c>
      <c r="B46" s="7" t="s">
        <v>94</v>
      </c>
      <c r="C46" s="58">
        <v>3.0399017317073169</v>
      </c>
      <c r="D46" s="58">
        <v>11.453986</v>
      </c>
      <c r="E46" s="58">
        <v>0.84694700000000001</v>
      </c>
      <c r="F46" s="6" t="s">
        <v>14</v>
      </c>
      <c r="G46" s="55"/>
      <c r="I46" s="55"/>
      <c r="J46" s="55"/>
      <c r="K46" s="55"/>
      <c r="O46" s="81"/>
    </row>
    <row r="47" spans="1:15" x14ac:dyDescent="0.35">
      <c r="A47" s="21" t="s">
        <v>216</v>
      </c>
      <c r="B47" s="22" t="s">
        <v>130</v>
      </c>
      <c r="C47" s="57">
        <v>2.8608835538211381</v>
      </c>
      <c r="D47" s="57">
        <v>15.96523</v>
      </c>
      <c r="E47" s="57">
        <v>1.2307140000000001</v>
      </c>
      <c r="F47" s="8" t="s">
        <v>163</v>
      </c>
      <c r="G47" s="55"/>
      <c r="I47" s="55"/>
      <c r="J47" s="55"/>
      <c r="K47" s="55"/>
      <c r="O47" s="81"/>
    </row>
    <row r="48" spans="1:15" x14ac:dyDescent="0.35">
      <c r="A48" s="5" t="s">
        <v>258</v>
      </c>
      <c r="B48" s="7" t="s">
        <v>259</v>
      </c>
      <c r="C48" s="58">
        <v>2.8443866788617882</v>
      </c>
      <c r="D48" s="58">
        <v>38.093516999999999</v>
      </c>
      <c r="E48" s="58">
        <v>-5.2982189999999996</v>
      </c>
      <c r="F48" s="6" t="s">
        <v>13</v>
      </c>
      <c r="G48" s="55"/>
      <c r="I48" s="55"/>
      <c r="J48" s="55"/>
      <c r="K48" s="55"/>
      <c r="O48" s="81"/>
    </row>
    <row r="49" spans="1:15" x14ac:dyDescent="0.35">
      <c r="A49" s="21" t="s">
        <v>199</v>
      </c>
      <c r="B49" s="22" t="s">
        <v>117</v>
      </c>
      <c r="C49" s="57">
        <v>2.5606735779105692</v>
      </c>
      <c r="D49" s="57">
        <v>-6.8543000000000012</v>
      </c>
      <c r="E49" s="57">
        <v>-2.4902739999999999</v>
      </c>
      <c r="F49" s="8" t="s">
        <v>17</v>
      </c>
      <c r="G49" s="55"/>
      <c r="I49" s="55"/>
      <c r="J49" s="55"/>
      <c r="K49" s="55"/>
      <c r="O49" s="81"/>
    </row>
    <row r="50" spans="1:15" x14ac:dyDescent="0.35">
      <c r="A50" s="5" t="s">
        <v>206</v>
      </c>
      <c r="B50" s="7" t="s">
        <v>103</v>
      </c>
      <c r="C50" s="58">
        <v>2.4960163908130077</v>
      </c>
      <c r="D50" s="58">
        <v>-15.388919</v>
      </c>
      <c r="E50" s="58">
        <v>-8.5180000000000006E-2</v>
      </c>
      <c r="F50" s="6" t="s">
        <v>15</v>
      </c>
      <c r="G50" s="55"/>
      <c r="I50" s="55"/>
      <c r="J50" s="55"/>
      <c r="K50" s="55"/>
      <c r="O50" s="81"/>
    </row>
    <row r="51" spans="1:15" x14ac:dyDescent="0.35">
      <c r="A51" s="21" t="s">
        <v>200</v>
      </c>
      <c r="B51" s="22" t="s">
        <v>106</v>
      </c>
      <c r="C51" s="57">
        <v>2.475295753658536</v>
      </c>
      <c r="D51" s="57">
        <v>-17.193885000000002</v>
      </c>
      <c r="E51" s="57">
        <v>-0.37214999999999998</v>
      </c>
      <c r="F51" s="8" t="s">
        <v>17</v>
      </c>
      <c r="G51" s="55"/>
      <c r="I51" s="55"/>
      <c r="J51" s="55"/>
      <c r="K51" s="55"/>
      <c r="O51" s="81"/>
    </row>
    <row r="52" spans="1:15" x14ac:dyDescent="0.35">
      <c r="A52" s="5" t="s">
        <v>197</v>
      </c>
      <c r="B52" s="7" t="s">
        <v>95</v>
      </c>
      <c r="C52" s="58">
        <v>2.4013539191869921</v>
      </c>
      <c r="D52" s="58">
        <v>-45.024725500000002</v>
      </c>
      <c r="E52" s="58">
        <v>-0.17344399999999999</v>
      </c>
      <c r="F52" s="6" t="s">
        <v>17</v>
      </c>
      <c r="G52" s="55"/>
      <c r="I52" s="55"/>
      <c r="J52" s="55"/>
      <c r="K52" s="55"/>
      <c r="O52" s="81"/>
    </row>
    <row r="53" spans="1:15" x14ac:dyDescent="0.35">
      <c r="A53" s="21" t="s">
        <v>208</v>
      </c>
      <c r="B53" s="22" t="s">
        <v>118</v>
      </c>
      <c r="C53" s="57">
        <v>2.3568408600743092</v>
      </c>
      <c r="D53" s="57">
        <v>4.8317532872500015</v>
      </c>
      <c r="E53" s="57">
        <v>-0.43605934504999988</v>
      </c>
      <c r="F53" s="8" t="s">
        <v>17</v>
      </c>
      <c r="G53" s="55"/>
      <c r="I53" s="55"/>
      <c r="J53" s="55"/>
      <c r="K53" s="55"/>
      <c r="O53" s="81"/>
    </row>
    <row r="54" spans="1:15" x14ac:dyDescent="0.35">
      <c r="A54" s="5" t="s">
        <v>204</v>
      </c>
      <c r="B54" s="7" t="s">
        <v>121</v>
      </c>
      <c r="C54" s="58">
        <v>2.1759670837398382</v>
      </c>
      <c r="D54" s="58">
        <v>-24.013974000000001</v>
      </c>
      <c r="E54" s="58">
        <v>-0.85011400000000004</v>
      </c>
      <c r="F54" s="6" t="s">
        <v>17</v>
      </c>
      <c r="G54" s="55"/>
      <c r="I54" s="55"/>
      <c r="J54" s="55"/>
      <c r="K54" s="55"/>
      <c r="O54" s="81"/>
    </row>
    <row r="55" spans="1:15" x14ac:dyDescent="0.35">
      <c r="A55" s="21" t="s">
        <v>198</v>
      </c>
      <c r="B55" s="22" t="s">
        <v>104</v>
      </c>
      <c r="C55" s="57">
        <v>2.1436168170731711</v>
      </c>
      <c r="D55" s="57">
        <v>-5.0376802000000005</v>
      </c>
      <c r="E55" s="57">
        <v>-0.4750665</v>
      </c>
      <c r="F55" s="8" t="s">
        <v>162</v>
      </c>
      <c r="G55" s="55"/>
      <c r="I55" s="55"/>
      <c r="J55" s="55"/>
      <c r="K55" s="55"/>
      <c r="O55" s="81"/>
    </row>
    <row r="56" spans="1:15" x14ac:dyDescent="0.35">
      <c r="A56" s="5" t="s">
        <v>205</v>
      </c>
      <c r="B56" s="7" t="s">
        <v>57</v>
      </c>
      <c r="C56" s="58">
        <v>2.1204641191580493</v>
      </c>
      <c r="D56" s="58">
        <v>-11.385168713800001</v>
      </c>
      <c r="E56" s="58">
        <v>-0.43401215659999998</v>
      </c>
      <c r="F56" s="6" t="s">
        <v>11</v>
      </c>
      <c r="G56" s="55"/>
      <c r="I56" s="55"/>
      <c r="J56" s="55"/>
      <c r="K56" s="55"/>
      <c r="O56" s="81"/>
    </row>
    <row r="57" spans="1:15" x14ac:dyDescent="0.35">
      <c r="A57" s="21" t="s">
        <v>225</v>
      </c>
      <c r="B57" s="22" t="s">
        <v>96</v>
      </c>
      <c r="C57" s="57">
        <v>2.0348389853658539</v>
      </c>
      <c r="D57" s="57">
        <v>3.6509105000000002</v>
      </c>
      <c r="E57" s="57">
        <v>9.8818999999999976E-2</v>
      </c>
      <c r="F57" s="8" t="s">
        <v>11</v>
      </c>
      <c r="G57" s="55"/>
      <c r="I57" s="55"/>
      <c r="J57" s="55"/>
      <c r="K57" s="55"/>
      <c r="O57" s="81"/>
    </row>
    <row r="58" spans="1:15" x14ac:dyDescent="0.35">
      <c r="A58" s="5" t="s">
        <v>209</v>
      </c>
      <c r="B58" s="7" t="s">
        <v>90</v>
      </c>
      <c r="C58" s="58">
        <v>2.0173738682926832</v>
      </c>
      <c r="D58" s="58">
        <v>-29.188994000000001</v>
      </c>
      <c r="E58" s="58">
        <v>-1.2105520000000001</v>
      </c>
      <c r="F58" s="6" t="s">
        <v>11</v>
      </c>
      <c r="G58" s="55"/>
      <c r="I58" s="55"/>
      <c r="J58" s="55"/>
      <c r="K58" s="55"/>
      <c r="O58" s="81"/>
    </row>
    <row r="59" spans="1:15" x14ac:dyDescent="0.35">
      <c r="A59" s="21" t="s">
        <v>211</v>
      </c>
      <c r="B59" s="22" t="s">
        <v>111</v>
      </c>
      <c r="C59" s="57">
        <v>1.9543415040650409</v>
      </c>
      <c r="D59" s="57">
        <v>8.2196935</v>
      </c>
      <c r="E59" s="57">
        <v>1.0753265000000001</v>
      </c>
      <c r="F59" s="8" t="s">
        <v>13</v>
      </c>
      <c r="G59" s="55"/>
      <c r="I59" s="55"/>
      <c r="J59" s="55"/>
      <c r="K59" s="55"/>
      <c r="O59" s="81"/>
    </row>
    <row r="60" spans="1:15" x14ac:dyDescent="0.35">
      <c r="A60" s="5" t="s">
        <v>214</v>
      </c>
      <c r="B60" s="7" t="s">
        <v>112</v>
      </c>
      <c r="C60" s="58">
        <v>1.8648871520325199</v>
      </c>
      <c r="D60" s="58">
        <v>2.0496270000000001</v>
      </c>
      <c r="E60" s="58">
        <v>0.13575599999999999</v>
      </c>
      <c r="F60" s="6" t="s">
        <v>11</v>
      </c>
      <c r="G60" s="55"/>
      <c r="I60" s="55"/>
      <c r="J60" s="55"/>
      <c r="K60" s="55"/>
      <c r="O60" s="81"/>
    </row>
    <row r="61" spans="1:15" x14ac:dyDescent="0.35">
      <c r="A61" s="21" t="s">
        <v>202</v>
      </c>
      <c r="B61" s="22" t="s">
        <v>119</v>
      </c>
      <c r="C61" s="57">
        <v>1.6855926191869921</v>
      </c>
      <c r="D61" s="57">
        <v>-14.457613500000001</v>
      </c>
      <c r="E61" s="57">
        <v>-0.16039900000000001</v>
      </c>
      <c r="F61" s="8" t="s">
        <v>17</v>
      </c>
      <c r="G61" s="55"/>
      <c r="I61" s="55"/>
      <c r="J61" s="55"/>
      <c r="K61" s="55"/>
      <c r="O61" s="81"/>
    </row>
    <row r="62" spans="1:15" x14ac:dyDescent="0.35">
      <c r="A62" s="5" t="s">
        <v>224</v>
      </c>
      <c r="B62" s="7" t="s">
        <v>113</v>
      </c>
      <c r="C62" s="58">
        <v>1.632294810569106</v>
      </c>
      <c r="D62" s="58">
        <v>-49.072764499999998</v>
      </c>
      <c r="E62" s="58">
        <v>-5.0059630000000004</v>
      </c>
      <c r="F62" s="6" t="s">
        <v>163</v>
      </c>
      <c r="G62" s="55"/>
      <c r="I62" s="55"/>
      <c r="J62" s="55"/>
      <c r="K62" s="55"/>
      <c r="O62" s="81"/>
    </row>
    <row r="63" spans="1:15" x14ac:dyDescent="0.35">
      <c r="A63" s="21" t="s">
        <v>201</v>
      </c>
      <c r="B63" s="22" t="s">
        <v>150</v>
      </c>
      <c r="C63" s="57">
        <v>1.591634071544715</v>
      </c>
      <c r="D63" s="57">
        <v>-0.18209920000000029</v>
      </c>
      <c r="E63" s="57">
        <v>-6.8578100000000003E-2</v>
      </c>
      <c r="F63" s="8" t="s">
        <v>14</v>
      </c>
      <c r="G63" s="55"/>
      <c r="I63" s="55"/>
      <c r="J63" s="55"/>
      <c r="K63" s="55"/>
      <c r="O63" s="81"/>
    </row>
    <row r="64" spans="1:15" x14ac:dyDescent="0.35">
      <c r="A64" s="5" t="s">
        <v>227</v>
      </c>
      <c r="B64" s="7" t="s">
        <v>134</v>
      </c>
      <c r="C64" s="58">
        <v>1.501800821138211</v>
      </c>
      <c r="D64" s="58">
        <v>8.965128</v>
      </c>
      <c r="E64" s="58">
        <v>0.120683</v>
      </c>
      <c r="F64" s="6" t="s">
        <v>14</v>
      </c>
      <c r="G64" s="55"/>
      <c r="I64" s="55"/>
      <c r="J64" s="55"/>
      <c r="K64" s="55"/>
      <c r="O64" s="81"/>
    </row>
    <row r="65" spans="1:15" x14ac:dyDescent="0.35">
      <c r="A65" s="21" t="s">
        <v>203</v>
      </c>
      <c r="B65" s="22" t="s">
        <v>116</v>
      </c>
      <c r="C65" s="57">
        <v>1.4319496800839839</v>
      </c>
      <c r="D65" s="57">
        <v>-6.85251339604</v>
      </c>
      <c r="E65" s="57">
        <v>2.927323972999998E-2</v>
      </c>
      <c r="F65" s="8" t="s">
        <v>10</v>
      </c>
      <c r="G65" s="55"/>
      <c r="I65" s="55"/>
      <c r="J65" s="55"/>
      <c r="K65" s="55"/>
      <c r="O65" s="81"/>
    </row>
    <row r="66" spans="1:15" x14ac:dyDescent="0.35">
      <c r="A66" s="5" t="s">
        <v>246</v>
      </c>
      <c r="B66" s="7" t="s">
        <v>152</v>
      </c>
      <c r="C66" s="58">
        <v>1.3815208119837399</v>
      </c>
      <c r="D66" s="58">
        <v>1.2225790000000001</v>
      </c>
      <c r="E66" s="58">
        <v>2.7064300000000001</v>
      </c>
      <c r="F66" s="6" t="s">
        <v>16</v>
      </c>
      <c r="G66" s="55"/>
      <c r="I66" s="55"/>
      <c r="J66" s="55"/>
      <c r="K66" s="55"/>
      <c r="O66" s="81"/>
    </row>
    <row r="67" spans="1:15" x14ac:dyDescent="0.35">
      <c r="A67" s="21" t="s">
        <v>210</v>
      </c>
      <c r="B67" s="22" t="s">
        <v>144</v>
      </c>
      <c r="C67" s="57">
        <v>1.3748122308943089</v>
      </c>
      <c r="D67" s="57">
        <v>-0.83478330000000001</v>
      </c>
      <c r="E67" s="57">
        <v>9.6953999999999999E-3</v>
      </c>
      <c r="F67" s="8" t="s">
        <v>163</v>
      </c>
      <c r="G67" s="55"/>
      <c r="I67" s="55"/>
      <c r="J67" s="55"/>
      <c r="K67" s="55"/>
      <c r="O67" s="81"/>
    </row>
    <row r="68" spans="1:15" x14ac:dyDescent="0.35">
      <c r="A68" s="5" t="s">
        <v>215</v>
      </c>
      <c r="B68" s="7" t="s">
        <v>129</v>
      </c>
      <c r="C68" s="58">
        <v>1.3577197601626019</v>
      </c>
      <c r="D68" s="58">
        <v>14.224788</v>
      </c>
      <c r="E68" s="58">
        <v>-0.800624</v>
      </c>
      <c r="F68" s="6" t="s">
        <v>160</v>
      </c>
      <c r="G68" s="55"/>
      <c r="I68" s="55"/>
      <c r="J68" s="55"/>
      <c r="K68" s="55"/>
      <c r="O68" s="81"/>
    </row>
    <row r="69" spans="1:15" x14ac:dyDescent="0.35">
      <c r="A69" s="21" t="s">
        <v>241</v>
      </c>
      <c r="B69" s="22" t="s">
        <v>114</v>
      </c>
      <c r="C69" s="57">
        <v>1.3414042601626019</v>
      </c>
      <c r="D69" s="57">
        <v>6.7631420000000002</v>
      </c>
      <c r="E69" s="57">
        <v>0.32764100000000013</v>
      </c>
      <c r="F69" s="8" t="s">
        <v>10</v>
      </c>
      <c r="G69" s="55"/>
      <c r="I69" s="55"/>
      <c r="J69" s="55"/>
      <c r="K69" s="55"/>
      <c r="O69" s="81"/>
    </row>
    <row r="70" spans="1:15" x14ac:dyDescent="0.35">
      <c r="A70" s="5" t="s">
        <v>220</v>
      </c>
      <c r="B70" s="7" t="s">
        <v>127</v>
      </c>
      <c r="C70" s="58">
        <v>1.2712090861788621</v>
      </c>
      <c r="D70" s="58">
        <v>-4.6229829999999996</v>
      </c>
      <c r="E70" s="58">
        <v>0.57922600000000002</v>
      </c>
      <c r="F70" s="6" t="s">
        <v>17</v>
      </c>
      <c r="G70" s="55"/>
      <c r="I70" s="55"/>
      <c r="J70" s="55"/>
      <c r="K70" s="55"/>
      <c r="O70" s="81"/>
    </row>
    <row r="71" spans="1:15" x14ac:dyDescent="0.35">
      <c r="A71" s="21" t="s">
        <v>222</v>
      </c>
      <c r="B71" s="22" t="s">
        <v>93</v>
      </c>
      <c r="C71" s="57">
        <v>1.1018676953699191</v>
      </c>
      <c r="D71" s="57">
        <v>-15.6171734347</v>
      </c>
      <c r="E71" s="57">
        <v>-0.12598855339000001</v>
      </c>
      <c r="F71" s="8" t="s">
        <v>17</v>
      </c>
      <c r="G71" s="55"/>
      <c r="I71" s="55"/>
      <c r="J71" s="55"/>
      <c r="K71" s="55"/>
      <c r="O71" s="81"/>
    </row>
    <row r="72" spans="1:15" x14ac:dyDescent="0.35">
      <c r="A72" s="5" t="s">
        <v>217</v>
      </c>
      <c r="B72" s="7" t="s">
        <v>133</v>
      </c>
      <c r="C72" s="58">
        <v>1.080532208130081</v>
      </c>
      <c r="D72" s="58">
        <v>-4.9577650000000002</v>
      </c>
      <c r="E72" s="58">
        <v>0.34786250000000002</v>
      </c>
      <c r="F72" s="6" t="s">
        <v>16</v>
      </c>
      <c r="G72" s="55"/>
      <c r="I72" s="55"/>
      <c r="J72" s="55"/>
      <c r="K72" s="55"/>
      <c r="O72" s="81"/>
    </row>
    <row r="73" spans="1:15" x14ac:dyDescent="0.35">
      <c r="A73" s="21" t="s">
        <v>218</v>
      </c>
      <c r="B73" s="22" t="s">
        <v>151</v>
      </c>
      <c r="C73" s="57">
        <v>1.0742908593495939</v>
      </c>
      <c r="D73" s="57">
        <v>-1.115335</v>
      </c>
      <c r="E73" s="57">
        <v>-5.3225699999999994E-2</v>
      </c>
      <c r="F73" s="8" t="s">
        <v>14</v>
      </c>
      <c r="G73" s="55"/>
      <c r="I73" s="55"/>
      <c r="J73" s="55"/>
      <c r="K73" s="55"/>
      <c r="O73" s="81"/>
    </row>
    <row r="74" spans="1:15" x14ac:dyDescent="0.35">
      <c r="A74" s="5" t="s">
        <v>226</v>
      </c>
      <c r="B74" s="7" t="s">
        <v>125</v>
      </c>
      <c r="C74" s="58">
        <v>1.027710670731707</v>
      </c>
      <c r="D74" s="58">
        <v>3.5840114999999999</v>
      </c>
      <c r="E74" s="58">
        <v>-0.35096899999999998</v>
      </c>
      <c r="F74" s="6" t="s">
        <v>163</v>
      </c>
      <c r="G74" s="55"/>
      <c r="I74" s="55"/>
      <c r="J74" s="55"/>
      <c r="K74" s="55"/>
      <c r="O74" s="81"/>
    </row>
    <row r="75" spans="1:15" x14ac:dyDescent="0.35">
      <c r="A75" s="21" t="s">
        <v>213</v>
      </c>
      <c r="B75" s="22" t="s">
        <v>137</v>
      </c>
      <c r="C75" s="57">
        <v>1.0256529813008131</v>
      </c>
      <c r="D75" s="57">
        <v>0.57704</v>
      </c>
      <c r="E75" s="57">
        <v>-1.5700590000000001</v>
      </c>
      <c r="F75" s="8" t="s">
        <v>11</v>
      </c>
      <c r="G75" s="55"/>
      <c r="I75" s="55"/>
      <c r="J75" s="55"/>
      <c r="K75" s="55"/>
      <c r="O75" s="81"/>
    </row>
    <row r="76" spans="1:15" x14ac:dyDescent="0.35">
      <c r="A76" s="5" t="s">
        <v>223</v>
      </c>
      <c r="B76" s="7" t="s">
        <v>139</v>
      </c>
      <c r="C76" s="58">
        <v>0.93381086482508946</v>
      </c>
      <c r="D76" s="58">
        <v>-4.8703085801000006</v>
      </c>
      <c r="E76" s="58">
        <v>-0.52966719839999998</v>
      </c>
      <c r="F76" s="6" t="s">
        <v>17</v>
      </c>
      <c r="G76" s="55"/>
      <c r="I76" s="55"/>
      <c r="J76" s="55"/>
      <c r="K76" s="55"/>
      <c r="O76" s="81"/>
    </row>
    <row r="77" spans="1:15" x14ac:dyDescent="0.35">
      <c r="A77" s="21" t="s">
        <v>240</v>
      </c>
      <c r="B77" s="22" t="s">
        <v>153</v>
      </c>
      <c r="C77" s="57">
        <v>0.93108414308943088</v>
      </c>
      <c r="D77" s="57">
        <v>2.433773</v>
      </c>
      <c r="E77" s="57">
        <v>0.79886500000000005</v>
      </c>
      <c r="F77" s="8" t="s">
        <v>14</v>
      </c>
      <c r="G77" s="55"/>
      <c r="I77" s="55"/>
      <c r="J77" s="55"/>
      <c r="K77" s="55"/>
      <c r="O77" s="81"/>
    </row>
    <row r="78" spans="1:15" x14ac:dyDescent="0.35">
      <c r="A78" s="5" t="s">
        <v>219</v>
      </c>
      <c r="B78" s="7" t="s">
        <v>92</v>
      </c>
      <c r="C78" s="58">
        <v>0.91981974405146338</v>
      </c>
      <c r="D78" s="58">
        <v>-5.9475524500299999</v>
      </c>
      <c r="E78" s="58">
        <v>0.24901507697000011</v>
      </c>
      <c r="F78" s="6" t="s">
        <v>14</v>
      </c>
      <c r="G78" s="55"/>
      <c r="I78" s="55"/>
      <c r="J78" s="55"/>
      <c r="K78" s="55"/>
      <c r="O78" s="81"/>
    </row>
    <row r="79" spans="1:15" x14ac:dyDescent="0.35">
      <c r="A79" s="21" t="s">
        <v>238</v>
      </c>
      <c r="B79" s="22" t="s">
        <v>158</v>
      </c>
      <c r="C79" s="57">
        <v>0.90993455609756102</v>
      </c>
      <c r="D79" s="57">
        <v>6.2604911000000003</v>
      </c>
      <c r="E79" s="57">
        <v>-0.80432560000000008</v>
      </c>
      <c r="F79" s="8" t="s">
        <v>14</v>
      </c>
      <c r="G79" s="55"/>
      <c r="I79" s="55"/>
      <c r="J79" s="55"/>
      <c r="K79" s="55"/>
      <c r="O79" s="81"/>
    </row>
    <row r="80" spans="1:15" x14ac:dyDescent="0.35">
      <c r="A80" s="5" t="s">
        <v>234</v>
      </c>
      <c r="B80" s="7" t="s">
        <v>146</v>
      </c>
      <c r="C80" s="58">
        <v>0.90227538536585372</v>
      </c>
      <c r="D80" s="58">
        <v>7.1928545000000002</v>
      </c>
      <c r="E80" s="58">
        <v>0.28320899999999999</v>
      </c>
      <c r="F80" s="6" t="s">
        <v>161</v>
      </c>
      <c r="G80" s="55"/>
      <c r="I80" s="55"/>
      <c r="J80" s="55"/>
      <c r="K80" s="55"/>
      <c r="O80" s="81"/>
    </row>
    <row r="81" spans="1:15" x14ac:dyDescent="0.35">
      <c r="A81" s="21" t="s">
        <v>230</v>
      </c>
      <c r="B81" s="22" t="s">
        <v>131</v>
      </c>
      <c r="C81" s="57">
        <v>0.86599970074552857</v>
      </c>
      <c r="D81" s="57">
        <v>-2.6693343592599996</v>
      </c>
      <c r="E81" s="57">
        <v>5.6710277400000016E-2</v>
      </c>
      <c r="F81" s="8" t="s">
        <v>17</v>
      </c>
      <c r="G81" s="55"/>
      <c r="I81" s="55"/>
      <c r="J81" s="55"/>
      <c r="K81" s="55"/>
      <c r="O81" s="81"/>
    </row>
    <row r="82" spans="1:15" x14ac:dyDescent="0.35">
      <c r="A82" s="5" t="s">
        <v>221</v>
      </c>
      <c r="B82" s="7" t="s">
        <v>135</v>
      </c>
      <c r="C82" s="58">
        <v>0.84770377235772354</v>
      </c>
      <c r="D82" s="58">
        <v>-7.579186</v>
      </c>
      <c r="E82" s="58">
        <v>0.1381675</v>
      </c>
      <c r="F82" s="6" t="s">
        <v>17</v>
      </c>
      <c r="G82" s="55"/>
      <c r="I82" s="55"/>
      <c r="J82" s="55"/>
      <c r="K82" s="55"/>
      <c r="O82" s="81"/>
    </row>
    <row r="83" spans="1:15" x14ac:dyDescent="0.35">
      <c r="A83" s="21" t="s">
        <v>242</v>
      </c>
      <c r="B83" s="22" t="s">
        <v>156</v>
      </c>
      <c r="C83" s="57">
        <v>0.78314276504065039</v>
      </c>
      <c r="D83" s="57">
        <v>-14.109256</v>
      </c>
      <c r="E83" s="57">
        <v>-0.27984500000000001</v>
      </c>
      <c r="F83" s="8" t="s">
        <v>163</v>
      </c>
      <c r="G83" s="55"/>
      <c r="I83" s="55"/>
      <c r="J83" s="55"/>
      <c r="K83" s="55"/>
      <c r="O83" s="81"/>
    </row>
    <row r="84" spans="1:15" x14ac:dyDescent="0.35">
      <c r="A84" s="5" t="s">
        <v>239</v>
      </c>
      <c r="B84" s="7" t="s">
        <v>148</v>
      </c>
      <c r="C84" s="58">
        <v>0.77001528313008138</v>
      </c>
      <c r="D84" s="58">
        <v>-8.5798260000000006</v>
      </c>
      <c r="E84" s="58">
        <v>-4.3665500000000003E-2</v>
      </c>
      <c r="F84" s="6" t="s">
        <v>161</v>
      </c>
      <c r="G84" s="55"/>
      <c r="I84" s="55"/>
      <c r="J84" s="55"/>
      <c r="K84" s="55"/>
      <c r="O84" s="81"/>
    </row>
    <row r="85" spans="1:15" x14ac:dyDescent="0.35">
      <c r="A85" s="21" t="s">
        <v>254</v>
      </c>
      <c r="B85" s="22" t="s">
        <v>255</v>
      </c>
      <c r="C85" s="57">
        <v>0.72578039999999999</v>
      </c>
      <c r="D85" s="57">
        <v>7.4936227999999998</v>
      </c>
      <c r="E85" s="57">
        <v>1.3253732</v>
      </c>
      <c r="F85" s="8" t="s">
        <v>162</v>
      </c>
      <c r="G85" s="55"/>
      <c r="I85" s="55"/>
      <c r="J85" s="55"/>
      <c r="K85" s="55"/>
      <c r="O85" s="81"/>
    </row>
    <row r="86" spans="1:15" x14ac:dyDescent="0.35">
      <c r="A86" s="5" t="s">
        <v>233</v>
      </c>
      <c r="B86" s="7" t="s">
        <v>86</v>
      </c>
      <c r="C86" s="58">
        <v>0.6765677317073171</v>
      </c>
      <c r="D86" s="58">
        <v>0.11558</v>
      </c>
      <c r="E86" s="58">
        <v>0.27018550000000002</v>
      </c>
      <c r="F86" s="6" t="s">
        <v>11</v>
      </c>
      <c r="G86" s="55"/>
      <c r="I86" s="55"/>
      <c r="J86" s="55"/>
      <c r="K86" s="55"/>
      <c r="O86" s="81"/>
    </row>
    <row r="87" spans="1:15" x14ac:dyDescent="0.35">
      <c r="A87" s="21" t="s">
        <v>232</v>
      </c>
      <c r="B87" s="22" t="s">
        <v>126</v>
      </c>
      <c r="C87" s="57">
        <v>0.67141483658536594</v>
      </c>
      <c r="D87" s="57">
        <v>4.4692040000000004</v>
      </c>
      <c r="E87" s="57">
        <v>0.17346249999999999</v>
      </c>
      <c r="F87" s="8" t="s">
        <v>17</v>
      </c>
      <c r="G87" s="55"/>
      <c r="I87" s="55"/>
      <c r="J87" s="55"/>
      <c r="K87" s="55"/>
      <c r="O87" s="81"/>
    </row>
    <row r="88" spans="1:15" x14ac:dyDescent="0.35">
      <c r="A88" s="5" t="s">
        <v>231</v>
      </c>
      <c r="B88" s="7" t="s">
        <v>136</v>
      </c>
      <c r="C88" s="58">
        <v>0.66674747235772347</v>
      </c>
      <c r="D88" s="58">
        <v>-4.5758840000000003</v>
      </c>
      <c r="E88" s="58">
        <v>0.54176500000000005</v>
      </c>
      <c r="F88" s="6" t="s">
        <v>17</v>
      </c>
      <c r="G88" s="55"/>
      <c r="I88" s="55"/>
      <c r="J88" s="55"/>
      <c r="K88" s="55"/>
      <c r="O88" s="81"/>
    </row>
    <row r="89" spans="1:15" x14ac:dyDescent="0.35">
      <c r="A89" s="21" t="s">
        <v>236</v>
      </c>
      <c r="B89" s="22" t="s">
        <v>122</v>
      </c>
      <c r="C89" s="57">
        <v>0.60474247317073171</v>
      </c>
      <c r="D89" s="57">
        <v>-2.1137327999999997</v>
      </c>
      <c r="E89" s="57">
        <v>-0.1005733</v>
      </c>
      <c r="F89" s="8" t="s">
        <v>162</v>
      </c>
      <c r="G89" s="55"/>
      <c r="I89" s="55"/>
      <c r="J89" s="55"/>
      <c r="K89" s="55"/>
      <c r="O89" s="81"/>
    </row>
    <row r="90" spans="1:15" x14ac:dyDescent="0.35">
      <c r="A90" s="5" t="s">
        <v>245</v>
      </c>
      <c r="B90" s="7" t="s">
        <v>138</v>
      </c>
      <c r="C90" s="58">
        <v>0.57719533089430897</v>
      </c>
      <c r="D90" s="58">
        <v>-5.3578254999999997</v>
      </c>
      <c r="E90" s="58">
        <v>4.1700000000000001E-2</v>
      </c>
      <c r="F90" s="6" t="s">
        <v>11</v>
      </c>
      <c r="G90" s="55"/>
      <c r="I90" s="55"/>
      <c r="J90" s="55"/>
      <c r="K90" s="55"/>
      <c r="O90" s="81"/>
    </row>
    <row r="91" spans="1:15" x14ac:dyDescent="0.35">
      <c r="A91" s="21" t="s">
        <v>229</v>
      </c>
      <c r="B91" s="22" t="s">
        <v>145</v>
      </c>
      <c r="C91" s="57">
        <v>0.56882616910569106</v>
      </c>
      <c r="D91" s="57">
        <v>-2.4152200000000001</v>
      </c>
      <c r="E91" s="57">
        <v>5.69215E-2</v>
      </c>
      <c r="F91" s="8" t="s">
        <v>17</v>
      </c>
      <c r="G91" s="55"/>
      <c r="I91" s="55"/>
      <c r="J91" s="55"/>
      <c r="K91" s="55"/>
      <c r="O91" s="81"/>
    </row>
    <row r="92" spans="1:15" x14ac:dyDescent="0.35">
      <c r="A92" s="5" t="s">
        <v>250</v>
      </c>
      <c r="B92" s="7" t="s">
        <v>251</v>
      </c>
      <c r="C92" s="58">
        <v>0.51624810219512185</v>
      </c>
      <c r="D92" s="58">
        <v>-17.244261000000002</v>
      </c>
      <c r="E92" s="58">
        <v>-0.52710000000000001</v>
      </c>
      <c r="F92" s="6" t="s">
        <v>15</v>
      </c>
      <c r="G92" s="55"/>
      <c r="I92" s="55"/>
      <c r="J92" s="55"/>
      <c r="K92" s="55"/>
      <c r="O92" s="81"/>
    </row>
    <row r="93" spans="1:15" x14ac:dyDescent="0.35">
      <c r="A93" s="21" t="s">
        <v>247</v>
      </c>
      <c r="B93" s="22" t="s">
        <v>157</v>
      </c>
      <c r="C93" s="57">
        <v>0.50950804146341466</v>
      </c>
      <c r="D93" s="57">
        <v>-0.61137999999999992</v>
      </c>
      <c r="E93" s="57">
        <v>-0.43875500000000001</v>
      </c>
      <c r="F93" s="8" t="s">
        <v>14</v>
      </c>
      <c r="G93" s="55"/>
      <c r="I93" s="55"/>
      <c r="J93" s="55"/>
      <c r="K93" s="55"/>
      <c r="O93" s="81"/>
    </row>
    <row r="94" spans="1:15" x14ac:dyDescent="0.35">
      <c r="A94" s="5" t="s">
        <v>237</v>
      </c>
      <c r="B94" s="7" t="s">
        <v>154</v>
      </c>
      <c r="C94" s="58">
        <v>0.49961301463414631</v>
      </c>
      <c r="D94" s="58">
        <v>-1.5446825</v>
      </c>
      <c r="E94" s="58">
        <v>-2.3515000000000001E-2</v>
      </c>
      <c r="F94" s="6" t="s">
        <v>14</v>
      </c>
      <c r="G94" s="55"/>
      <c r="I94" s="55"/>
      <c r="J94" s="55"/>
      <c r="K94" s="55"/>
      <c r="O94" s="81"/>
    </row>
    <row r="95" spans="1:15" x14ac:dyDescent="0.35">
      <c r="A95" s="21" t="s">
        <v>228</v>
      </c>
      <c r="B95" s="22" t="s">
        <v>124</v>
      </c>
      <c r="C95" s="57">
        <v>0.45252622795869923</v>
      </c>
      <c r="D95" s="57">
        <v>0.42075670833000023</v>
      </c>
      <c r="E95" s="57">
        <v>1.1711149299999999E-2</v>
      </c>
      <c r="F95" s="8" t="s">
        <v>17</v>
      </c>
      <c r="G95" s="55"/>
      <c r="I95" s="55"/>
      <c r="J95" s="55"/>
      <c r="K95" s="55"/>
      <c r="O95" s="81"/>
    </row>
    <row r="96" spans="1:15" x14ac:dyDescent="0.35">
      <c r="A96" s="5" t="s">
        <v>256</v>
      </c>
      <c r="B96" s="7" t="s">
        <v>257</v>
      </c>
      <c r="C96" s="58">
        <v>0.41516382032520316</v>
      </c>
      <c r="D96" s="58">
        <v>6.6213294999999999</v>
      </c>
      <c r="E96" s="58">
        <v>-0.1248245</v>
      </c>
      <c r="F96" s="6" t="s">
        <v>11</v>
      </c>
      <c r="G96" s="55"/>
      <c r="I96" s="55"/>
      <c r="J96" s="55"/>
      <c r="K96" s="55"/>
      <c r="O96" s="81"/>
    </row>
    <row r="97" spans="1:15" x14ac:dyDescent="0.35">
      <c r="A97" s="21" t="s">
        <v>243</v>
      </c>
      <c r="B97" s="22" t="s">
        <v>159</v>
      </c>
      <c r="C97" s="57">
        <v>0.41501316666666671</v>
      </c>
      <c r="D97" s="57">
        <v>-5.9276999999999997</v>
      </c>
      <c r="E97" s="57">
        <v>6.3222E-2</v>
      </c>
      <c r="F97" s="8" t="s">
        <v>10</v>
      </c>
      <c r="G97" s="55"/>
      <c r="I97" s="55"/>
      <c r="J97" s="55"/>
      <c r="K97" s="55"/>
      <c r="O97" s="81"/>
    </row>
    <row r="98" spans="1:15" x14ac:dyDescent="0.35">
      <c r="A98" s="5" t="s">
        <v>261</v>
      </c>
      <c r="B98" s="7" t="s">
        <v>262</v>
      </c>
      <c r="C98" s="58">
        <v>0.40411746016260175</v>
      </c>
      <c r="D98" s="58">
        <v>2.7019787000000002</v>
      </c>
      <c r="E98" s="58">
        <v>0.57967599999999997</v>
      </c>
      <c r="F98" s="6" t="s">
        <v>11</v>
      </c>
      <c r="G98" s="55"/>
      <c r="I98" s="55"/>
      <c r="J98" s="55"/>
      <c r="K98" s="55"/>
      <c r="O98" s="81"/>
    </row>
    <row r="99" spans="1:15" x14ac:dyDescent="0.35">
      <c r="A99" s="21" t="s">
        <v>235</v>
      </c>
      <c r="B99" s="22" t="s">
        <v>155</v>
      </c>
      <c r="C99" s="57">
        <v>0.40184769093008144</v>
      </c>
      <c r="D99" s="57">
        <v>8.8227119293000005</v>
      </c>
      <c r="E99" s="57">
        <v>0.17980213</v>
      </c>
      <c r="F99" s="8" t="s">
        <v>163</v>
      </c>
      <c r="G99" s="55"/>
      <c r="I99" s="55"/>
      <c r="J99" s="55"/>
      <c r="K99" s="55"/>
      <c r="O99" s="81"/>
    </row>
    <row r="100" spans="1:15" x14ac:dyDescent="0.35">
      <c r="A100" s="5" t="s">
        <v>244</v>
      </c>
      <c r="B100" s="7" t="s">
        <v>132</v>
      </c>
      <c r="C100" s="58">
        <v>0.36613295528455281</v>
      </c>
      <c r="D100" s="58">
        <v>-1.9734875000000001</v>
      </c>
      <c r="E100" s="58">
        <v>0.61742750000000002</v>
      </c>
      <c r="F100" s="6" t="s">
        <v>17</v>
      </c>
      <c r="G100" s="55"/>
      <c r="I100" s="55"/>
      <c r="J100" s="55"/>
      <c r="K100" s="55"/>
      <c r="O100" s="81"/>
    </row>
    <row r="101" spans="1:15" x14ac:dyDescent="0.35">
      <c r="A101" s="78" t="s">
        <v>285</v>
      </c>
      <c r="B101" s="79" t="s">
        <v>286</v>
      </c>
      <c r="C101" s="80">
        <v>0.36214941869918699</v>
      </c>
      <c r="D101" s="80">
        <v>5.1903499999999998E-2</v>
      </c>
      <c r="E101" s="80">
        <v>-5.8381000000000002E-2</v>
      </c>
      <c r="F101" s="9" t="s">
        <v>161</v>
      </c>
      <c r="G101" s="55"/>
      <c r="I101" s="55"/>
      <c r="J101" s="55"/>
      <c r="K101" s="55"/>
      <c r="O101" s="81"/>
    </row>
    <row r="102" spans="1:15" x14ac:dyDescent="0.35">
      <c r="A102" s="47"/>
      <c r="B102" s="10"/>
      <c r="C102" s="10"/>
      <c r="D102" s="10"/>
      <c r="E102" s="10"/>
      <c r="F102" s="48"/>
      <c r="H102" s="42"/>
      <c r="J102" s="43"/>
    </row>
    <row r="105" spans="1:15" x14ac:dyDescent="0.35">
      <c r="A105" s="11" t="s">
        <v>80</v>
      </c>
    </row>
    <row r="106" spans="1:15" x14ac:dyDescent="0.35">
      <c r="A106" s="11" t="s">
        <v>142</v>
      </c>
    </row>
    <row r="107" spans="1:15" x14ac:dyDescent="0.35">
      <c r="A107" s="11" t="s">
        <v>141</v>
      </c>
    </row>
    <row r="108" spans="1:15" x14ac:dyDescent="0.35">
      <c r="A108" s="11" t="s">
        <v>147</v>
      </c>
    </row>
    <row r="109" spans="1:15"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2024-07-01T06:51:09Z</dcterms:modified>
</cp:coreProperties>
</file>