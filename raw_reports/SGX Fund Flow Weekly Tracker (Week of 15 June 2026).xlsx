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31102E5C-04B5-4222-B487-5BA732605995}"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<sst xmlns="http://schemas.openxmlformats.org/spreadsheetml/2006/main" count="139" uniqueCount="91">
  <si>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</si>
  <si>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</si>
  <si>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</si>
  <si>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</si>
  <si>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</si>
  <si>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</si>
  <si>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</si>
  <si>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</si>
  <si>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</si>
  <si>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</si>
  <si>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</si>
  <si>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</si>
  <si>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</si>
  <si>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</si>
  <si>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</si>
  <si>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</si>
  <si>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</si>
  <si>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</si>
  <si>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</si>
  <si>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</si>
  <si>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</si>
  <si>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</si>
  <si>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</si>
  <si>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</si>
  <si>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</si>
  <si>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</si>
  <si>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</si>
  <si>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</si>
  <si>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</si>
  <si>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</si>
  <si>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</si>
  <si>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</si>
  <si>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</si>
  <si>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</si>
  <si>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</si>
  <si>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</si>
  <si>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</si>
  <si>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</si>
  <si>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</si>
  <si>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</si>
  <si>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</si>
  <si>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</si>
  <si>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 xml:space="preserve">AEM </t>
  </si>
  <si>
    <t>AWX</t>
  </si>
  <si>
    <t>ST Engineering</t>
  </si>
  <si>
    <t>S63</t>
  </si>
  <si>
    <t>SIA</t>
  </si>
  <si>
    <t>C6L</t>
  </si>
  <si>
    <t>Sembcorp Industries</t>
  </si>
  <si>
    <t>U96</t>
  </si>
  <si>
    <t>Wilmar International</t>
  </si>
  <si>
    <t>F34</t>
  </si>
  <si>
    <t>CapitaLand Ascendas REIT</t>
  </si>
  <si>
    <t>A17U</t>
  </si>
  <si>
    <t>CapitaLand Integrated Commercial Trust</t>
  </si>
  <si>
    <t>C38U</t>
  </si>
  <si>
    <t>Keppel DC REIT</t>
  </si>
  <si>
    <t>AJBU</t>
  </si>
  <si>
    <t>Keppel</t>
  </si>
  <si>
    <t>BN4</t>
  </si>
  <si>
    <t>SGX</t>
  </si>
  <si>
    <t>S68</t>
  </si>
  <si>
    <t>CapitaLand Investment</t>
  </si>
  <si>
    <t>9CI</t>
  </si>
  <si>
    <t>Sheng Siong</t>
  </si>
  <si>
    <t>OV8</t>
  </si>
  <si>
    <t>Mapletree Logistics Trust</t>
  </si>
  <si>
    <t>M44U</t>
  </si>
  <si>
    <t>E28</t>
  </si>
  <si>
    <t>Hongkong Land</t>
  </si>
  <si>
    <t>H78</t>
  </si>
  <si>
    <t>Venture Corporation</t>
  </si>
  <si>
    <t>V03</t>
  </si>
  <si>
    <t>ComfortDelGro</t>
  </si>
  <si>
    <t>C52</t>
  </si>
  <si>
    <t>Jardine Cycle &amp; Carriage</t>
  </si>
  <si>
    <t>C07</t>
  </si>
  <si>
    <t>DFI Retail Group</t>
  </si>
  <si>
    <t>D01</t>
  </si>
  <si>
    <t>UOL</t>
  </si>
  <si>
    <t>U14</t>
  </si>
  <si>
    <t>City Developments</t>
  </si>
  <si>
    <t>C09</t>
  </si>
  <si>
    <t>Marco Polo Marine</t>
  </si>
  <si>
    <t>5LY</t>
  </si>
  <si>
    <t>Netlink NBN Trust</t>
  </si>
  <si>
    <t>CJLU</t>
  </si>
  <si>
    <t>Week of 15 June 2026</t>
  </si>
  <si>
    <r>
      <t xml:space="preserve">Institutional investors net </t>
    </r>
    <r>
      <rPr>
        <b/>
        <sz val="11"/>
        <rFont val="Arial"/>
        <family val="2"/>
      </rPr>
      <t>buy</t>
    </r>
    <r>
      <rPr>
        <sz val="11"/>
        <rFont val="Arial"/>
        <family val="2"/>
      </rPr>
      <t xml:space="preserve"> (+S$196.6m) vs. (+S$254.6m) a week ago</t>
    </r>
  </si>
  <si>
    <r>
      <t xml:space="preserve">Retail investors net </t>
    </r>
    <r>
      <rPr>
        <b/>
        <sz val="11"/>
        <rFont val="Arial"/>
        <family val="2"/>
      </rPr>
      <t>sell</t>
    </r>
    <r>
      <rPr>
        <sz val="11"/>
        <rFont val="Arial"/>
        <family val="2"/>
      </rPr>
      <t xml:space="preserve"> (-S$513.1m) vs. (+S$402.2m) a week ago</t>
    </r>
  </si>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</sst>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87</v>
      </c>
      <c r="C1" s="59"/>
    </row>
    <row r="2" spans="1:13" x14ac:dyDescent="0.3">
      <c r="A2" s="52" t="s">
        <v>88</v>
      </c>
      <c r="I2" s="40"/>
    </row>
    <row r="3" spans="1:13" x14ac:dyDescent="0.3">
      <c r="A3" s="52" t="s">
        <v>89</v>
      </c>
      <c r="I3" s="40"/>
    </row>
    <row r="5" spans="1:13" ht="29.25" customHeight="1" x14ac:dyDescent="0.3">
      <c r="A5" s="3" t="s">
        <v>0</v>
      </c>
      <c r="B5" s="3" t="s">
        <v>1</v>
      </c>
      <c r="C5" s="4" t="s">
        <v>87</v>
      </c>
      <c r="D5" s="43" t="s">
        <v>2</v>
      </c>
      <c r="E5" s="43" t="s">
        <v>1</v>
      </c>
      <c r="F5" s="44" t="str">
        <f>+C5</f>
        <v>Week of 15 June 2026</v>
      </c>
      <c r="I5" s="2"/>
    </row>
    <row r="6" spans="1:13" ht="14.5" x14ac:dyDescent="0.35">
      <c r="A6" s="28" t="s">
        <v>46</v>
      </c>
      <c r="B6" s="46" t="s">
        <v>47</v>
      </c>
      <c r="C6" s="5">
        <v>117.627135</v>
      </c>
      <c r="D6" s="28" t="s">
        <v>34</v>
      </c>
      <c r="E6" s="46" t="s">
        <v>35</v>
      </c>
      <c r="F6" s="5">
        <v>-63.457932999999997</v>
      </c>
      <c r="G6" s="61"/>
      <c r="H6"/>
      <c r="I6" s="2"/>
      <c r="M6"/>
    </row>
    <row r="7" spans="1:13" ht="14.5" x14ac:dyDescent="0.35">
      <c r="A7" s="29" t="s">
        <v>54</v>
      </c>
      <c r="B7" s="9" t="s">
        <v>55</v>
      </c>
      <c r="C7" s="7">
        <v>63.691364</v>
      </c>
      <c r="D7" s="29" t="s">
        <v>69</v>
      </c>
      <c r="E7" s="9" t="s">
        <v>70</v>
      </c>
      <c r="F7" s="7">
        <v>-33.325298743099999</v>
      </c>
      <c r="G7" s="61"/>
      <c r="H7"/>
      <c r="I7" s="2"/>
      <c r="L7"/>
      <c r="M7"/>
    </row>
    <row r="8" spans="1:13" ht="14.5" x14ac:dyDescent="0.35">
      <c r="A8" s="30" t="s">
        <v>38</v>
      </c>
      <c r="B8" s="46" t="s">
        <v>39</v>
      </c>
      <c r="C8" s="5">
        <v>45.115971999999999</v>
      </c>
      <c r="D8" s="30" t="s">
        <v>44</v>
      </c>
      <c r="E8" s="46" t="s">
        <v>45</v>
      </c>
      <c r="F8" s="5">
        <v>-25.852408</v>
      </c>
      <c r="G8" s="61"/>
      <c r="H8"/>
      <c r="I8" s="2"/>
      <c r="L8"/>
      <c r="M8"/>
    </row>
    <row r="9" spans="1:13" ht="14.5" x14ac:dyDescent="0.35">
      <c r="A9" s="29" t="s">
        <v>22</v>
      </c>
      <c r="B9" s="9" t="s">
        <v>21</v>
      </c>
      <c r="C9" s="7">
        <v>43.792058999999988</v>
      </c>
      <c r="D9" s="29" t="s">
        <v>36</v>
      </c>
      <c r="E9" s="9" t="s">
        <v>37</v>
      </c>
      <c r="F9" s="7">
        <v>-19.280982399999999</v>
      </c>
      <c r="G9" s="61"/>
      <c r="H9"/>
      <c r="I9" s="2"/>
      <c r="L9"/>
      <c r="M9"/>
    </row>
    <row r="10" spans="1:13" ht="14.5" x14ac:dyDescent="0.35">
      <c r="A10" s="30" t="s">
        <v>40</v>
      </c>
      <c r="B10" s="46" t="s">
        <v>41</v>
      </c>
      <c r="C10" s="5">
        <v>28.373512999999999</v>
      </c>
      <c r="D10" s="30" t="s">
        <v>71</v>
      </c>
      <c r="E10" s="46" t="s">
        <v>72</v>
      </c>
      <c r="F10" s="5">
        <v>-18.844550000000002</v>
      </c>
      <c r="G10" s="61"/>
      <c r="H10"/>
      <c r="I10" s="2"/>
      <c r="L10"/>
      <c r="M10"/>
    </row>
    <row r="11" spans="1:13" ht="14.5" x14ac:dyDescent="0.35">
      <c r="A11" s="29" t="s">
        <v>50</v>
      </c>
      <c r="B11" s="9" t="s">
        <v>51</v>
      </c>
      <c r="C11" s="7">
        <v>18.336483999999999</v>
      </c>
      <c r="D11" s="29" t="s">
        <v>73</v>
      </c>
      <c r="E11" s="9" t="s">
        <v>74</v>
      </c>
      <c r="F11" s="7">
        <v>-13.9702</v>
      </c>
      <c r="G11" s="61"/>
      <c r="H11"/>
      <c r="I11" s="2"/>
      <c r="L11"/>
      <c r="M11"/>
    </row>
    <row r="12" spans="1:13" ht="14.5" x14ac:dyDescent="0.35">
      <c r="A12" s="30" t="s">
        <v>58</v>
      </c>
      <c r="B12" s="46" t="s">
        <v>59</v>
      </c>
      <c r="C12" s="5">
        <v>17.937730999999999</v>
      </c>
      <c r="D12" s="30" t="s">
        <v>75</v>
      </c>
      <c r="E12" s="46" t="s">
        <v>76</v>
      </c>
      <c r="F12" s="5">
        <v>-10.769432999999999</v>
      </c>
      <c r="G12" s="61"/>
      <c r="H12"/>
      <c r="I12" s="2"/>
      <c r="L12"/>
      <c r="M12"/>
    </row>
    <row r="13" spans="1:13" ht="14.5" x14ac:dyDescent="0.35">
      <c r="A13" s="29" t="s">
        <v>64</v>
      </c>
      <c r="B13" s="9" t="s">
        <v>65</v>
      </c>
      <c r="C13" s="7">
        <v>15.314327</v>
      </c>
      <c r="D13" s="29" t="s">
        <v>56</v>
      </c>
      <c r="E13" s="9" t="s">
        <v>57</v>
      </c>
      <c r="F13" s="7">
        <v>-8.6397579999999987</v>
      </c>
      <c r="G13" s="61"/>
      <c r="H13"/>
      <c r="I13" s="2"/>
      <c r="L13"/>
      <c r="M13"/>
    </row>
    <row r="14" spans="1:13" ht="14.5" x14ac:dyDescent="0.35">
      <c r="A14" s="30" t="s">
        <v>66</v>
      </c>
      <c r="B14" s="46" t="s">
        <v>67</v>
      </c>
      <c r="C14" s="5">
        <v>10.7394953</v>
      </c>
      <c r="D14" s="30" t="s">
        <v>77</v>
      </c>
      <c r="E14" s="46" t="s">
        <v>78</v>
      </c>
      <c r="F14" s="5">
        <v>-6.1716709027000007</v>
      </c>
      <c r="G14" s="61"/>
      <c r="H14"/>
      <c r="I14" s="2"/>
      <c r="L14"/>
      <c r="M14"/>
    </row>
    <row r="15" spans="1:13" ht="14.5" x14ac:dyDescent="0.35">
      <c r="A15" s="31" t="s">
        <v>90</v>
      </c>
      <c r="B15" s="27" t="s">
        <v>68</v>
      </c>
      <c r="C15" s="8">
        <v>9.9278449999999996</v>
      </c>
      <c r="D15" s="31" t="s">
        <v>79</v>
      </c>
      <c r="E15" s="27" t="s">
        <v>80</v>
      </c>
      <c r="F15" s="8">
        <v>-5.3716759999999999</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15 June 2026</v>
      </c>
      <c r="D18" s="45" t="s">
        <v>4</v>
      </c>
      <c r="E18" s="43" t="s">
        <v>1</v>
      </c>
      <c r="F18" s="44" t="str">
        <f>+C18</f>
        <v>Week of 15 June 2026</v>
      </c>
    </row>
    <row r="19" spans="1:9" x14ac:dyDescent="0.3">
      <c r="A19" s="30" t="s">
        <v>36</v>
      </c>
      <c r="B19" s="46" t="s">
        <v>37</v>
      </c>
      <c r="C19" s="16">
        <v>53.077266899999998</v>
      </c>
      <c r="D19" s="30" t="s">
        <v>22</v>
      </c>
      <c r="E19" s="15" t="s">
        <v>21</v>
      </c>
      <c r="F19" s="5">
        <v>-195.247961</v>
      </c>
      <c r="I19" s="2"/>
    </row>
    <row r="20" spans="1:9" ht="14.5" x14ac:dyDescent="0.35">
      <c r="A20" s="29" t="s">
        <v>71</v>
      </c>
      <c r="B20" s="9" t="s">
        <v>72</v>
      </c>
      <c r="C20" s="7">
        <v>16.465160000000001</v>
      </c>
      <c r="D20" s="29" t="s">
        <v>46</v>
      </c>
      <c r="E20" s="17" t="s">
        <v>47</v>
      </c>
      <c r="F20" s="7">
        <v>-150.654279</v>
      </c>
      <c r="G20" s="61"/>
      <c r="I20" s="2"/>
    </row>
    <row r="21" spans="1:9" ht="14.5" x14ac:dyDescent="0.35">
      <c r="A21" s="30" t="s">
        <v>69</v>
      </c>
      <c r="B21" s="46" t="s">
        <v>70</v>
      </c>
      <c r="C21" s="5">
        <v>13.447154557299999</v>
      </c>
      <c r="D21" s="30" t="s">
        <v>38</v>
      </c>
      <c r="E21" s="6" t="s">
        <v>39</v>
      </c>
      <c r="F21" s="5">
        <v>-113.34325699999999</v>
      </c>
      <c r="G21" s="61"/>
      <c r="I21" s="2"/>
    </row>
    <row r="22" spans="1:9" ht="14.5" x14ac:dyDescent="0.35">
      <c r="A22" s="29" t="s">
        <v>75</v>
      </c>
      <c r="B22" s="9" t="s">
        <v>76</v>
      </c>
      <c r="C22" s="7">
        <v>11.966820999999999</v>
      </c>
      <c r="D22" s="29" t="s">
        <v>40</v>
      </c>
      <c r="E22" s="17" t="s">
        <v>41</v>
      </c>
      <c r="F22" s="7">
        <v>-76.121234000000001</v>
      </c>
      <c r="G22" s="61"/>
      <c r="I22" s="2"/>
    </row>
    <row r="23" spans="1:9" ht="14.5" x14ac:dyDescent="0.35">
      <c r="A23" s="30" t="s">
        <v>56</v>
      </c>
      <c r="B23" s="68" t="s">
        <v>57</v>
      </c>
      <c r="C23" s="69">
        <v>11.046633999999999</v>
      </c>
      <c r="D23" s="30" t="s">
        <v>34</v>
      </c>
      <c r="E23" s="6" t="s">
        <v>35</v>
      </c>
      <c r="F23" s="5">
        <v>-75.344075000000004</v>
      </c>
      <c r="G23" s="61"/>
      <c r="I23" s="2"/>
    </row>
    <row r="24" spans="1:9" ht="14.5" x14ac:dyDescent="0.35">
      <c r="A24" s="70" t="s">
        <v>52</v>
      </c>
      <c r="B24" s="71" t="s">
        <v>53</v>
      </c>
      <c r="C24" s="72">
        <v>7.6278490000000003</v>
      </c>
      <c r="D24" s="29" t="s">
        <v>58</v>
      </c>
      <c r="E24" s="17" t="s">
        <v>59</v>
      </c>
      <c r="F24" s="7">
        <v>-28.586269999999999</v>
      </c>
      <c r="G24" s="61"/>
      <c r="I24" s="2"/>
    </row>
    <row r="25" spans="1:9" ht="14.5" x14ac:dyDescent="0.35">
      <c r="A25" s="30" t="s">
        <v>81</v>
      </c>
      <c r="B25" s="68" t="s">
        <v>82</v>
      </c>
      <c r="C25" s="69">
        <v>7.6144569999999998</v>
      </c>
      <c r="D25" s="30" t="s">
        <v>42</v>
      </c>
      <c r="E25" s="6" t="s">
        <v>43</v>
      </c>
      <c r="F25" s="5">
        <v>-25.691006000000002</v>
      </c>
      <c r="G25" s="61"/>
      <c r="I25" s="2"/>
    </row>
    <row r="26" spans="1:9" ht="14.5" x14ac:dyDescent="0.35">
      <c r="A26" s="70" t="s">
        <v>62</v>
      </c>
      <c r="B26" s="71" t="s">
        <v>63</v>
      </c>
      <c r="C26" s="72">
        <v>7.3988810000000003</v>
      </c>
      <c r="D26" s="29" t="s">
        <v>60</v>
      </c>
      <c r="E26" s="17" t="s">
        <v>61</v>
      </c>
      <c r="F26" s="7">
        <v>-19.460557999999999</v>
      </c>
      <c r="G26" s="61"/>
      <c r="I26" s="2"/>
    </row>
    <row r="27" spans="1:9" ht="14.5" x14ac:dyDescent="0.35">
      <c r="A27" s="30" t="s">
        <v>83</v>
      </c>
      <c r="B27" s="46" t="s">
        <v>84</v>
      </c>
      <c r="C27" s="5">
        <v>6.9422817999999999</v>
      </c>
      <c r="D27" s="30" t="s">
        <v>48</v>
      </c>
      <c r="E27" s="46" t="s">
        <v>49</v>
      </c>
      <c r="F27" s="5">
        <v>-12.557829</v>
      </c>
      <c r="G27" s="61"/>
      <c r="I27" s="2"/>
    </row>
    <row r="28" spans="1:9" ht="14.5" x14ac:dyDescent="0.35">
      <c r="A28" s="27" t="s">
        <v>85</v>
      </c>
      <c r="B28" s="56" t="s">
        <v>86</v>
      </c>
      <c r="C28" s="8">
        <v>6.5629834999999996</v>
      </c>
      <c r="D28" s="67" t="s">
        <v>50</v>
      </c>
      <c r="E28" s="56" t="s">
        <v>51</v>
      </c>
      <c r="F28" s="8">
        <v>-11.936787000000001</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-435.76558285169989</v>
      </c>
      <c r="B3" s="54">
        <v>46167</v>
      </c>
      <c r="C3" s="14">
        <v>-11.858028678859997</v>
      </c>
      <c r="D3" s="14">
        <v>-36.55092637100001</v>
      </c>
      <c r="E3" s="14">
        <v>-6.9326538000000006</v>
      </c>
      <c r="F3" s="14">
        <v>-238.00810716799998</v>
      </c>
      <c r="G3" s="14">
        <v>-3.2989241865999994</v>
      </c>
      <c r="H3" s="14">
        <v>46.705927128899987</v>
      </c>
      <c r="I3" s="14">
        <v>-3.0900107999999995</v>
      </c>
      <c r="J3" s="14">
        <v>-43.760790003400011</v>
      </c>
      <c r="K3" s="14">
        <v>-76.24035967273997</v>
      </c>
      <c r="L3" s="14">
        <v>129.02386770000001</v>
      </c>
      <c r="M3" s="14">
        <v>-240.9064845</v>
      </c>
      <c r="N3" s="14">
        <v>49.150907500000002</v>
      </c>
    </row>
    <row r="4" spans="1:15" x14ac:dyDescent="0.3">
      <c r="A4" s="38">
        <f>SUM(C4:N4)</f>
        <v>14.424524775099989</v>
      </c>
      <c r="B4" s="42">
        <v>46174</v>
      </c>
      <c r="C4" s="53">
        <v>9.6940564764200019</v>
      </c>
      <c r="D4" s="53">
        <v>-1.5268753327</v>
      </c>
      <c r="E4" s="53">
        <v>-0.97053959999999995</v>
      </c>
      <c r="F4" s="53">
        <v>171.70267799999999</v>
      </c>
      <c r="G4" s="53">
        <v>-1.9201639865000002</v>
      </c>
      <c r="H4" s="53">
        <v>-33.141512906900005</v>
      </c>
      <c r="I4" s="53">
        <v>-0.8632761000000001</v>
      </c>
      <c r="J4" s="53">
        <v>-7.6628453571999984</v>
      </c>
      <c r="K4" s="53">
        <v>-33.171590868019997</v>
      </c>
      <c r="L4" s="53">
        <v>-41.948752449999994</v>
      </c>
      <c r="M4" s="53">
        <v>-27.5094432</v>
      </c>
      <c r="N4" s="53">
        <v>-18.257209899999999</v>
      </c>
    </row>
    <row r="5" spans="1:15" x14ac:dyDescent="0.3">
      <c r="A5" s="38">
        <f>SUM(C5:N5)</f>
        <v>254.57544136022003</v>
      </c>
      <c r="B5" s="66">
        <v>46181</v>
      </c>
      <c r="C5" s="14">
        <v>8.1151268728500003</v>
      </c>
      <c r="D5" s="14">
        <v>35.37235087709999</v>
      </c>
      <c r="E5" s="14">
        <v>-6.9806160999999998</v>
      </c>
      <c r="F5" s="14">
        <v>347.36147010000002</v>
      </c>
      <c r="G5" s="14">
        <v>3.8294329320999996</v>
      </c>
      <c r="H5" s="14">
        <v>-20.704016281620003</v>
      </c>
      <c r="I5" s="14">
        <v>-2.3663028000000002</v>
      </c>
      <c r="J5" s="14">
        <v>-10.376632647299997</v>
      </c>
      <c r="K5" s="14">
        <v>-47.014612342909984</v>
      </c>
      <c r="L5" s="14">
        <v>22.878249450000002</v>
      </c>
      <c r="M5" s="14">
        <v>-73.749034399999999</v>
      </c>
      <c r="N5" s="14">
        <v>-1.7899743000000001</v>
      </c>
    </row>
    <row r="6" spans="1:15" ht="14.5" x14ac:dyDescent="0.35">
      <c r="A6" s="38">
        <f>SUM(C6:N6)</f>
        <v>196.60243214724005</v>
      </c>
      <c r="B6" s="58">
        <v>46188</v>
      </c>
      <c r="C6" s="53">
        <v>-13.162807864379998</v>
      </c>
      <c r="D6" s="53">
        <v>31.699789452300003</v>
      </c>
      <c r="E6" s="53">
        <v>-1.8667045999999998</v>
      </c>
      <c r="F6" s="53">
        <v>24.859924699999983</v>
      </c>
      <c r="G6" s="53">
        <v>-2.5754303732999997</v>
      </c>
      <c r="H6" s="53">
        <v>128.60005827877004</v>
      </c>
      <c r="I6" s="53">
        <v>-2.0017389000000003</v>
      </c>
      <c r="J6" s="53">
        <v>-38.122313443099998</v>
      </c>
      <c r="K6" s="53">
        <v>93.617804796950011</v>
      </c>
      <c r="L6" s="53">
        <v>1.5557636999999953</v>
      </c>
      <c r="M6" s="53">
        <v>-24.785618599999999</v>
      </c>
      <c r="N6" s="53">
        <v>-1.2162949999999999</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78.925864224560016</v>
      </c>
      <c r="B3" s="47">
        <v>46167</v>
      </c>
      <c r="C3" s="60">
        <v>12.793089255340002</v>
      </c>
      <c r="D3" s="60">
        <v>-3.336891727999999</v>
      </c>
      <c r="E3" s="60">
        <v>7.4376826000000005</v>
      </c>
      <c r="F3" s="60">
        <v>23.929269693000006</v>
      </c>
      <c r="G3" s="60">
        <v>0.20987535099999871</v>
      </c>
      <c r="H3" s="60">
        <v>-8.1882995480999963</v>
      </c>
      <c r="I3" s="60">
        <v>4.4763380999999995</v>
      </c>
      <c r="J3" s="60">
        <v>-1.848144203599998</v>
      </c>
      <c r="K3" s="60">
        <v>19.677207054920007</v>
      </c>
      <c r="L3" s="60">
        <v>-120.88098275000002</v>
      </c>
      <c r="M3" s="60">
        <v>150.19666620000001</v>
      </c>
      <c r="N3" s="60">
        <v>-5.5399458000000008</v>
      </c>
      <c r="P3" s="13"/>
    </row>
    <row r="4" spans="1:20" x14ac:dyDescent="0.3">
      <c r="A4" s="48">
        <f>SUM(C4:N4)</f>
        <v>208.39029605896999</v>
      </c>
      <c r="B4" s="58">
        <v>46174</v>
      </c>
      <c r="C4" s="55">
        <v>-1.4546329917100003</v>
      </c>
      <c r="D4" s="55">
        <v>3.0523732792000007</v>
      </c>
      <c r="E4" s="55">
        <v>2.1301763</v>
      </c>
      <c r="F4" s="55">
        <v>-17.32857330000002</v>
      </c>
      <c r="G4" s="55">
        <v>0.73923511759999982</v>
      </c>
      <c r="H4" s="55">
        <v>-19.216637995349984</v>
      </c>
      <c r="I4" s="55">
        <v>1.2704693000000005</v>
      </c>
      <c r="J4" s="55">
        <v>15.6729445001</v>
      </c>
      <c r="K4" s="55">
        <v>49.344484549129994</v>
      </c>
      <c r="L4" s="55">
        <v>88.951011600000001</v>
      </c>
      <c r="M4" s="55">
        <v>69.157055400000004</v>
      </c>
      <c r="N4" s="55">
        <v>16.072390300000002</v>
      </c>
      <c r="P4" s="13"/>
    </row>
    <row r="5" spans="1:20" x14ac:dyDescent="0.3">
      <c r="A5" s="48">
        <f>SUM(C5:N5)</f>
        <v>402.18496361039996</v>
      </c>
      <c r="B5" s="66">
        <v>46181</v>
      </c>
      <c r="C5" s="60">
        <v>-8.5664830224199982</v>
      </c>
      <c r="D5" s="60">
        <v>-36.808201415200003</v>
      </c>
      <c r="E5" s="60">
        <v>6.9350767000000006</v>
      </c>
      <c r="F5" s="60">
        <v>374.19261689999996</v>
      </c>
      <c r="G5" s="60">
        <v>-2.2580631556999999</v>
      </c>
      <c r="H5" s="60">
        <v>27.186349141240001</v>
      </c>
      <c r="I5" s="60">
        <v>0.87710179999999993</v>
      </c>
      <c r="J5" s="60">
        <v>3.3896196396000007</v>
      </c>
      <c r="K5" s="60">
        <v>-6.1986060271199994</v>
      </c>
      <c r="L5" s="60">
        <v>-21.122817149999999</v>
      </c>
      <c r="M5" s="60">
        <v>55.299143600000008</v>
      </c>
      <c r="N5" s="60">
        <v>9.2592265999999999</v>
      </c>
      <c r="P5" s="13"/>
    </row>
    <row r="6" spans="1:20" x14ac:dyDescent="0.3">
      <c r="A6" s="48">
        <f>SUM(C6:N6)</f>
        <v>-513.10191736653007</v>
      </c>
      <c r="B6" s="58">
        <v>46188</v>
      </c>
      <c r="C6" s="55">
        <v>14.515715980549997</v>
      </c>
      <c r="D6" s="55">
        <v>-8.7022246777000003</v>
      </c>
      <c r="E6" s="55">
        <v>2.7781222999999997</v>
      </c>
      <c r="F6" s="55">
        <v>-395.27919829999996</v>
      </c>
      <c r="G6" s="55">
        <v>5.8736425654999991</v>
      </c>
      <c r="H6" s="55">
        <v>-234.99006371603005</v>
      </c>
      <c r="I6" s="55">
        <v>2.537536499999999</v>
      </c>
      <c r="J6" s="55">
        <v>19.5591696573</v>
      </c>
      <c r="K6" s="55">
        <v>44.814774423849997</v>
      </c>
      <c r="L6" s="55">
        <v>-12.203229399999993</v>
      </c>
      <c r="M6" s="55">
        <v>59.293047799999997</v>
      </c>
      <c r="N6" s="55">
        <v>-11.299210500000001</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2026-06-22T01:45:18Z</dcterms:modified>
</cp:coreProperties>
</file>