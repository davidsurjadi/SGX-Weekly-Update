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18AEFF7-3CB5-4452-AE5F-F6E73BCC818D}"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<sst xmlns="http://schemas.openxmlformats.org/spreadsheetml/2006/main" count="517" uniqueCount="278">
  <si>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</si>
  <si>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</si>
  <si>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</si>
  <si>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</si>
  <si>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</si>
  <si>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</si>
  <si>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</si>
  <si>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</si>
  <si>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</si>
  <si>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</si>
  <si>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</si>
  <si>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</si>
  <si>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</si>
  <si>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</si>
  <si>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</si>
  <si>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</si>
  <si>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</si>
  <si>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</si>
  <si>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</si>
  <si>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</si>
  <si>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</si>
  <si>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</si>
  <si>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</si>
  <si>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</si>
  <si>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</si>
  <si>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</si>
  <si>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</si>
  <si>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</si>
  <si>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</si>
  <si>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</si>
  <si>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</si>
  <si>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</si>
  <si>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</si>
  <si>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</si>
  <si>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</si>
  <si>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</si>
  <si>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</si>
  <si>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</si>
  <si>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</si>
  <si>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</si>
  <si>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</si>
  <si>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</si>
  <si>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</si>
  <si>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</si>
  <si>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</si>
  <si>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</si>
  <si>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</si>
  <si>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</si>
  <si>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</si>
  <si>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</si>
  <si>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</si>
  <si>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</si>
  <si>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</si>
  <si>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</si>
  <si>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</si>
  <si>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</si>
  <si>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</si>
  <si>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</si>
  <si>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</si>
  <si>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</si>
  <si>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</si>
  <si>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</si>
  <si>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</si>
  <si>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</si>
  <si>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</si>
  <si>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</si>
  <si>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</si>
  <si>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</si>
  <si>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</si>
  <si>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</si>
  <si>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</si>
  <si>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</si>
  <si>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</si>
  <si>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</si>
  <si>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</si>
  <si>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</si>
  <si>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</si>
  <si>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</si>
  <si>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</si>
  <si>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</si>
  <si>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</si>
  <si>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</si>
  <si>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</si>
  <si>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</si>
  <si>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</si>
  <si>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</si>
  <si>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</si>
  <si>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</si>
  <si>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</si>
  <si>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</si>
  <si>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</si>
  <si>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</si>
  <si>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</si>
  <si>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</si>
  <si>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</si>
  <si>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</si>
  <si>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</si>
  <si>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</si>
  <si>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</si>
  <si>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</si>
  <si>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</si>
  <si>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</si>
  <si>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</si>
  <si>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</si>
  <si>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</si>
  <si>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</si>
  <si>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</si>
  <si>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</si>
  <si>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</si>
  <si>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</si>
  <si>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</si>
  <si>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</si>
  <si>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</si>
  <si>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</si>
  <si>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</si>
  <si>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</si>
  <si>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</si>
  <si>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</si>
  <si>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</si>
  <si>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</si>
  <si>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</si>
  <si>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</si>
  <si>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</si>
  <si>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</si>
  <si>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</si>
  <si>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</si>
  <si>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</si>
  <si>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</si>
  <si>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</si>
  <si>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</si>
  <si>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</si>
  <si>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</si>
  <si>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</si>
  <si>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</si>
  <si>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</si>
  <si>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8AZ</t>
  </si>
  <si>
    <t xml:space="preserve">Note that the above list of 100 most traded stocks is on a year-to-date basis and may include stocks that are currently suspended for trading. </t>
  </si>
  <si>
    <t>544</t>
  </si>
  <si>
    <t>Keppel</t>
  </si>
  <si>
    <t>F83</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</si>
  <si>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</si>
  <si>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</si>
  <si>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</si>
  <si>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</si>
  <si>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</si>
  <si>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</si>
  <si>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</si>
  <si>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</si>
  <si>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</si>
  <si>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</si>
  <si>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</si>
  <si>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</si>
  <si>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</si>
  <si>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</si>
  <si>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</si>
  <si>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</si>
  <si>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</si>
  <si>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</si>
  <si>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</si>
  <si>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</si>
  <si>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</si>
  <si>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</si>
  <si>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</si>
  <si>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</si>
  <si>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</si>
  <si>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</si>
  <si>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</si>
  <si>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</si>
  <si>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</si>
  <si>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</si>
  <si>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</si>
  <si>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</si>
  <si>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</si>
  <si>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</si>
  <si>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</si>
  <si>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</si>
  <si>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</si>
  <si>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</si>
  <si>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</si>
  <si>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</si>
  <si>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</si>
  <si>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</si>
  <si>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</si>
  <si>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</si>
  <si>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</si>
  <si>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</si>
  <si>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</si>
  <si>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</si>
  <si>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</si>
  <si>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</si>
  <si>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</si>
  <si>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</si>
  <si>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</si>
  <si>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</si>
  <si>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</si>
  <si>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</si>
  <si>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</si>
  <si>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</si>
  <si>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</si>
  <si>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</si>
  <si>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</si>
  <si>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</si>
  <si>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</si>
  <si>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</si>
  <si>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</si>
  <si>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</si>
  <si>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</si>
  <si>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</si>
  <si>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Aztech Gbl</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</si>
  <si>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</si>
  <si>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</si>
  <si>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</si>
  <si>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</si>
  <si>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</si>
  <si>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</si>
  <si>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</si>
  <si>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</si>
  <si>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</si>
  <si>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</si>
  <si>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</si>
  <si>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</si>
  <si>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</si>
  <si>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</si>
  <si>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</si>
  <si>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</si>
  <si>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</si>
  <si>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</si>
  <si>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</si>
  <si>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</si>
  <si>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</si>
  <si>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</si>
  <si>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</si>
  <si>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</si>
  <si>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</si>
  <si>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Rex International</t>
  </si>
  <si>
    <t>Suntec REIT</t>
  </si>
  <si>
    <t>Seatrium Ltd</t>
  </si>
  <si>
    <t>Frasers HTrust</t>
  </si>
  <si>
    <t>Hong Leong Asia</t>
  </si>
  <si>
    <t>H22</t>
  </si>
  <si>
    <t>GKE</t>
  </si>
  <si>
    <t>595</t>
  </si>
  <si>
    <t>Grand Venture</t>
  </si>
  <si>
    <t>JLB</t>
  </si>
  <si>
    <t>PropNex</t>
  </si>
  <si>
    <t>OYY</t>
  </si>
  <si>
    <t>Stoneweg Reit EUR</t>
  </si>
  <si>
    <t>UtdHampshReitUSD</t>
  </si>
  <si>
    <t>ODBU</t>
  </si>
  <si>
    <t>LHN</t>
  </si>
  <si>
    <t>41O</t>
  </si>
  <si>
    <t>Yangzijiang Financial</t>
  </si>
  <si>
    <t>Medtecs Intl</t>
  </si>
  <si>
    <t>546</t>
  </si>
  <si>
    <t>Haw Par</t>
  </si>
  <si>
    <t>H02</t>
  </si>
  <si>
    <t>Japfa</t>
  </si>
  <si>
    <t>UD2</t>
  </si>
  <si>
    <t>OKH Global</t>
  </si>
  <si>
    <t>S3N</t>
  </si>
  <si>
    <t>Far East HTrust</t>
  </si>
  <si>
    <t>Q5T</t>
  </si>
  <si>
    <t>StarhillGbl Reit</t>
  </si>
  <si>
    <t>P40U</t>
  </si>
  <si>
    <t>Past 5 Sessions Institution Net Buy (+) / Net Sell (-) (S$M)</t>
  </si>
  <si>
    <t>Keppel REIT</t>
  </si>
  <si>
    <t>Parkway Life REIT</t>
  </si>
  <si>
    <t>First Reit</t>
  </si>
  <si>
    <t>AW9U</t>
  </si>
  <si>
    <t>Sasseur Reit</t>
  </si>
  <si>
    <t>CRPU</t>
  </si>
  <si>
    <t>TJ DaRenTang USD</t>
  </si>
  <si>
    <t>T14</t>
  </si>
  <si>
    <t>ISDN</t>
  </si>
  <si>
    <t>I07</t>
  </si>
  <si>
    <t>Week of 13 January 2025</t>
  </si>
  <si>
    <r>
      <t xml:space="preserve">Institutional investors net </t>
    </r>
    <r>
      <rPr>
        <b/>
        <sz val="11"/>
        <rFont val="Arial"/>
        <family val="2"/>
      </rPr>
      <t>sell</t>
    </r>
    <r>
      <rPr>
        <sz val="11"/>
        <rFont val="Arial"/>
        <family val="2"/>
      </rPr>
      <t xml:space="preserve"> (-S$126.8m) vs. (+S$21.2m) a week ago</t>
    </r>
  </si>
  <si>
    <r>
      <t xml:space="preserve">Retail investors net </t>
    </r>
    <r>
      <rPr>
        <b/>
        <sz val="11"/>
        <rFont val="Arial"/>
        <family val="2"/>
      </rPr>
      <t>buy</t>
    </r>
    <r>
      <rPr>
        <sz val="11"/>
        <rFont val="Arial"/>
        <family val="2"/>
      </rPr>
      <t xml:space="preserve"> (+S$287.3m) vs. (+S$55.3m)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</si>
</sst>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275</v>
      </c>
      <c r="C1" s="81"/>
    </row>
    <row r="2" spans="1:13" ht="15" x14ac:dyDescent="0.25">
      <c r="A2" s="69" t="s">
        <v>276</v>
      </c>
      <c r="I2" s="50"/>
    </row>
    <row r="3" spans="1:13" ht="15" x14ac:dyDescent="0.25">
      <c r="A3" s="69" t="s">
        <v>277</v>
      </c>
      <c r="I3" s="50"/>
    </row>
    <row r="5" spans="1:13" ht="29.25" customHeight="1" x14ac:dyDescent="0.2">
      <c r="A5" s="3" t="s">
        <v>0</v>
      </c>
      <c r="B5" s="3" t="s">
        <v>1</v>
      </c>
      <c r="C5" s="4" t="s">
        <v>275</v>
      </c>
      <c r="D5" s="60" t="s">
        <v>2</v>
      </c>
      <c r="E5" s="60" t="s">
        <v>1</v>
      </c>
      <c r="F5" s="61" t="str">
        <f>+C5</f>
        <v>Week of 13 January 2025</v>
      </c>
      <c r="I5" s="2"/>
    </row>
    <row r="6" spans="1:13" ht="15" x14ac:dyDescent="0.25">
      <c r="A6" s="34" t="s">
        <v>49</v>
      </c>
      <c r="B6" s="63" t="s">
        <v>47</v>
      </c>
      <c r="C6" s="6">
        <v>35.892131300000003</v>
      </c>
      <c r="D6" s="34" t="s">
        <v>26</v>
      </c>
      <c r="E6" s="63" t="s">
        <v>21</v>
      </c>
      <c r="F6" s="6">
        <v>-85.446797000000004</v>
      </c>
      <c r="G6"/>
      <c r="H6"/>
      <c r="I6" s="2"/>
      <c r="M6"/>
    </row>
    <row r="7" spans="1:13" ht="15" x14ac:dyDescent="0.25">
      <c r="A7" s="35" t="s">
        <v>28</v>
      </c>
      <c r="B7" s="10" t="s">
        <v>23</v>
      </c>
      <c r="C7" s="8">
        <v>30.902619000000001</v>
      </c>
      <c r="D7" s="35" t="s">
        <v>77</v>
      </c>
      <c r="E7" s="10" t="s">
        <v>56</v>
      </c>
      <c r="F7" s="8">
        <v>-15.552580000000001</v>
      </c>
      <c r="G7"/>
      <c r="H7"/>
      <c r="I7" s="2"/>
      <c r="L7"/>
      <c r="M7"/>
    </row>
    <row r="8" spans="1:13" ht="15" x14ac:dyDescent="0.25">
      <c r="A8" s="36" t="s">
        <v>133</v>
      </c>
      <c r="B8" s="63" t="s">
        <v>220</v>
      </c>
      <c r="C8" s="6">
        <v>29.721889999999998</v>
      </c>
      <c r="D8" s="36" t="s">
        <v>33</v>
      </c>
      <c r="E8" s="63" t="s">
        <v>31</v>
      </c>
      <c r="F8" s="6">
        <v>-13.034378999999999</v>
      </c>
      <c r="G8"/>
      <c r="H8"/>
      <c r="I8" s="2"/>
      <c r="L8"/>
      <c r="M8"/>
    </row>
    <row r="9" spans="1:13" ht="15" x14ac:dyDescent="0.25">
      <c r="A9" s="35" t="s">
        <v>39</v>
      </c>
      <c r="B9" s="10" t="s">
        <v>37</v>
      </c>
      <c r="C9" s="8">
        <v>15.790046</v>
      </c>
      <c r="D9" s="35" t="s">
        <v>46</v>
      </c>
      <c r="E9" s="10" t="s">
        <v>43</v>
      </c>
      <c r="F9" s="8">
        <v>-11.714021000000001</v>
      </c>
      <c r="G9"/>
      <c r="H9"/>
      <c r="I9" s="2"/>
      <c r="L9"/>
      <c r="M9"/>
    </row>
    <row r="10" spans="1:13" ht="15" x14ac:dyDescent="0.25">
      <c r="A10" s="36" t="s">
        <v>45</v>
      </c>
      <c r="B10" s="63" t="s">
        <v>42</v>
      </c>
      <c r="C10" s="6">
        <v>10.874654</v>
      </c>
      <c r="D10" s="36" t="s">
        <v>75</v>
      </c>
      <c r="E10" s="63" t="s">
        <v>74</v>
      </c>
      <c r="F10" s="6">
        <v>-10.554494</v>
      </c>
      <c r="G10"/>
      <c r="H10"/>
      <c r="I10" s="2"/>
      <c r="L10"/>
      <c r="M10"/>
    </row>
    <row r="11" spans="1:13" ht="15" x14ac:dyDescent="0.25">
      <c r="A11" s="35" t="s">
        <v>138</v>
      </c>
      <c r="B11" s="10" t="s">
        <v>32</v>
      </c>
      <c r="C11" s="8">
        <v>5.0036959999999997</v>
      </c>
      <c r="D11" s="35" t="s">
        <v>64</v>
      </c>
      <c r="E11" s="10" t="s">
        <v>55</v>
      </c>
      <c r="F11" s="8">
        <v>-9.8333667144999986</v>
      </c>
      <c r="G11"/>
      <c r="H11"/>
      <c r="I11" s="2"/>
      <c r="L11"/>
      <c r="M11"/>
    </row>
    <row r="12" spans="1:13" ht="15" x14ac:dyDescent="0.25">
      <c r="A12" s="36" t="s">
        <v>61</v>
      </c>
      <c r="B12" s="63" t="s">
        <v>53</v>
      </c>
      <c r="C12" s="6">
        <v>2.0870929999999999</v>
      </c>
      <c r="D12" s="36" t="s">
        <v>265</v>
      </c>
      <c r="E12" s="63" t="s">
        <v>98</v>
      </c>
      <c r="F12" s="6">
        <v>-9.3814449999999994</v>
      </c>
      <c r="G12"/>
      <c r="H12"/>
      <c r="I12" s="2"/>
      <c r="L12"/>
      <c r="M12"/>
    </row>
    <row r="13" spans="1:13" ht="15" x14ac:dyDescent="0.25">
      <c r="A13" s="35" t="s">
        <v>44</v>
      </c>
      <c r="B13" s="10" t="s">
        <v>41</v>
      </c>
      <c r="C13" s="8">
        <v>2.0731670000000002</v>
      </c>
      <c r="D13" s="35" t="s">
        <v>227</v>
      </c>
      <c r="E13" s="10" t="s">
        <v>228</v>
      </c>
      <c r="F13" s="8">
        <v>-9.2420790000000004</v>
      </c>
      <c r="G13"/>
      <c r="H13"/>
      <c r="I13" s="2"/>
      <c r="L13"/>
      <c r="M13"/>
    </row>
    <row r="14" spans="1:13" ht="15" x14ac:dyDescent="0.25">
      <c r="A14" s="36" t="s">
        <v>251</v>
      </c>
      <c r="B14" s="63" t="s">
        <v>108</v>
      </c>
      <c r="C14" s="6">
        <v>1.7304269999999999</v>
      </c>
      <c r="D14" s="36" t="s">
        <v>130</v>
      </c>
      <c r="E14" s="63" t="s">
        <v>102</v>
      </c>
      <c r="F14" s="6">
        <v>-7.6772580000000001</v>
      </c>
      <c r="G14"/>
      <c r="H14"/>
      <c r="I14" s="2"/>
      <c r="L14"/>
      <c r="M14"/>
    </row>
    <row r="15" spans="1:13" ht="15" x14ac:dyDescent="0.25">
      <c r="A15" s="37" t="s">
        <v>234</v>
      </c>
      <c r="B15" s="33" t="s">
        <v>101</v>
      </c>
      <c r="C15" s="9">
        <v>1.7006810999999999</v>
      </c>
      <c r="D15" s="37" t="s">
        <v>36</v>
      </c>
      <c r="E15" s="33" t="s">
        <v>35</v>
      </c>
      <c r="F15" s="9">
        <v>-7.3889835000000001</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13 January 2025</v>
      </c>
      <c r="D18" s="62" t="s">
        <v>4</v>
      </c>
      <c r="E18" s="60" t="s">
        <v>1</v>
      </c>
      <c r="F18" s="61" t="str">
        <f>+C18</f>
        <v>Week of 13 January 2025</v>
      </c>
    </row>
    <row r="19" spans="1:9" ht="15" x14ac:dyDescent="0.25">
      <c r="A19" s="36" t="s">
        <v>26</v>
      </c>
      <c r="B19" s="63" t="s">
        <v>21</v>
      </c>
      <c r="C19" s="20">
        <v>172.088221</v>
      </c>
      <c r="D19" s="36" t="s">
        <v>49</v>
      </c>
      <c r="E19" s="19" t="s">
        <v>47</v>
      </c>
      <c r="F19" s="6">
        <v>-40.8284916</v>
      </c>
      <c r="G19"/>
      <c r="I19" s="2"/>
    </row>
    <row r="20" spans="1:9" ht="15" x14ac:dyDescent="0.25">
      <c r="A20" s="35" t="s">
        <v>27</v>
      </c>
      <c r="B20" s="10" t="s">
        <v>22</v>
      </c>
      <c r="C20" s="8">
        <v>51.615313999999998</v>
      </c>
      <c r="D20" s="35" t="s">
        <v>133</v>
      </c>
      <c r="E20" s="22" t="s">
        <v>220</v>
      </c>
      <c r="F20" s="8">
        <v>-22.074669</v>
      </c>
      <c r="G20"/>
      <c r="I20" s="2"/>
    </row>
    <row r="21" spans="1:9" ht="15" x14ac:dyDescent="0.25">
      <c r="A21" s="36" t="s">
        <v>61</v>
      </c>
      <c r="B21" s="63" t="s">
        <v>53</v>
      </c>
      <c r="C21" s="6">
        <v>21.744987999999999</v>
      </c>
      <c r="D21" s="36" t="s">
        <v>39</v>
      </c>
      <c r="E21" s="7" t="s">
        <v>37</v>
      </c>
      <c r="F21" s="6">
        <v>-9.4355039999999999</v>
      </c>
      <c r="G21"/>
      <c r="I21" s="2"/>
    </row>
    <row r="22" spans="1:9" ht="15" x14ac:dyDescent="0.25">
      <c r="A22" s="35" t="s">
        <v>33</v>
      </c>
      <c r="B22" s="10" t="s">
        <v>31</v>
      </c>
      <c r="C22" s="8">
        <v>16.571258</v>
      </c>
      <c r="D22" s="35" t="s">
        <v>45</v>
      </c>
      <c r="E22" s="22" t="s">
        <v>42</v>
      </c>
      <c r="F22" s="8">
        <v>-8.9774729999999998</v>
      </c>
      <c r="G22"/>
      <c r="I22" s="2"/>
    </row>
    <row r="23" spans="1:9" ht="15" x14ac:dyDescent="0.25">
      <c r="A23" s="36" t="s">
        <v>84</v>
      </c>
      <c r="B23" s="63" t="s">
        <v>83</v>
      </c>
      <c r="C23" s="6">
        <v>10.891603999999999</v>
      </c>
      <c r="D23" s="36" t="s">
        <v>235</v>
      </c>
      <c r="E23" s="7" t="s">
        <v>87</v>
      </c>
      <c r="F23" s="6">
        <v>-6.1831250000000004</v>
      </c>
      <c r="G23"/>
      <c r="I23" s="2"/>
    </row>
    <row r="24" spans="1:9" ht="15" x14ac:dyDescent="0.25">
      <c r="A24" s="35" t="s">
        <v>36</v>
      </c>
      <c r="B24" s="10" t="s">
        <v>35</v>
      </c>
      <c r="C24" s="8">
        <v>10.291172</v>
      </c>
      <c r="D24" s="35" t="s">
        <v>138</v>
      </c>
      <c r="E24" s="22" t="s">
        <v>32</v>
      </c>
      <c r="F24" s="8">
        <v>-2.249133</v>
      </c>
      <c r="G24"/>
      <c r="I24" s="2"/>
    </row>
    <row r="25" spans="1:9" ht="15" x14ac:dyDescent="0.25">
      <c r="A25" s="36" t="s">
        <v>28</v>
      </c>
      <c r="B25" s="63" t="s">
        <v>23</v>
      </c>
      <c r="C25" s="6">
        <v>10.003503</v>
      </c>
      <c r="D25" s="36" t="s">
        <v>234</v>
      </c>
      <c r="E25" s="7" t="s">
        <v>101</v>
      </c>
      <c r="F25" s="6">
        <v>-2.0163878</v>
      </c>
      <c r="G25"/>
      <c r="I25" s="2"/>
    </row>
    <row r="26" spans="1:9" ht="15" x14ac:dyDescent="0.25">
      <c r="A26" s="35" t="s">
        <v>227</v>
      </c>
      <c r="B26" s="10" t="s">
        <v>228</v>
      </c>
      <c r="C26" s="8">
        <v>8.5888860000000005</v>
      </c>
      <c r="D26" s="35" t="s">
        <v>251</v>
      </c>
      <c r="E26" s="22" t="s">
        <v>108</v>
      </c>
      <c r="F26" s="8">
        <v>-1.8033535000000001</v>
      </c>
      <c r="G26"/>
      <c r="I26" s="2"/>
    </row>
    <row r="27" spans="1:9" ht="15" x14ac:dyDescent="0.25">
      <c r="A27" s="36" t="s">
        <v>46</v>
      </c>
      <c r="B27" s="63" t="s">
        <v>43</v>
      </c>
      <c r="C27" s="6">
        <v>6.9439960000000003</v>
      </c>
      <c r="D27" s="36" t="s">
        <v>266</v>
      </c>
      <c r="E27" s="7" t="s">
        <v>117</v>
      </c>
      <c r="F27" s="6">
        <v>-1.576813</v>
      </c>
      <c r="G27"/>
      <c r="I27" s="2"/>
    </row>
    <row r="28" spans="1:9" ht="15" x14ac:dyDescent="0.25">
      <c r="A28" s="33" t="s">
        <v>222</v>
      </c>
      <c r="B28" s="76" t="s">
        <v>58</v>
      </c>
      <c r="C28" s="9">
        <v>6.4568820000000002</v>
      </c>
      <c r="D28" s="33" t="s">
        <v>194</v>
      </c>
      <c r="E28" s="76" t="s">
        <v>109</v>
      </c>
      <c r="F28" s="9">
        <v>-1.0255240000000001</v>
      </c>
      <c r="G28"/>
      <c r="I28" s="2"/>
    </row>
    <row r="29" spans="1:9" x14ac:dyDescent="0.2">
      <c r="A29" s="10"/>
      <c r="B29" s="10"/>
      <c r="C29" s="10"/>
      <c r="D29" s="10"/>
      <c r="E29" s="10"/>
      <c r="F29" s="10"/>
    </row>
    <row r="30" spans="1:9" x14ac:dyDescent="0.2">
      <c r="A30" s="11" t="s">
        <v>215</v>
      </c>
      <c r="B30" s="11"/>
      <c r="C30" s="10"/>
      <c r="D30" s="10"/>
      <c r="E30" s="10"/>
      <c r="F30" s="10"/>
    </row>
    <row r="31" spans="1:9" x14ac:dyDescent="0.2">
      <c r="A31" s="11" t="s">
        <v>80</v>
      </c>
      <c r="B31" s="11"/>
      <c r="C31" s="10"/>
      <c r="D31" s="10"/>
      <c r="E31" s="10"/>
      <c r="F31" s="10"/>
    </row>
    <row r="32" spans="1:9" x14ac:dyDescent="0.2">
      <c r="A32" s="11" t="s">
        <v>216</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226</v>
      </c>
      <c r="B38" s="24"/>
      <c r="C38" s="25"/>
      <c r="D38" s="25"/>
      <c r="E38" s="24"/>
      <c r="F38" s="24"/>
      <c r="I38" s="38"/>
    </row>
    <row r="39" spans="1:9" s="30" customFormat="1" ht="19.350000000000001" customHeight="1" x14ac:dyDescent="0.25">
      <c r="A39" s="27" t="s">
        <v>225</v>
      </c>
      <c r="B39" s="28"/>
      <c r="C39" s="29"/>
      <c r="D39" s="29"/>
      <c r="E39" s="28"/>
      <c r="F39" s="28"/>
      <c r="I39" s="41"/>
    </row>
    <row r="40" spans="1:9" ht="169.35" customHeight="1" x14ac:dyDescent="0.2">
      <c r="A40" s="82" t="s">
        <v>231</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B8:B14 E20: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52.919452166730004</v>
      </c>
      <c r="B3" s="71">
        <v>45649</v>
      </c>
      <c r="C3" s="15">
        <v>-5.0262452848799999</v>
      </c>
      <c r="D3" s="15">
        <v>-2.1677648206</v>
      </c>
      <c r="E3" s="15">
        <v>-0.1800361000000002</v>
      </c>
      <c r="F3" s="15">
        <v>31.549363700000001</v>
      </c>
      <c r="G3" s="15">
        <v>2.932725878499999</v>
      </c>
      <c r="H3" s="15">
        <v>31.62345311188</v>
      </c>
      <c r="I3" s="15">
        <v>-0.9814174</v>
      </c>
      <c r="J3" s="15">
        <v>-1.0568429059</v>
      </c>
      <c r="K3" s="15">
        <v>-2.8612043122699991</v>
      </c>
      <c r="L3" s="15">
        <v>7.8703411999999986</v>
      </c>
      <c r="M3" s="15">
        <v>-10.595921799999999</v>
      </c>
      <c r="N3" s="15">
        <v>1.8130009</v>
      </c>
    </row>
    <row r="4" spans="1:15" ht="15" x14ac:dyDescent="0.25">
      <c r="A4" s="44">
        <f>SUM(C4:N4)</f>
        <v>-130.93954652143</v>
      </c>
      <c r="B4" s="12">
        <v>45656</v>
      </c>
      <c r="C4" s="70">
        <v>-6.2705130440100012</v>
      </c>
      <c r="D4" s="70">
        <v>-3.9433271185000005</v>
      </c>
      <c r="E4" s="70">
        <v>1.6412244000000002</v>
      </c>
      <c r="F4" s="70">
        <v>-121.34709039999997</v>
      </c>
      <c r="G4" s="70">
        <v>1.2857640028999999</v>
      </c>
      <c r="H4" s="70">
        <v>21.240685218899991</v>
      </c>
      <c r="I4" s="70">
        <v>-8.5584400000000074E-2</v>
      </c>
      <c r="J4" s="70">
        <v>-1.1246364852999993</v>
      </c>
      <c r="K4" s="70">
        <v>-2.2689939954199989</v>
      </c>
      <c r="L4" s="70">
        <v>-4.0637359999999996</v>
      </c>
      <c r="M4" s="70">
        <v>-21.238891000000002</v>
      </c>
      <c r="N4" s="70">
        <v>5.2355523000000002</v>
      </c>
    </row>
    <row r="5" spans="1:15" ht="15" x14ac:dyDescent="0.25">
      <c r="A5" s="44">
        <f>SUM(C5:N5)</f>
        <v>21.186619292709967</v>
      </c>
      <c r="B5" s="71">
        <v>45663</v>
      </c>
      <c r="C5" s="15">
        <v>-12.376897191479998</v>
      </c>
      <c r="D5" s="15">
        <v>-26.576985465000003</v>
      </c>
      <c r="E5" s="15">
        <v>2.1707932000000003</v>
      </c>
      <c r="F5" s="15">
        <v>95.92692663599999</v>
      </c>
      <c r="G5" s="15">
        <v>2.2383160058000007</v>
      </c>
      <c r="H5" s="15">
        <v>-42.687058333540016</v>
      </c>
      <c r="I5" s="15">
        <v>-2.221513100000001</v>
      </c>
      <c r="J5" s="15">
        <v>-14.864780407400001</v>
      </c>
      <c r="K5" s="15">
        <v>13.101994348330001</v>
      </c>
      <c r="L5" s="15">
        <v>-10.9552946</v>
      </c>
      <c r="M5" s="15">
        <v>10.5077555</v>
      </c>
      <c r="N5" s="15">
        <v>6.9233626999999993</v>
      </c>
    </row>
    <row r="6" spans="1:15" ht="15" x14ac:dyDescent="0.25">
      <c r="A6" s="44">
        <f>SUM(C6:N6)</f>
        <v>-126.76605859297999</v>
      </c>
      <c r="B6" s="80">
        <v>45670</v>
      </c>
      <c r="C6" s="70">
        <v>-5.9525625082499998</v>
      </c>
      <c r="D6" s="70">
        <v>-0.74423159330000033</v>
      </c>
      <c r="E6" s="70">
        <v>1.2986124000000001</v>
      </c>
      <c r="F6" s="70">
        <v>-70.812173199999989</v>
      </c>
      <c r="G6" s="70">
        <v>1.9393038705000003</v>
      </c>
      <c r="H6" s="70">
        <v>25.544761341029997</v>
      </c>
      <c r="I6" s="70">
        <v>0.4627566000000003</v>
      </c>
      <c r="J6" s="70">
        <v>-25.796574814500001</v>
      </c>
      <c r="K6" s="70">
        <v>-75.016033288459994</v>
      </c>
      <c r="L6" s="70">
        <v>-22.201376300000003</v>
      </c>
      <c r="M6" s="70">
        <v>33.678635700000001</v>
      </c>
      <c r="N6" s="70">
        <v>10.8328232</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-73.580005432199997</v>
      </c>
      <c r="B3" s="64">
        <v>45649</v>
      </c>
      <c r="C3" s="56">
        <v>3.8612025840099999</v>
      </c>
      <c r="D3" s="56">
        <v>2.6657760044000001</v>
      </c>
      <c r="E3" s="56">
        <v>-1.7457724999999999</v>
      </c>
      <c r="F3" s="56">
        <v>-9.7209920999999948</v>
      </c>
      <c r="G3" s="56">
        <v>-0.74470861870000005</v>
      </c>
      <c r="H3" s="56">
        <v>-60.646074312579998</v>
      </c>
      <c r="I3" s="56">
        <v>2.0963208999999998</v>
      </c>
      <c r="J3" s="56">
        <v>-1.0755047203000001</v>
      </c>
      <c r="K3" s="56">
        <v>2.05622523097</v>
      </c>
      <c r="L3" s="56">
        <v>-14.8252325</v>
      </c>
      <c r="M3" s="56">
        <v>5.1137899000000004</v>
      </c>
      <c r="N3" s="56">
        <v>-0.61503530000000006</v>
      </c>
      <c r="P3" s="14"/>
    </row>
    <row r="4" spans="1:18" ht="15" x14ac:dyDescent="0.25">
      <c r="A4" s="65">
        <f>SUM(C4:N4)</f>
        <v>-49.817765276060044</v>
      </c>
      <c r="B4" s="12">
        <v>45656</v>
      </c>
      <c r="C4" s="74">
        <v>6.0046559021299997</v>
      </c>
      <c r="D4" s="74">
        <v>1.1811180947</v>
      </c>
      <c r="E4" s="74">
        <v>-4.1385259000000003</v>
      </c>
      <c r="F4" s="74">
        <v>36.188009799999982</v>
      </c>
      <c r="G4" s="74">
        <v>0.76867092590000008</v>
      </c>
      <c r="H4" s="74">
        <v>-81.347972697420019</v>
      </c>
      <c r="I4" s="74">
        <v>-9.9370600000000142E-2</v>
      </c>
      <c r="J4" s="74">
        <v>-1.4363313188000006</v>
      </c>
      <c r="K4" s="74">
        <v>-9.8944414825700004</v>
      </c>
      <c r="L4" s="74">
        <v>-3.8743051999999985</v>
      </c>
      <c r="M4" s="74">
        <v>9.6317879000000008</v>
      </c>
      <c r="N4" s="74">
        <v>-2.8010607000000003</v>
      </c>
      <c r="P4" s="14"/>
    </row>
    <row r="5" spans="1:18" ht="15" x14ac:dyDescent="0.25">
      <c r="A5" s="65">
        <f>SUM(C5:N5)</f>
        <v>55.316351750909966</v>
      </c>
      <c r="B5" s="64">
        <v>45663</v>
      </c>
      <c r="C5" s="56">
        <v>16.444614214239998</v>
      </c>
      <c r="D5" s="56">
        <v>27.814838057899998</v>
      </c>
      <c r="E5" s="56">
        <v>-2.0173586000000006</v>
      </c>
      <c r="F5" s="56">
        <v>-66.554844636000013</v>
      </c>
      <c r="G5" s="56">
        <v>7.0213427568000002</v>
      </c>
      <c r="H5" s="56">
        <v>8.1618893801499919</v>
      </c>
      <c r="I5" s="56">
        <v>2.2668111000000004</v>
      </c>
      <c r="J5" s="56">
        <v>16.249050754900001</v>
      </c>
      <c r="K5" s="56">
        <v>10.757337322919996</v>
      </c>
      <c r="L5" s="56">
        <v>21.269953100000006</v>
      </c>
      <c r="M5" s="56">
        <v>13.954863300000001</v>
      </c>
      <c r="N5" s="56">
        <v>-5.2145000000000004E-2</v>
      </c>
      <c r="P5" s="14"/>
    </row>
    <row r="6" spans="1:18" ht="15" x14ac:dyDescent="0.25">
      <c r="A6" s="65">
        <f>SUM(C6:N6)</f>
        <v>287.32609420666</v>
      </c>
      <c r="B6" s="80">
        <v>45670</v>
      </c>
      <c r="C6" s="74">
        <v>9.648676735979997</v>
      </c>
      <c r="D6" s="74">
        <v>4.4867660334000004</v>
      </c>
      <c r="E6" s="74">
        <v>-1.2087780000000001</v>
      </c>
      <c r="F6" s="74">
        <v>243.73543550000005</v>
      </c>
      <c r="G6" s="74">
        <v>1.2088226272</v>
      </c>
      <c r="H6" s="74">
        <v>14.148116799740004</v>
      </c>
      <c r="I6" s="74">
        <v>-0.89608169999999987</v>
      </c>
      <c r="J6" s="74">
        <v>14.089390958200001</v>
      </c>
      <c r="K6" s="74">
        <v>31.830463552139999</v>
      </c>
      <c r="L6" s="74">
        <v>17.283007900000001</v>
      </c>
      <c r="M6" s="74">
        <v>-38.062759299999996</v>
      </c>
      <c r="N6" s="74">
        <v>-8.9369668999999998</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13 January 2025</v>
      </c>
      <c r="B1" s="16" t="s">
        <v>1</v>
      </c>
      <c r="C1" s="17" t="s">
        <v>71</v>
      </c>
      <c r="D1" s="17" t="s">
        <v>72</v>
      </c>
    </row>
    <row r="2" spans="1:5" x14ac:dyDescent="0.25">
      <c r="A2" s="18" t="s">
        <v>86</v>
      </c>
      <c r="B2" s="19" t="s">
        <v>25</v>
      </c>
      <c r="C2" s="20">
        <v>-5.066414</v>
      </c>
      <c r="D2" s="20">
        <v>-0.40351399999999998</v>
      </c>
      <c r="E2" s="38"/>
    </row>
    <row r="3" spans="1:5" x14ac:dyDescent="0.25">
      <c r="A3" s="21" t="s">
        <v>77</v>
      </c>
      <c r="B3" s="22" t="s">
        <v>56</v>
      </c>
      <c r="C3" s="8">
        <v>-15.552580000000001</v>
      </c>
      <c r="D3" s="8">
        <v>5.6896890000000004</v>
      </c>
      <c r="E3" s="38"/>
    </row>
    <row r="4" spans="1:5" x14ac:dyDescent="0.25">
      <c r="A4" s="5" t="s">
        <v>84</v>
      </c>
      <c r="B4" s="7" t="s">
        <v>83</v>
      </c>
      <c r="C4" s="6">
        <v>-6.3282720000000001</v>
      </c>
      <c r="D4" s="6">
        <v>10.891603999999999</v>
      </c>
      <c r="E4" s="38"/>
    </row>
    <row r="5" spans="1:5" x14ac:dyDescent="0.25">
      <c r="A5" s="21" t="s">
        <v>63</v>
      </c>
      <c r="B5" s="22" t="s">
        <v>54</v>
      </c>
      <c r="C5" s="8">
        <v>-4.8089750000000002</v>
      </c>
      <c r="D5" s="8">
        <v>4.1449730000000002</v>
      </c>
      <c r="E5" s="38"/>
    </row>
    <row r="6" spans="1:5" x14ac:dyDescent="0.25">
      <c r="A6" s="5" t="s">
        <v>26</v>
      </c>
      <c r="B6" s="7" t="s">
        <v>21</v>
      </c>
      <c r="C6" s="6">
        <v>-85.446797000000004</v>
      </c>
      <c r="D6" s="6">
        <v>172.088221</v>
      </c>
      <c r="E6" s="38"/>
    </row>
    <row r="7" spans="1:5" x14ac:dyDescent="0.25">
      <c r="A7" s="21" t="s">
        <v>85</v>
      </c>
      <c r="B7" s="22" t="s">
        <v>57</v>
      </c>
      <c r="C7" s="8">
        <v>-0.88441759330000003</v>
      </c>
      <c r="D7" s="8">
        <v>6.0094733400000093E-2</v>
      </c>
      <c r="E7" s="38"/>
    </row>
    <row r="8" spans="1:5" x14ac:dyDescent="0.25">
      <c r="A8" s="5" t="s">
        <v>217</v>
      </c>
      <c r="B8" s="7" t="s">
        <v>105</v>
      </c>
      <c r="C8" s="6">
        <v>-6.4919529999999996</v>
      </c>
      <c r="D8" s="6">
        <v>2.851432</v>
      </c>
      <c r="E8" s="38"/>
    </row>
    <row r="9" spans="1:5" x14ac:dyDescent="0.25">
      <c r="A9" s="21" t="s">
        <v>79</v>
      </c>
      <c r="B9" s="22" t="s">
        <v>78</v>
      </c>
      <c r="C9" s="8">
        <v>-3.1861885000000001</v>
      </c>
      <c r="D9" s="8">
        <v>1.2069685000000001</v>
      </c>
      <c r="E9" s="38"/>
    </row>
    <row r="10" spans="1:5" x14ac:dyDescent="0.25">
      <c r="A10" s="5" t="s">
        <v>36</v>
      </c>
      <c r="B10" s="7" t="s">
        <v>35</v>
      </c>
      <c r="C10" s="6">
        <v>-7.3889835000000001</v>
      </c>
      <c r="D10" s="6">
        <v>10.291172</v>
      </c>
      <c r="E10" s="38"/>
    </row>
    <row r="11" spans="1:5" x14ac:dyDescent="0.25">
      <c r="A11" s="21" t="s">
        <v>64</v>
      </c>
      <c r="B11" s="22" t="s">
        <v>55</v>
      </c>
      <c r="C11" s="8">
        <v>-9.8333667144999986</v>
      </c>
      <c r="D11" s="8">
        <v>2.1274520581999998</v>
      </c>
      <c r="E11" s="38"/>
    </row>
    <row r="12" spans="1:5" x14ac:dyDescent="0.25">
      <c r="A12" s="5" t="s">
        <v>50</v>
      </c>
      <c r="B12" s="7" t="s">
        <v>48</v>
      </c>
      <c r="C12" s="6">
        <v>1.320945</v>
      </c>
      <c r="D12" s="6">
        <v>-0.55876300000000001</v>
      </c>
      <c r="E12" s="38"/>
    </row>
    <row r="13" spans="1:5" x14ac:dyDescent="0.25">
      <c r="A13" s="21" t="s">
        <v>62</v>
      </c>
      <c r="B13" s="22" t="s">
        <v>52</v>
      </c>
      <c r="C13" s="8">
        <v>0.78383853379999802</v>
      </c>
      <c r="D13" s="8">
        <v>0.31554916509999997</v>
      </c>
      <c r="E13" s="38"/>
    </row>
    <row r="14" spans="1:5" x14ac:dyDescent="0.25">
      <c r="A14" s="5" t="s">
        <v>138</v>
      </c>
      <c r="B14" s="7" t="s">
        <v>32</v>
      </c>
      <c r="C14" s="6">
        <v>5.0036959999999997</v>
      </c>
      <c r="D14" s="6">
        <v>-2.249133</v>
      </c>
      <c r="E14" s="38"/>
    </row>
    <row r="15" spans="1:5" x14ac:dyDescent="0.25">
      <c r="A15" s="21" t="s">
        <v>75</v>
      </c>
      <c r="B15" s="22" t="s">
        <v>74</v>
      </c>
      <c r="C15" s="8">
        <v>-10.554494</v>
      </c>
      <c r="D15" s="8">
        <v>1.213975</v>
      </c>
      <c r="E15" s="38"/>
    </row>
    <row r="16" spans="1:5" x14ac:dyDescent="0.25">
      <c r="A16" s="5" t="s">
        <v>40</v>
      </c>
      <c r="B16" s="7" t="s">
        <v>38</v>
      </c>
      <c r="C16" s="6">
        <v>-1.4250259999999999</v>
      </c>
      <c r="D16" s="6">
        <v>3.5207030000000001</v>
      </c>
      <c r="E16" s="38"/>
    </row>
    <row r="17" spans="1:5" x14ac:dyDescent="0.25">
      <c r="A17" s="21" t="s">
        <v>222</v>
      </c>
      <c r="B17" s="22" t="s">
        <v>58</v>
      </c>
      <c r="C17" s="8">
        <v>-6.9420609999999998</v>
      </c>
      <c r="D17" s="8">
        <v>6.4568820000000002</v>
      </c>
      <c r="E17" s="38"/>
    </row>
    <row r="18" spans="1:5" x14ac:dyDescent="0.25">
      <c r="A18" s="5" t="s">
        <v>27</v>
      </c>
      <c r="B18" s="7" t="s">
        <v>22</v>
      </c>
      <c r="C18" s="6">
        <v>-6.8461410000000003</v>
      </c>
      <c r="D18" s="6">
        <v>51.615313999999998</v>
      </c>
      <c r="E18" s="38"/>
    </row>
    <row r="19" spans="1:5" x14ac:dyDescent="0.25">
      <c r="A19" s="21" t="s">
        <v>34</v>
      </c>
      <c r="B19" s="22" t="s">
        <v>30</v>
      </c>
      <c r="C19" s="8">
        <v>-4.6310549999999999</v>
      </c>
      <c r="D19" s="8">
        <v>3.640469</v>
      </c>
      <c r="E19" s="38"/>
    </row>
    <row r="20" spans="1:5" x14ac:dyDescent="0.25">
      <c r="A20" s="5" t="s">
        <v>133</v>
      </c>
      <c r="B20" s="7" t="s">
        <v>220</v>
      </c>
      <c r="C20" s="6">
        <v>29.721889999999998</v>
      </c>
      <c r="D20" s="6">
        <v>-22.074669</v>
      </c>
      <c r="E20" s="38"/>
    </row>
    <row r="21" spans="1:5" x14ac:dyDescent="0.25">
      <c r="A21" s="21" t="s">
        <v>45</v>
      </c>
      <c r="B21" s="22" t="s">
        <v>42</v>
      </c>
      <c r="C21" s="8">
        <v>10.874654</v>
      </c>
      <c r="D21" s="8">
        <v>-8.9774729999999998</v>
      </c>
      <c r="E21" s="38"/>
    </row>
    <row r="22" spans="1:5" x14ac:dyDescent="0.25">
      <c r="A22" s="5" t="s">
        <v>33</v>
      </c>
      <c r="B22" s="7" t="s">
        <v>31</v>
      </c>
      <c r="C22" s="6">
        <v>-13.034378999999999</v>
      </c>
      <c r="D22" s="6">
        <v>16.571258</v>
      </c>
      <c r="E22" s="38"/>
    </row>
    <row r="23" spans="1:5" x14ac:dyDescent="0.25">
      <c r="A23" s="21" t="s">
        <v>29</v>
      </c>
      <c r="B23" s="22" t="s">
        <v>24</v>
      </c>
      <c r="C23" s="8">
        <v>-4.8774620000000004</v>
      </c>
      <c r="D23" s="8">
        <v>1.029253</v>
      </c>
      <c r="E23" s="38"/>
    </row>
    <row r="24" spans="1:5" x14ac:dyDescent="0.25">
      <c r="A24" s="5" t="s">
        <v>39</v>
      </c>
      <c r="B24" s="7" t="s">
        <v>37</v>
      </c>
      <c r="C24" s="6">
        <v>15.790046</v>
      </c>
      <c r="D24" s="6">
        <v>-9.4355039999999999</v>
      </c>
      <c r="E24" s="38"/>
    </row>
    <row r="25" spans="1:5" x14ac:dyDescent="0.25">
      <c r="A25" s="21" t="s">
        <v>49</v>
      </c>
      <c r="B25" s="22" t="s">
        <v>47</v>
      </c>
      <c r="C25" s="8">
        <v>35.892131300000003</v>
      </c>
      <c r="D25" s="8">
        <v>-40.8284916</v>
      </c>
      <c r="E25" s="38"/>
    </row>
    <row r="26" spans="1:5" x14ac:dyDescent="0.25">
      <c r="A26" s="5" t="s">
        <v>60</v>
      </c>
      <c r="B26" s="7" t="s">
        <v>51</v>
      </c>
      <c r="C26" s="6">
        <v>1.6326635</v>
      </c>
      <c r="D26" s="6">
        <v>2.2320039999999999</v>
      </c>
      <c r="E26" s="38"/>
    </row>
    <row r="27" spans="1:5" x14ac:dyDescent="0.25">
      <c r="A27" s="21" t="s">
        <v>28</v>
      </c>
      <c r="B27" s="22" t="s">
        <v>23</v>
      </c>
      <c r="C27" s="8">
        <v>30.902619000000001</v>
      </c>
      <c r="D27" s="8">
        <v>10.003503</v>
      </c>
      <c r="E27" s="38"/>
    </row>
    <row r="28" spans="1:5" x14ac:dyDescent="0.25">
      <c r="A28" s="5" t="s">
        <v>65</v>
      </c>
      <c r="B28" s="7" t="s">
        <v>59</v>
      </c>
      <c r="C28" s="6">
        <v>-1.415254</v>
      </c>
      <c r="D28" s="6">
        <v>0.20589399999999999</v>
      </c>
      <c r="E28" s="38"/>
    </row>
    <row r="29" spans="1:5" x14ac:dyDescent="0.25">
      <c r="A29" s="21" t="s">
        <v>46</v>
      </c>
      <c r="B29" s="22" t="s">
        <v>43</v>
      </c>
      <c r="C29" s="8">
        <v>-11.714021000000001</v>
      </c>
      <c r="D29" s="8">
        <v>6.9439960000000003</v>
      </c>
      <c r="E29" s="38"/>
    </row>
    <row r="30" spans="1:5" x14ac:dyDescent="0.25">
      <c r="A30" s="5" t="s">
        <v>44</v>
      </c>
      <c r="B30" s="7" t="s">
        <v>41</v>
      </c>
      <c r="C30" s="6">
        <v>2.0731670000000002</v>
      </c>
      <c r="D30" s="6">
        <v>-0.31347700000000001</v>
      </c>
      <c r="E30" s="38"/>
    </row>
    <row r="31" spans="1:5" ht="15.75" thickBot="1" x14ac:dyDescent="0.3">
      <c r="A31" s="21" t="s">
        <v>61</v>
      </c>
      <c r="B31" s="22" t="s">
        <v>53</v>
      </c>
      <c r="C31" s="8">
        <v>2.0870929999999999</v>
      </c>
      <c r="D31" s="8">
        <v>21.744987999999999</v>
      </c>
      <c r="E31" s="38"/>
    </row>
    <row r="32" spans="1:5" ht="21" customHeight="1" thickBot="1" x14ac:dyDescent="0.3">
      <c r="A32" s="88" t="s">
        <v>66</v>
      </c>
      <c r="B32" s="89"/>
      <c r="C32" s="58">
        <f>SUM(C2:C31)</f>
        <v>-70.345096974000015</v>
      </c>
      <c r="D32" s="59">
        <f>SUM(D2:D31)</f>
        <v>250.00436985669995</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13 January 2025</v>
      </c>
      <c r="B1" s="16" t="s">
        <v>1</v>
      </c>
      <c r="C1" s="47" t="s">
        <v>96</v>
      </c>
      <c r="D1" s="17" t="s">
        <v>95</v>
      </c>
      <c r="E1" s="17" t="s">
        <v>264</v>
      </c>
      <c r="F1" s="17" t="s">
        <v>97</v>
      </c>
      <c r="G1" s="52"/>
      <c r="H1" s="78"/>
      <c r="I1" s="78"/>
      <c r="J1" s="78"/>
      <c r="L1" s="78"/>
      <c r="M1" s="78"/>
      <c r="N1" s="78"/>
    </row>
    <row r="2" spans="1:17" x14ac:dyDescent="0.25">
      <c r="A2" s="18" t="s">
        <v>26</v>
      </c>
      <c r="B2" s="19" t="s">
        <v>21</v>
      </c>
      <c r="C2" s="53">
        <v>183.20409116249999</v>
      </c>
      <c r="D2" s="53">
        <v>-55.495837000000002</v>
      </c>
      <c r="E2" s="53">
        <v>-85.446797000000004</v>
      </c>
      <c r="F2" s="20" t="s">
        <v>13</v>
      </c>
      <c r="G2" s="52"/>
      <c r="H2" s="78"/>
      <c r="I2" s="78"/>
      <c r="J2" s="78"/>
      <c r="K2" s="52"/>
      <c r="L2" s="78"/>
      <c r="M2" s="78"/>
      <c r="N2" s="78"/>
      <c r="O2" s="73"/>
      <c r="P2" s="73"/>
      <c r="Q2" s="73"/>
    </row>
    <row r="3" spans="1:17" x14ac:dyDescent="0.25">
      <c r="A3" s="21" t="s">
        <v>148</v>
      </c>
      <c r="B3" s="22" t="s">
        <v>22</v>
      </c>
      <c r="C3" s="54">
        <v>84.499691204166666</v>
      </c>
      <c r="D3" s="54">
        <v>51.02785500000001</v>
      </c>
      <c r="E3" s="54">
        <v>-6.8461409999999985</v>
      </c>
      <c r="F3" s="8" t="s">
        <v>13</v>
      </c>
      <c r="G3" s="52"/>
      <c r="H3" s="78"/>
      <c r="I3" s="78"/>
      <c r="J3" s="78"/>
      <c r="K3" s="52"/>
      <c r="L3" s="78"/>
      <c r="M3" s="78"/>
      <c r="N3" s="78"/>
      <c r="O3" s="73"/>
      <c r="P3" s="73"/>
      <c r="Q3" s="73"/>
    </row>
    <row r="4" spans="1:17" x14ac:dyDescent="0.25">
      <c r="A4" s="5" t="s">
        <v>28</v>
      </c>
      <c r="B4" s="7" t="s">
        <v>23</v>
      </c>
      <c r="C4" s="55">
        <v>73.325446850000006</v>
      </c>
      <c r="D4" s="55">
        <v>103.634615</v>
      </c>
      <c r="E4" s="55">
        <v>30.902619000000001</v>
      </c>
      <c r="F4" s="6" t="s">
        <v>13</v>
      </c>
      <c r="G4" s="52"/>
      <c r="H4" s="78"/>
      <c r="I4" s="78"/>
      <c r="J4" s="78"/>
      <c r="K4" s="52"/>
      <c r="L4" s="78"/>
      <c r="M4" s="78"/>
      <c r="N4" s="78"/>
      <c r="O4" s="73"/>
      <c r="P4" s="73"/>
      <c r="Q4" s="73"/>
    </row>
    <row r="5" spans="1:17" x14ac:dyDescent="0.25">
      <c r="A5" s="21" t="s">
        <v>151</v>
      </c>
      <c r="B5" s="22" t="s">
        <v>53</v>
      </c>
      <c r="C5" s="54">
        <v>68.005369208333335</v>
      </c>
      <c r="D5" s="54">
        <v>-45.768704</v>
      </c>
      <c r="E5" s="54">
        <v>2.0870929999999999</v>
      </c>
      <c r="F5" s="8" t="s">
        <v>14</v>
      </c>
      <c r="G5" s="52"/>
      <c r="H5" s="78"/>
      <c r="I5" s="78"/>
      <c r="J5" s="78"/>
      <c r="K5" s="52"/>
      <c r="L5" s="78"/>
      <c r="M5" s="78"/>
      <c r="N5" s="78"/>
      <c r="O5" s="73"/>
      <c r="P5" s="73"/>
      <c r="Q5" s="73"/>
    </row>
    <row r="6" spans="1:17" x14ac:dyDescent="0.25">
      <c r="A6" s="5" t="s">
        <v>236</v>
      </c>
      <c r="B6" s="7" t="s">
        <v>220</v>
      </c>
      <c r="C6" s="55">
        <v>51.336709249999998</v>
      </c>
      <c r="D6" s="55">
        <v>60.289484999999999</v>
      </c>
      <c r="E6" s="55">
        <v>29.721889999999998</v>
      </c>
      <c r="F6" s="6" t="s">
        <v>14</v>
      </c>
      <c r="G6" s="52"/>
      <c r="H6" s="78"/>
      <c r="I6" s="78"/>
      <c r="J6" s="78"/>
      <c r="K6" s="52"/>
      <c r="L6" s="78"/>
      <c r="M6" s="78"/>
      <c r="N6" s="78"/>
      <c r="O6" s="73"/>
      <c r="P6" s="73"/>
      <c r="Q6" s="73"/>
    </row>
    <row r="7" spans="1:17" x14ac:dyDescent="0.25">
      <c r="A7" s="21" t="s">
        <v>149</v>
      </c>
      <c r="B7" s="22" t="s">
        <v>56</v>
      </c>
      <c r="C7" s="54">
        <v>41.574034954999995</v>
      </c>
      <c r="D7" s="54">
        <v>-4.678102</v>
      </c>
      <c r="E7" s="54">
        <v>-15.552580000000001</v>
      </c>
      <c r="F7" s="8" t="s">
        <v>17</v>
      </c>
      <c r="G7" s="52"/>
      <c r="H7" s="78"/>
      <c r="I7" s="78"/>
      <c r="J7" s="78"/>
      <c r="K7" s="52"/>
      <c r="L7" s="78"/>
      <c r="M7" s="78"/>
      <c r="N7" s="78"/>
      <c r="O7" s="73"/>
      <c r="P7" s="73"/>
      <c r="Q7" s="73"/>
    </row>
    <row r="8" spans="1:17" x14ac:dyDescent="0.25">
      <c r="A8" s="5" t="s">
        <v>49</v>
      </c>
      <c r="B8" s="7" t="s">
        <v>47</v>
      </c>
      <c r="C8" s="55">
        <v>40.07546541666666</v>
      </c>
      <c r="D8" s="55">
        <v>45.9671582</v>
      </c>
      <c r="E8" s="55">
        <v>35.892131299999996</v>
      </c>
      <c r="F8" s="6" t="s">
        <v>144</v>
      </c>
      <c r="G8" s="52"/>
      <c r="H8" s="78"/>
      <c r="I8" s="78"/>
      <c r="J8" s="78"/>
      <c r="K8" s="52"/>
      <c r="L8" s="78"/>
      <c r="M8" s="78"/>
      <c r="N8" s="78"/>
      <c r="O8" s="73"/>
      <c r="P8" s="73"/>
      <c r="Q8" s="73"/>
    </row>
    <row r="9" spans="1:17" x14ac:dyDescent="0.25">
      <c r="A9" s="21" t="s">
        <v>152</v>
      </c>
      <c r="B9" s="22" t="s">
        <v>83</v>
      </c>
      <c r="C9" s="54">
        <v>27.424487933333332</v>
      </c>
      <c r="D9" s="54">
        <v>-64.759105000000005</v>
      </c>
      <c r="E9" s="54">
        <v>-6.3282720000000001</v>
      </c>
      <c r="F9" s="8" t="s">
        <v>13</v>
      </c>
      <c r="G9" s="52"/>
      <c r="H9" s="78"/>
      <c r="I9" s="78"/>
      <c r="J9" s="78"/>
      <c r="K9" s="52"/>
      <c r="L9" s="78"/>
      <c r="M9" s="78"/>
      <c r="N9" s="78"/>
      <c r="O9" s="73"/>
      <c r="P9" s="73"/>
      <c r="Q9" s="73"/>
    </row>
    <row r="10" spans="1:17" x14ac:dyDescent="0.25">
      <c r="A10" s="5" t="s">
        <v>150</v>
      </c>
      <c r="B10" s="7" t="s">
        <v>25</v>
      </c>
      <c r="C10" s="55">
        <v>26.474864678333329</v>
      </c>
      <c r="D10" s="55">
        <v>-13.148882</v>
      </c>
      <c r="E10" s="55">
        <v>-5.066414</v>
      </c>
      <c r="F10" s="6" t="s">
        <v>17</v>
      </c>
      <c r="G10" s="52"/>
      <c r="H10" s="78"/>
      <c r="I10" s="78"/>
      <c r="J10" s="78"/>
      <c r="K10" s="52"/>
      <c r="L10" s="78"/>
      <c r="M10" s="78"/>
      <c r="N10" s="78"/>
      <c r="O10" s="73"/>
      <c r="P10" s="73"/>
      <c r="Q10" s="73"/>
    </row>
    <row r="11" spans="1:17" x14ac:dyDescent="0.25">
      <c r="A11" s="21" t="s">
        <v>29</v>
      </c>
      <c r="B11" s="22" t="s">
        <v>24</v>
      </c>
      <c r="C11" s="54">
        <v>25.22262859166667</v>
      </c>
      <c r="D11" s="54">
        <v>-29.920529999999999</v>
      </c>
      <c r="E11" s="54">
        <v>-4.8774620000000004</v>
      </c>
      <c r="F11" s="8" t="s">
        <v>13</v>
      </c>
      <c r="G11" s="52"/>
      <c r="H11" s="78"/>
      <c r="I11" s="78"/>
      <c r="J11" s="78"/>
      <c r="K11" s="52"/>
      <c r="L11" s="78"/>
      <c r="M11" s="78"/>
      <c r="N11" s="78"/>
      <c r="O11" s="73"/>
      <c r="P11" s="73"/>
      <c r="Q11" s="73"/>
    </row>
    <row r="12" spans="1:17" x14ac:dyDescent="0.25">
      <c r="A12" s="5" t="s">
        <v>153</v>
      </c>
      <c r="B12" s="7" t="s">
        <v>38</v>
      </c>
      <c r="C12" s="55">
        <v>20.019828566666671</v>
      </c>
      <c r="D12" s="55">
        <v>-5.0894820000000003</v>
      </c>
      <c r="E12" s="55">
        <v>-1.4250259999999999</v>
      </c>
      <c r="F12" s="6" t="s">
        <v>17</v>
      </c>
      <c r="G12" s="52"/>
      <c r="H12" s="78"/>
      <c r="I12" s="78"/>
      <c r="J12" s="78"/>
      <c r="K12" s="52"/>
      <c r="L12" s="78"/>
      <c r="M12" s="78"/>
      <c r="N12" s="78"/>
      <c r="O12" s="73"/>
      <c r="P12" s="73"/>
      <c r="Q12" s="73"/>
    </row>
    <row r="13" spans="1:17" x14ac:dyDescent="0.25">
      <c r="A13" s="21" t="s">
        <v>154</v>
      </c>
      <c r="B13" s="22" t="s">
        <v>35</v>
      </c>
      <c r="C13" s="54">
        <v>18.568211732500004</v>
      </c>
      <c r="D13" s="54">
        <v>-18.521479500000002</v>
      </c>
      <c r="E13" s="54">
        <v>-7.3889835000000001</v>
      </c>
      <c r="F13" s="8" t="s">
        <v>10</v>
      </c>
      <c r="G13" s="52"/>
      <c r="H13" s="78"/>
      <c r="I13" s="78"/>
      <c r="J13" s="78"/>
      <c r="K13" s="52"/>
      <c r="L13" s="78"/>
      <c r="M13" s="78"/>
      <c r="N13" s="78"/>
      <c r="O13" s="73"/>
      <c r="P13" s="73"/>
      <c r="Q13" s="73"/>
    </row>
    <row r="14" spans="1:17" x14ac:dyDescent="0.25">
      <c r="A14" s="5" t="s">
        <v>33</v>
      </c>
      <c r="B14" s="7" t="s">
        <v>31</v>
      </c>
      <c r="C14" s="55">
        <v>17.963017833333328</v>
      </c>
      <c r="D14" s="55">
        <v>-13.108755</v>
      </c>
      <c r="E14" s="55">
        <v>-13.034378999999999</v>
      </c>
      <c r="F14" s="6" t="s">
        <v>14</v>
      </c>
      <c r="G14" s="52"/>
      <c r="H14" s="78"/>
      <c r="I14" s="78"/>
      <c r="J14" s="78"/>
      <c r="K14" s="52"/>
      <c r="L14" s="78"/>
      <c r="M14" s="78"/>
      <c r="N14" s="78"/>
      <c r="O14" s="73"/>
      <c r="P14" s="73"/>
      <c r="Q14" s="73"/>
    </row>
    <row r="15" spans="1:17" x14ac:dyDescent="0.25">
      <c r="A15" s="21" t="s">
        <v>138</v>
      </c>
      <c r="B15" s="22" t="s">
        <v>32</v>
      </c>
      <c r="C15" s="54">
        <v>16.903293983333331</v>
      </c>
      <c r="D15" s="54">
        <v>12.393751</v>
      </c>
      <c r="E15" s="54">
        <v>5.0036959999999997</v>
      </c>
      <c r="F15" s="8" t="s">
        <v>14</v>
      </c>
      <c r="G15" s="52"/>
      <c r="H15" s="78"/>
      <c r="I15" s="78"/>
      <c r="J15" s="78"/>
      <c r="K15" s="52"/>
      <c r="L15" s="78"/>
      <c r="M15" s="78"/>
      <c r="N15" s="78"/>
      <c r="O15" s="73"/>
      <c r="P15" s="73"/>
      <c r="Q15" s="73"/>
    </row>
    <row r="16" spans="1:17" x14ac:dyDescent="0.25">
      <c r="A16" s="5" t="s">
        <v>158</v>
      </c>
      <c r="B16" s="7" t="s">
        <v>42</v>
      </c>
      <c r="C16" s="55">
        <v>14.461246583333331</v>
      </c>
      <c r="D16" s="55">
        <v>19.956192000000001</v>
      </c>
      <c r="E16" s="55">
        <v>10.874654</v>
      </c>
      <c r="F16" s="6" t="s">
        <v>19</v>
      </c>
      <c r="G16" s="52"/>
      <c r="H16" s="78"/>
      <c r="I16" s="78"/>
      <c r="J16" s="78"/>
      <c r="K16" s="52"/>
      <c r="L16" s="78"/>
      <c r="M16" s="78"/>
      <c r="N16" s="78"/>
      <c r="O16" s="73"/>
      <c r="P16" s="73"/>
      <c r="Q16" s="73"/>
    </row>
    <row r="17" spans="1:17" x14ac:dyDescent="0.25">
      <c r="A17" s="21" t="s">
        <v>39</v>
      </c>
      <c r="B17" s="22" t="s">
        <v>37</v>
      </c>
      <c r="C17" s="54">
        <v>13.975834125</v>
      </c>
      <c r="D17" s="54">
        <v>24.421136000000001</v>
      </c>
      <c r="E17" s="54">
        <v>15.790046</v>
      </c>
      <c r="F17" s="8" t="s">
        <v>14</v>
      </c>
      <c r="G17" s="52"/>
      <c r="H17" s="78"/>
      <c r="I17" s="78"/>
      <c r="J17" s="78"/>
      <c r="K17" s="52"/>
      <c r="L17" s="78"/>
      <c r="M17" s="78"/>
      <c r="N17" s="78"/>
      <c r="O17" s="73"/>
      <c r="P17" s="73"/>
      <c r="Q17" s="73"/>
    </row>
    <row r="18" spans="1:17" x14ac:dyDescent="0.25">
      <c r="A18" s="5" t="s">
        <v>155</v>
      </c>
      <c r="B18" s="7" t="s">
        <v>76</v>
      </c>
      <c r="C18" s="55">
        <v>11.908051458333331</v>
      </c>
      <c r="D18" s="55">
        <v>1.6073470000000001</v>
      </c>
      <c r="E18" s="55">
        <v>-5.5343390000000001</v>
      </c>
      <c r="F18" s="6" t="s">
        <v>17</v>
      </c>
      <c r="G18" s="52"/>
      <c r="H18" s="78"/>
      <c r="I18" s="78"/>
      <c r="J18" s="78"/>
      <c r="K18" s="52"/>
      <c r="L18" s="78"/>
      <c r="M18" s="78"/>
      <c r="N18" s="78"/>
      <c r="O18" s="73"/>
      <c r="P18" s="73"/>
      <c r="Q18" s="73"/>
    </row>
    <row r="19" spans="1:17" x14ac:dyDescent="0.25">
      <c r="A19" s="21" t="s">
        <v>160</v>
      </c>
      <c r="B19" s="22" t="s">
        <v>58</v>
      </c>
      <c r="C19" s="54">
        <v>11.580145983333331</v>
      </c>
      <c r="D19" s="54">
        <v>-9.4944170000000003</v>
      </c>
      <c r="E19" s="54">
        <v>-6.9420609999999998</v>
      </c>
      <c r="F19" s="8" t="s">
        <v>17</v>
      </c>
      <c r="G19" s="52"/>
      <c r="H19" s="78"/>
      <c r="I19" s="78"/>
      <c r="J19" s="78"/>
      <c r="K19" s="52"/>
      <c r="L19" s="78"/>
      <c r="M19" s="78"/>
      <c r="N19" s="78"/>
      <c r="O19" s="73"/>
      <c r="P19" s="73"/>
      <c r="Q19" s="73"/>
    </row>
    <row r="20" spans="1:17" x14ac:dyDescent="0.25">
      <c r="A20" s="5" t="s">
        <v>161</v>
      </c>
      <c r="B20" s="7" t="s">
        <v>51</v>
      </c>
      <c r="C20" s="55">
        <v>10.60187455833333</v>
      </c>
      <c r="D20" s="55">
        <v>-0.75568810000000219</v>
      </c>
      <c r="E20" s="55">
        <v>1.6326635</v>
      </c>
      <c r="F20" s="6" t="s">
        <v>11</v>
      </c>
      <c r="G20" s="52"/>
      <c r="H20" s="78"/>
      <c r="I20" s="78"/>
      <c r="J20" s="78"/>
      <c r="K20" s="52"/>
      <c r="L20" s="78"/>
      <c r="M20" s="78"/>
      <c r="N20" s="78"/>
      <c r="O20" s="73"/>
      <c r="P20" s="73"/>
      <c r="Q20" s="73"/>
    </row>
    <row r="21" spans="1:17" x14ac:dyDescent="0.25">
      <c r="A21" s="21" t="s">
        <v>157</v>
      </c>
      <c r="B21" s="22" t="s">
        <v>41</v>
      </c>
      <c r="C21" s="54">
        <v>9.7220394999999993</v>
      </c>
      <c r="D21" s="54">
        <v>-7.134315</v>
      </c>
      <c r="E21" s="54">
        <v>2.0731670000000002</v>
      </c>
      <c r="F21" s="8" t="s">
        <v>11</v>
      </c>
      <c r="G21" s="52"/>
      <c r="H21" s="78"/>
      <c r="I21" s="78"/>
      <c r="J21" s="78"/>
      <c r="K21" s="52"/>
      <c r="L21" s="78"/>
      <c r="M21" s="78"/>
      <c r="N21" s="78"/>
      <c r="O21" s="73"/>
      <c r="P21" s="73"/>
      <c r="Q21" s="73"/>
    </row>
    <row r="22" spans="1:17" x14ac:dyDescent="0.25">
      <c r="A22" s="5" t="s">
        <v>159</v>
      </c>
      <c r="B22" s="7" t="s">
        <v>74</v>
      </c>
      <c r="C22" s="55">
        <v>9.1857774166666655</v>
      </c>
      <c r="D22" s="55">
        <v>-7.7311290000000001</v>
      </c>
      <c r="E22" s="55">
        <v>-10.554494</v>
      </c>
      <c r="F22" s="6" t="s">
        <v>17</v>
      </c>
      <c r="G22" s="52"/>
      <c r="H22" s="78"/>
      <c r="I22" s="78"/>
      <c r="J22" s="78"/>
      <c r="K22" s="52"/>
      <c r="L22" s="78"/>
      <c r="M22" s="78"/>
      <c r="N22" s="78"/>
      <c r="O22" s="73"/>
      <c r="P22" s="73"/>
      <c r="Q22" s="73"/>
    </row>
    <row r="23" spans="1:17" x14ac:dyDescent="0.25">
      <c r="A23" s="21" t="s">
        <v>168</v>
      </c>
      <c r="B23" s="22" t="s">
        <v>78</v>
      </c>
      <c r="C23" s="54">
        <v>9.1847277333333324</v>
      </c>
      <c r="D23" s="54">
        <v>-4.1068259999999999</v>
      </c>
      <c r="E23" s="54">
        <v>-3.1861885000000001</v>
      </c>
      <c r="F23" s="8" t="s">
        <v>17</v>
      </c>
      <c r="G23" s="52"/>
      <c r="H23" s="78"/>
      <c r="I23" s="78"/>
      <c r="J23" s="78"/>
      <c r="K23" s="52"/>
      <c r="L23" s="78"/>
      <c r="M23" s="78"/>
      <c r="N23" s="78"/>
      <c r="O23" s="73"/>
      <c r="P23" s="73"/>
      <c r="Q23" s="73"/>
    </row>
    <row r="24" spans="1:17" x14ac:dyDescent="0.25">
      <c r="A24" s="5" t="s">
        <v>169</v>
      </c>
      <c r="B24" s="7" t="s">
        <v>55</v>
      </c>
      <c r="C24" s="55">
        <v>8.911613207058334</v>
      </c>
      <c r="D24" s="55">
        <v>-15.2844440328</v>
      </c>
      <c r="E24" s="55">
        <v>-9.8333667145000003</v>
      </c>
      <c r="F24" s="6" t="s">
        <v>16</v>
      </c>
      <c r="G24" s="52"/>
      <c r="H24" s="78"/>
      <c r="I24" s="78"/>
      <c r="J24" s="78"/>
      <c r="K24" s="52"/>
      <c r="L24" s="78"/>
      <c r="M24" s="78"/>
      <c r="N24" s="78"/>
      <c r="O24" s="73"/>
      <c r="P24" s="73"/>
      <c r="Q24" s="73"/>
    </row>
    <row r="25" spans="1:17" x14ac:dyDescent="0.25">
      <c r="A25" s="21" t="s">
        <v>171</v>
      </c>
      <c r="B25" s="22" t="s">
        <v>88</v>
      </c>
      <c r="C25" s="54">
        <v>8.6607085000000001</v>
      </c>
      <c r="D25" s="54">
        <v>0.884382</v>
      </c>
      <c r="E25" s="54">
        <v>-5.7129380000000003</v>
      </c>
      <c r="F25" s="8" t="s">
        <v>145</v>
      </c>
      <c r="G25" s="52"/>
      <c r="H25" s="78"/>
      <c r="I25" s="78"/>
      <c r="J25" s="78"/>
      <c r="K25" s="52"/>
      <c r="L25" s="78"/>
      <c r="M25" s="78"/>
      <c r="N25" s="78"/>
      <c r="O25" s="73"/>
      <c r="P25" s="73"/>
      <c r="Q25" s="73"/>
    </row>
    <row r="26" spans="1:17" x14ac:dyDescent="0.25">
      <c r="A26" s="5" t="s">
        <v>170</v>
      </c>
      <c r="B26" s="7" t="s">
        <v>87</v>
      </c>
      <c r="C26" s="55">
        <v>8.544582842083333</v>
      </c>
      <c r="D26" s="55">
        <v>23.354700000000001</v>
      </c>
      <c r="E26" s="55">
        <v>-0.10043100000000001</v>
      </c>
      <c r="F26" s="6" t="s">
        <v>17</v>
      </c>
      <c r="G26" s="52"/>
      <c r="H26" s="78"/>
      <c r="I26" s="78"/>
      <c r="J26" s="78"/>
      <c r="K26" s="52"/>
      <c r="L26" s="78"/>
      <c r="M26" s="78"/>
      <c r="N26" s="78"/>
      <c r="O26" s="73"/>
      <c r="P26" s="73"/>
      <c r="Q26" s="73"/>
    </row>
    <row r="27" spans="1:17" x14ac:dyDescent="0.25">
      <c r="A27" s="21" t="s">
        <v>156</v>
      </c>
      <c r="B27" s="22" t="s">
        <v>52</v>
      </c>
      <c r="C27" s="54">
        <v>8.0383262264916677</v>
      </c>
      <c r="D27" s="54">
        <v>1.9162435107999991</v>
      </c>
      <c r="E27" s="54">
        <v>0.78383853380000001</v>
      </c>
      <c r="F27" s="8" t="s">
        <v>14</v>
      </c>
      <c r="G27" s="52"/>
      <c r="H27" s="78"/>
      <c r="I27" s="78"/>
      <c r="J27" s="78"/>
      <c r="K27" s="52"/>
      <c r="L27" s="78"/>
      <c r="M27" s="78"/>
      <c r="N27" s="78"/>
      <c r="O27" s="73"/>
      <c r="P27" s="73"/>
      <c r="Q27" s="73"/>
    </row>
    <row r="28" spans="1:17" x14ac:dyDescent="0.25">
      <c r="A28" s="5" t="s">
        <v>34</v>
      </c>
      <c r="B28" s="7" t="s">
        <v>30</v>
      </c>
      <c r="C28" s="55">
        <v>7.8165730833333331</v>
      </c>
      <c r="D28" s="55">
        <v>-11.735448</v>
      </c>
      <c r="E28" s="55">
        <v>-4.6310549999999999</v>
      </c>
      <c r="F28" s="6" t="s">
        <v>14</v>
      </c>
      <c r="G28" s="52"/>
      <c r="H28" s="78"/>
      <c r="I28" s="78"/>
      <c r="J28" s="78"/>
      <c r="K28" s="52"/>
      <c r="L28" s="78"/>
      <c r="M28" s="78"/>
      <c r="N28" s="78"/>
      <c r="O28" s="73"/>
      <c r="P28" s="73"/>
      <c r="Q28" s="73"/>
    </row>
    <row r="29" spans="1:17" x14ac:dyDescent="0.25">
      <c r="A29" s="21" t="s">
        <v>165</v>
      </c>
      <c r="B29" s="22" t="s">
        <v>43</v>
      </c>
      <c r="C29" s="54">
        <v>7.5453180833333331</v>
      </c>
      <c r="D29" s="54">
        <v>-22.65034</v>
      </c>
      <c r="E29" s="54">
        <v>-11.714021000000001</v>
      </c>
      <c r="F29" s="8" t="s">
        <v>145</v>
      </c>
      <c r="G29" s="52"/>
      <c r="H29" s="78"/>
      <c r="I29" s="78"/>
      <c r="J29" s="78"/>
      <c r="K29" s="52"/>
      <c r="L29" s="78"/>
      <c r="M29" s="78"/>
      <c r="N29" s="78"/>
      <c r="O29" s="73"/>
      <c r="P29" s="73"/>
      <c r="Q29" s="73"/>
    </row>
    <row r="30" spans="1:17" x14ac:dyDescent="0.25">
      <c r="A30" s="5" t="s">
        <v>166</v>
      </c>
      <c r="B30" s="7" t="s">
        <v>98</v>
      </c>
      <c r="C30" s="55">
        <v>6.7888361000000002</v>
      </c>
      <c r="D30" s="55">
        <v>-7.2524505000000001</v>
      </c>
      <c r="E30" s="55">
        <v>-9.3814449999999994</v>
      </c>
      <c r="F30" s="6" t="s">
        <v>17</v>
      </c>
      <c r="G30" s="52"/>
      <c r="H30" s="78"/>
      <c r="I30" s="78"/>
      <c r="J30" s="78"/>
      <c r="K30" s="52"/>
      <c r="L30" s="78"/>
      <c r="M30" s="78"/>
      <c r="N30" s="78"/>
      <c r="O30" s="73"/>
      <c r="P30" s="73"/>
      <c r="Q30" s="73"/>
    </row>
    <row r="31" spans="1:17" x14ac:dyDescent="0.25">
      <c r="A31" s="21" t="s">
        <v>130</v>
      </c>
      <c r="B31" s="22" t="s">
        <v>102</v>
      </c>
      <c r="C31" s="54">
        <v>6.6692917500000002</v>
      </c>
      <c r="D31" s="54">
        <v>-11.392175</v>
      </c>
      <c r="E31" s="54">
        <v>-7.6772580000000001</v>
      </c>
      <c r="F31" s="8" t="s">
        <v>14</v>
      </c>
      <c r="G31" s="52"/>
      <c r="H31" s="78"/>
      <c r="I31" s="78"/>
      <c r="J31" s="78"/>
      <c r="K31" s="52"/>
      <c r="L31" s="78"/>
      <c r="M31" s="78"/>
      <c r="N31" s="78"/>
      <c r="O31" s="73"/>
      <c r="P31" s="73"/>
      <c r="Q31" s="73"/>
    </row>
    <row r="32" spans="1:17" x14ac:dyDescent="0.25">
      <c r="A32" s="5" t="s">
        <v>167</v>
      </c>
      <c r="B32" s="7" t="s">
        <v>105</v>
      </c>
      <c r="C32" s="55">
        <v>5.290095916666667</v>
      </c>
      <c r="D32" s="55">
        <v>-4.5211160000000001</v>
      </c>
      <c r="E32" s="55">
        <v>-6.4919529999999996</v>
      </c>
      <c r="F32" s="6" t="s">
        <v>17</v>
      </c>
      <c r="G32" s="52"/>
      <c r="H32" s="78"/>
      <c r="I32" s="78"/>
      <c r="J32" s="78"/>
      <c r="K32" s="52"/>
      <c r="L32" s="78"/>
      <c r="M32" s="78"/>
      <c r="N32" s="78"/>
      <c r="O32" s="73"/>
      <c r="P32" s="73"/>
      <c r="Q32" s="73"/>
    </row>
    <row r="33" spans="1:17" x14ac:dyDescent="0.25">
      <c r="A33" s="21" t="s">
        <v>164</v>
      </c>
      <c r="B33" s="22" t="s">
        <v>54</v>
      </c>
      <c r="C33" s="54">
        <v>4.8997650000000004</v>
      </c>
      <c r="D33" s="54">
        <v>-6.2684569999999997</v>
      </c>
      <c r="E33" s="54">
        <v>-4.8089750000000002</v>
      </c>
      <c r="F33" s="8" t="s">
        <v>16</v>
      </c>
      <c r="G33" s="52"/>
      <c r="H33" s="78"/>
      <c r="I33" s="78"/>
      <c r="J33" s="78"/>
      <c r="K33" s="52"/>
      <c r="L33" s="78"/>
      <c r="M33" s="78"/>
      <c r="N33" s="78"/>
      <c r="O33" s="73"/>
      <c r="P33" s="73"/>
      <c r="Q33" s="73"/>
    </row>
    <row r="34" spans="1:17" x14ac:dyDescent="0.25">
      <c r="A34" s="5" t="s">
        <v>162</v>
      </c>
      <c r="B34" s="7" t="s">
        <v>48</v>
      </c>
      <c r="C34" s="55">
        <v>4.4453720666666667</v>
      </c>
      <c r="D34" s="55">
        <v>-2.719093</v>
      </c>
      <c r="E34" s="55">
        <v>1.320945</v>
      </c>
      <c r="F34" s="6" t="s">
        <v>10</v>
      </c>
      <c r="G34" s="52"/>
      <c r="H34" s="78"/>
      <c r="I34" s="78"/>
      <c r="J34" s="78"/>
      <c r="K34" s="52"/>
      <c r="L34" s="78"/>
      <c r="M34" s="78"/>
      <c r="N34" s="78"/>
      <c r="O34" s="73"/>
      <c r="P34" s="73"/>
      <c r="Q34" s="73"/>
    </row>
    <row r="35" spans="1:17" x14ac:dyDescent="0.25">
      <c r="A35" s="21" t="s">
        <v>172</v>
      </c>
      <c r="B35" s="22" t="s">
        <v>90</v>
      </c>
      <c r="C35" s="54">
        <v>4.4197579833333336</v>
      </c>
      <c r="D35" s="54">
        <v>-3.4226185</v>
      </c>
      <c r="E35" s="54">
        <v>-2.1770890000000001</v>
      </c>
      <c r="F35" s="8" t="s">
        <v>17</v>
      </c>
      <c r="G35" s="52"/>
      <c r="H35" s="78"/>
      <c r="I35" s="78"/>
      <c r="J35" s="78"/>
      <c r="K35" s="52"/>
      <c r="L35" s="78"/>
      <c r="M35" s="78"/>
      <c r="N35" s="78"/>
      <c r="O35" s="73"/>
      <c r="P35" s="73"/>
      <c r="Q35" s="73"/>
    </row>
    <row r="36" spans="1:17" x14ac:dyDescent="0.25">
      <c r="A36" s="5" t="s">
        <v>230</v>
      </c>
      <c r="B36" s="7" t="s">
        <v>229</v>
      </c>
      <c r="C36" s="55">
        <v>4.3956983333333328</v>
      </c>
      <c r="D36" s="55">
        <v>-2.6925214999999998</v>
      </c>
      <c r="E36" s="55">
        <v>-0.76680950000000003</v>
      </c>
      <c r="F36" s="6" t="s">
        <v>14</v>
      </c>
      <c r="G36" s="52"/>
      <c r="H36" s="78"/>
      <c r="I36" s="78"/>
      <c r="J36" s="78"/>
      <c r="K36" s="52"/>
      <c r="L36" s="78"/>
      <c r="M36" s="78"/>
      <c r="N36" s="78"/>
      <c r="O36" s="73"/>
      <c r="P36" s="73"/>
      <c r="Q36" s="73"/>
    </row>
    <row r="37" spans="1:17" x14ac:dyDescent="0.25">
      <c r="A37" s="21" t="s">
        <v>163</v>
      </c>
      <c r="B37" s="22" t="s">
        <v>59</v>
      </c>
      <c r="C37" s="54">
        <v>4.2838729999999998</v>
      </c>
      <c r="D37" s="54">
        <v>-6.8053169999999996</v>
      </c>
      <c r="E37" s="54">
        <v>-1.415254</v>
      </c>
      <c r="F37" s="8" t="s">
        <v>16</v>
      </c>
      <c r="G37" s="52"/>
      <c r="H37" s="78"/>
      <c r="I37" s="78"/>
      <c r="J37" s="78"/>
      <c r="K37" s="52"/>
      <c r="L37" s="78"/>
      <c r="M37" s="78"/>
      <c r="N37" s="78"/>
      <c r="O37" s="73"/>
      <c r="P37" s="73"/>
      <c r="Q37" s="73"/>
    </row>
    <row r="38" spans="1:17" x14ac:dyDescent="0.25">
      <c r="A38" s="5" t="s">
        <v>203</v>
      </c>
      <c r="B38" s="7" t="s">
        <v>128</v>
      </c>
      <c r="C38" s="55">
        <v>3.5981961249999999</v>
      </c>
      <c r="D38" s="55">
        <v>-1.9253715</v>
      </c>
      <c r="E38" s="55">
        <v>-0.60559649999999998</v>
      </c>
      <c r="F38" s="6" t="s">
        <v>14</v>
      </c>
      <c r="G38" s="52"/>
      <c r="H38" s="78"/>
      <c r="I38" s="78"/>
      <c r="J38" s="78"/>
      <c r="K38" s="52"/>
      <c r="L38" s="78"/>
      <c r="M38" s="78"/>
      <c r="N38" s="78"/>
      <c r="O38" s="73"/>
      <c r="P38" s="73"/>
      <c r="Q38" s="73"/>
    </row>
    <row r="39" spans="1:17" x14ac:dyDescent="0.25">
      <c r="A39" s="21" t="s">
        <v>179</v>
      </c>
      <c r="B39" s="22" t="s">
        <v>111</v>
      </c>
      <c r="C39" s="54">
        <v>2.9836331249999999</v>
      </c>
      <c r="D39" s="54">
        <v>-4.1421545000000002</v>
      </c>
      <c r="E39" s="54">
        <v>-1.6780355</v>
      </c>
      <c r="F39" s="8" t="s">
        <v>144</v>
      </c>
      <c r="G39" s="52"/>
      <c r="H39" s="78"/>
      <c r="I39" s="78"/>
      <c r="J39" s="78"/>
      <c r="K39" s="52"/>
      <c r="L39" s="78"/>
      <c r="M39" s="78"/>
      <c r="N39" s="78"/>
      <c r="O39" s="73"/>
      <c r="P39" s="73"/>
      <c r="Q39" s="73"/>
    </row>
    <row r="40" spans="1:17" x14ac:dyDescent="0.25">
      <c r="A40" s="5" t="s">
        <v>197</v>
      </c>
      <c r="B40" s="7" t="s">
        <v>127</v>
      </c>
      <c r="C40" s="55">
        <v>2.7816531666666671</v>
      </c>
      <c r="D40" s="55">
        <v>-6.0650934999999997</v>
      </c>
      <c r="E40" s="55">
        <v>-1.2631555000000001</v>
      </c>
      <c r="F40" s="6" t="s">
        <v>16</v>
      </c>
      <c r="G40" s="52"/>
      <c r="H40" s="78"/>
      <c r="I40" s="78"/>
      <c r="J40" s="78"/>
      <c r="K40" s="52"/>
      <c r="L40" s="78"/>
      <c r="M40" s="78"/>
      <c r="N40" s="78"/>
      <c r="O40" s="73"/>
      <c r="P40" s="73"/>
      <c r="Q40" s="73"/>
    </row>
    <row r="41" spans="1:17" x14ac:dyDescent="0.25">
      <c r="A41" s="21" t="s">
        <v>190</v>
      </c>
      <c r="B41" s="22" t="s">
        <v>104</v>
      </c>
      <c r="C41" s="54">
        <v>2.6421177500000002</v>
      </c>
      <c r="D41" s="54">
        <v>-8.4466634999999997</v>
      </c>
      <c r="E41" s="54">
        <v>-2.2499950000000002</v>
      </c>
      <c r="F41" s="8" t="s">
        <v>11</v>
      </c>
      <c r="G41" s="52"/>
      <c r="H41" s="78"/>
      <c r="I41" s="78"/>
      <c r="J41" s="78"/>
      <c r="K41" s="52"/>
      <c r="L41" s="78"/>
      <c r="M41" s="78"/>
      <c r="N41" s="78"/>
      <c r="O41" s="73"/>
      <c r="P41" s="73"/>
      <c r="Q41" s="73"/>
    </row>
    <row r="42" spans="1:17" x14ac:dyDescent="0.25">
      <c r="A42" s="5" t="s">
        <v>202</v>
      </c>
      <c r="B42" s="7" t="s">
        <v>121</v>
      </c>
      <c r="C42" s="55">
        <v>2.6292910833333329</v>
      </c>
      <c r="D42" s="55">
        <v>6.4914399999999999</v>
      </c>
      <c r="E42" s="55">
        <v>1.0224139999999999</v>
      </c>
      <c r="F42" s="6" t="s">
        <v>147</v>
      </c>
      <c r="G42" s="52"/>
      <c r="H42" s="78"/>
      <c r="I42" s="78"/>
      <c r="J42" s="78"/>
      <c r="K42" s="52"/>
      <c r="L42" s="78"/>
      <c r="M42" s="78"/>
      <c r="N42" s="78"/>
      <c r="O42" s="73"/>
      <c r="P42" s="73"/>
      <c r="Q42" s="73"/>
    </row>
    <row r="43" spans="1:17" x14ac:dyDescent="0.25">
      <c r="A43" s="21" t="s">
        <v>191</v>
      </c>
      <c r="B43" s="22" t="s">
        <v>114</v>
      </c>
      <c r="C43" s="54">
        <v>2.6025800471583329</v>
      </c>
      <c r="D43" s="54">
        <v>-1.58961986485</v>
      </c>
      <c r="E43" s="54">
        <v>9.1815334299999815E-2</v>
      </c>
      <c r="F43" s="8" t="s">
        <v>17</v>
      </c>
      <c r="G43" s="52"/>
      <c r="H43" s="78"/>
      <c r="I43" s="78"/>
      <c r="J43" s="78"/>
      <c r="K43" s="52"/>
      <c r="L43" s="78"/>
      <c r="M43" s="78"/>
      <c r="N43" s="78"/>
      <c r="O43" s="73"/>
      <c r="P43" s="73"/>
      <c r="Q43" s="73"/>
    </row>
    <row r="44" spans="1:17" x14ac:dyDescent="0.25">
      <c r="A44" s="5" t="s">
        <v>189</v>
      </c>
      <c r="B44" s="7" t="s">
        <v>100</v>
      </c>
      <c r="C44" s="55">
        <v>2.5538498541666668</v>
      </c>
      <c r="D44" s="55">
        <v>-1.6918875</v>
      </c>
      <c r="E44" s="55">
        <v>0.42510500000000001</v>
      </c>
      <c r="F44" s="6" t="s">
        <v>15</v>
      </c>
      <c r="G44" s="52"/>
      <c r="H44" s="78"/>
      <c r="I44" s="78"/>
      <c r="J44" s="78"/>
      <c r="K44" s="52"/>
      <c r="L44" s="78"/>
      <c r="M44" s="78"/>
      <c r="N44" s="78"/>
      <c r="O44" s="73"/>
      <c r="P44" s="73"/>
      <c r="Q44" s="73"/>
    </row>
    <row r="45" spans="1:17" x14ac:dyDescent="0.25">
      <c r="A45" s="21" t="s">
        <v>173</v>
      </c>
      <c r="B45" s="22" t="s">
        <v>106</v>
      </c>
      <c r="C45" s="54">
        <v>2.5388220833333328</v>
      </c>
      <c r="D45" s="54">
        <v>-3.3063690000000001</v>
      </c>
      <c r="E45" s="54">
        <v>-0.71371400000000007</v>
      </c>
      <c r="F45" s="8" t="s">
        <v>145</v>
      </c>
      <c r="G45" s="52"/>
      <c r="H45" s="78"/>
      <c r="I45" s="78"/>
      <c r="J45" s="78"/>
      <c r="K45" s="52"/>
      <c r="L45" s="78"/>
      <c r="M45" s="78"/>
      <c r="N45" s="78"/>
      <c r="O45" s="73"/>
      <c r="P45" s="73"/>
      <c r="Q45" s="73"/>
    </row>
    <row r="46" spans="1:17" x14ac:dyDescent="0.25">
      <c r="A46" s="5" t="s">
        <v>177</v>
      </c>
      <c r="B46" s="7" t="s">
        <v>119</v>
      </c>
      <c r="C46" s="55">
        <v>2.4995690833333328</v>
      </c>
      <c r="D46" s="55">
        <v>-8.4335129999999996</v>
      </c>
      <c r="E46" s="55">
        <v>-3.475355</v>
      </c>
      <c r="F46" s="6" t="s">
        <v>145</v>
      </c>
      <c r="G46" s="52"/>
      <c r="H46" s="78"/>
      <c r="I46" s="78"/>
      <c r="J46" s="78"/>
      <c r="K46" s="52"/>
      <c r="L46" s="78"/>
      <c r="M46" s="78"/>
      <c r="N46" s="78"/>
      <c r="O46" s="73"/>
      <c r="P46" s="73"/>
      <c r="Q46" s="73"/>
    </row>
    <row r="47" spans="1:17" x14ac:dyDescent="0.25">
      <c r="A47" s="21" t="s">
        <v>237</v>
      </c>
      <c r="B47" s="22" t="s">
        <v>233</v>
      </c>
      <c r="C47" s="54">
        <v>2.4384165000000002</v>
      </c>
      <c r="D47" s="54">
        <v>-1.4192039999999999</v>
      </c>
      <c r="E47" s="54">
        <v>-2.1726295000000002</v>
      </c>
      <c r="F47" s="8" t="s">
        <v>17</v>
      </c>
      <c r="G47" s="52"/>
      <c r="H47" s="78"/>
      <c r="I47" s="78"/>
      <c r="J47" s="78"/>
      <c r="K47" s="52"/>
      <c r="L47" s="78"/>
      <c r="M47" s="78"/>
      <c r="N47" s="78"/>
      <c r="O47" s="73"/>
      <c r="P47" s="73"/>
      <c r="Q47" s="73"/>
    </row>
    <row r="48" spans="1:17" x14ac:dyDescent="0.25">
      <c r="A48" s="5" t="s">
        <v>201</v>
      </c>
      <c r="B48" s="7" t="s">
        <v>94</v>
      </c>
      <c r="C48" s="55">
        <v>2.3001274999999999</v>
      </c>
      <c r="D48" s="55">
        <v>-1.53921</v>
      </c>
      <c r="E48" s="55">
        <v>0.61804099999999995</v>
      </c>
      <c r="F48" s="6" t="s">
        <v>11</v>
      </c>
      <c r="G48" s="52"/>
      <c r="H48" s="78"/>
      <c r="I48" s="78"/>
      <c r="J48" s="78"/>
      <c r="K48" s="52"/>
      <c r="L48" s="78"/>
      <c r="M48" s="78"/>
      <c r="N48" s="78"/>
      <c r="O48" s="73"/>
      <c r="P48" s="73"/>
      <c r="Q48" s="73"/>
    </row>
    <row r="49" spans="1:17" x14ac:dyDescent="0.25">
      <c r="A49" s="21" t="s">
        <v>181</v>
      </c>
      <c r="B49" s="22" t="s">
        <v>101</v>
      </c>
      <c r="C49" s="54">
        <v>2.242318566666667</v>
      </c>
      <c r="D49" s="54">
        <v>4.3857862999999995</v>
      </c>
      <c r="E49" s="54">
        <v>1.7006811000000002</v>
      </c>
      <c r="F49" s="8" t="s">
        <v>146</v>
      </c>
      <c r="G49" s="52"/>
      <c r="H49" s="78"/>
      <c r="I49" s="78"/>
      <c r="J49" s="78"/>
      <c r="K49" s="52"/>
      <c r="L49" s="78"/>
      <c r="M49" s="78"/>
      <c r="N49" s="78"/>
      <c r="O49" s="73"/>
      <c r="P49" s="73"/>
      <c r="Q49" s="73"/>
    </row>
    <row r="50" spans="1:17" x14ac:dyDescent="0.25">
      <c r="A50" s="5" t="s">
        <v>187</v>
      </c>
      <c r="B50" s="7" t="s">
        <v>117</v>
      </c>
      <c r="C50" s="55">
        <v>2.2319455000000001</v>
      </c>
      <c r="D50" s="55">
        <v>2.1933760000000002</v>
      </c>
      <c r="E50" s="55">
        <v>1.3791869999999999</v>
      </c>
      <c r="F50" s="6" t="s">
        <v>17</v>
      </c>
      <c r="G50" s="52"/>
      <c r="H50" s="78"/>
      <c r="I50" s="78"/>
      <c r="J50" s="78"/>
      <c r="K50" s="52"/>
      <c r="L50" s="78"/>
      <c r="M50" s="78"/>
      <c r="N50" s="78"/>
      <c r="O50" s="73"/>
      <c r="P50" s="73"/>
      <c r="Q50" s="73"/>
    </row>
    <row r="51" spans="1:17" x14ac:dyDescent="0.25">
      <c r="A51" s="21" t="s">
        <v>192</v>
      </c>
      <c r="B51" s="22" t="s">
        <v>89</v>
      </c>
      <c r="C51" s="54">
        <v>2.0768830833333332</v>
      </c>
      <c r="D51" s="54">
        <v>-4.4913699999999999</v>
      </c>
      <c r="E51" s="54">
        <v>-1.7444109999999999</v>
      </c>
      <c r="F51" s="8" t="s">
        <v>11</v>
      </c>
      <c r="G51" s="52"/>
      <c r="H51" s="78"/>
      <c r="I51" s="78"/>
      <c r="J51" s="78"/>
      <c r="K51" s="52"/>
      <c r="L51" s="78"/>
      <c r="M51" s="78"/>
      <c r="N51" s="78"/>
      <c r="O51" s="73"/>
      <c r="P51" s="73"/>
      <c r="Q51" s="73"/>
    </row>
    <row r="52" spans="1:17" x14ac:dyDescent="0.25">
      <c r="A52" s="5" t="s">
        <v>174</v>
      </c>
      <c r="B52" s="7" t="s">
        <v>221</v>
      </c>
      <c r="C52" s="55">
        <v>2.0565270833333331</v>
      </c>
      <c r="D52" s="55">
        <v>0.63112900000000005</v>
      </c>
      <c r="E52" s="55">
        <v>0.89503900000000003</v>
      </c>
      <c r="F52" s="6" t="s">
        <v>145</v>
      </c>
      <c r="G52" s="52"/>
      <c r="H52" s="78"/>
      <c r="I52" s="78"/>
      <c r="J52" s="78"/>
      <c r="K52" s="52"/>
      <c r="L52" s="78"/>
      <c r="M52" s="78"/>
      <c r="N52" s="78"/>
      <c r="O52" s="73"/>
      <c r="P52" s="73"/>
      <c r="Q52" s="73"/>
    </row>
    <row r="53" spans="1:17" x14ac:dyDescent="0.25">
      <c r="A53" s="21" t="s">
        <v>232</v>
      </c>
      <c r="B53" s="22" t="s">
        <v>99</v>
      </c>
      <c r="C53" s="54">
        <v>2.0554142500000001</v>
      </c>
      <c r="D53" s="54">
        <v>-0.62623150000000005</v>
      </c>
      <c r="E53" s="54">
        <v>0.3633825</v>
      </c>
      <c r="F53" s="8" t="s">
        <v>17</v>
      </c>
      <c r="G53" s="52"/>
      <c r="H53" s="78"/>
      <c r="I53" s="78"/>
      <c r="J53" s="78"/>
      <c r="K53" s="52"/>
      <c r="L53" s="78"/>
      <c r="M53" s="78"/>
      <c r="N53" s="78"/>
      <c r="O53" s="73"/>
      <c r="P53" s="73"/>
      <c r="Q53" s="73"/>
    </row>
    <row r="54" spans="1:17" x14ac:dyDescent="0.25">
      <c r="A54" s="5" t="s">
        <v>194</v>
      </c>
      <c r="B54" s="7" t="s">
        <v>109</v>
      </c>
      <c r="C54" s="55">
        <v>2.0047417333333328</v>
      </c>
      <c r="D54" s="55">
        <v>-0.78974699999999998</v>
      </c>
      <c r="E54" s="55">
        <v>0.95313700000000001</v>
      </c>
      <c r="F54" s="6" t="s">
        <v>11</v>
      </c>
      <c r="G54" s="52"/>
      <c r="H54" s="78"/>
      <c r="I54" s="78"/>
      <c r="J54" s="78"/>
      <c r="K54" s="52"/>
      <c r="L54" s="78"/>
      <c r="M54" s="78"/>
      <c r="N54" s="78"/>
      <c r="O54" s="73"/>
      <c r="P54" s="73"/>
      <c r="Q54" s="73"/>
    </row>
    <row r="55" spans="1:17" x14ac:dyDescent="0.25">
      <c r="A55" s="21" t="s">
        <v>227</v>
      </c>
      <c r="B55" s="22" t="s">
        <v>228</v>
      </c>
      <c r="C55" s="54">
        <v>1.874866541666667</v>
      </c>
      <c r="D55" s="54">
        <v>-10.112021500000001</v>
      </c>
      <c r="E55" s="54">
        <v>-9.2420790000000004</v>
      </c>
      <c r="F55" s="8" t="s">
        <v>16</v>
      </c>
      <c r="G55" s="52"/>
      <c r="H55" s="78"/>
      <c r="I55" s="78"/>
      <c r="J55" s="78"/>
      <c r="K55" s="52"/>
      <c r="L55" s="78"/>
      <c r="M55" s="78"/>
      <c r="N55" s="78"/>
      <c r="O55" s="73"/>
      <c r="P55" s="73"/>
      <c r="Q55" s="73"/>
    </row>
    <row r="56" spans="1:17" x14ac:dyDescent="0.25">
      <c r="A56" s="5" t="s">
        <v>193</v>
      </c>
      <c r="B56" s="7" t="s">
        <v>108</v>
      </c>
      <c r="C56" s="55">
        <v>1.824440958333333</v>
      </c>
      <c r="D56" s="55">
        <v>3.5472595</v>
      </c>
      <c r="E56" s="55">
        <v>1.7304269999999999</v>
      </c>
      <c r="F56" s="6" t="s">
        <v>13</v>
      </c>
      <c r="G56" s="52"/>
      <c r="H56" s="78"/>
      <c r="I56" s="78"/>
      <c r="J56" s="78"/>
      <c r="K56" s="52"/>
      <c r="L56" s="78"/>
      <c r="M56" s="78"/>
      <c r="N56" s="78"/>
      <c r="O56" s="73"/>
      <c r="P56" s="73"/>
      <c r="Q56" s="73"/>
    </row>
    <row r="57" spans="1:17" x14ac:dyDescent="0.25">
      <c r="A57" s="21" t="s">
        <v>182</v>
      </c>
      <c r="B57" s="22" t="s">
        <v>113</v>
      </c>
      <c r="C57" s="54">
        <v>1.770014075</v>
      </c>
      <c r="D57" s="54">
        <v>-4.190912</v>
      </c>
      <c r="E57" s="54">
        <v>-4.5766280000000004</v>
      </c>
      <c r="F57" s="8" t="s">
        <v>17</v>
      </c>
      <c r="G57" s="52"/>
      <c r="H57" s="78"/>
      <c r="I57" s="78"/>
      <c r="J57" s="78"/>
      <c r="K57" s="52"/>
      <c r="L57" s="78"/>
      <c r="M57" s="78"/>
      <c r="N57" s="78"/>
      <c r="O57" s="73"/>
      <c r="P57" s="73"/>
      <c r="Q57" s="73"/>
    </row>
    <row r="58" spans="1:17" x14ac:dyDescent="0.25">
      <c r="A58" s="5" t="s">
        <v>186</v>
      </c>
      <c r="B58" s="7" t="s">
        <v>112</v>
      </c>
      <c r="C58" s="55">
        <v>1.5764453041566671</v>
      </c>
      <c r="D58" s="55">
        <v>-0.97934826670000008</v>
      </c>
      <c r="E58" s="55">
        <v>7.0307937949999996E-2</v>
      </c>
      <c r="F58" s="6" t="s">
        <v>10</v>
      </c>
      <c r="G58" s="52"/>
      <c r="H58" s="78"/>
      <c r="I58" s="78"/>
      <c r="J58" s="78"/>
      <c r="K58" s="52"/>
      <c r="L58" s="78"/>
      <c r="M58" s="78"/>
      <c r="N58" s="78"/>
      <c r="O58" s="73"/>
      <c r="P58" s="73"/>
      <c r="Q58" s="73"/>
    </row>
    <row r="59" spans="1:17" x14ac:dyDescent="0.25">
      <c r="A59" s="21" t="s">
        <v>209</v>
      </c>
      <c r="B59" s="22" t="s">
        <v>118</v>
      </c>
      <c r="C59" s="54">
        <v>1.4142107083333331</v>
      </c>
      <c r="D59" s="54">
        <v>-3.4289999999994317E-4</v>
      </c>
      <c r="E59" s="54">
        <v>-0.2383401</v>
      </c>
      <c r="F59" s="8" t="s">
        <v>146</v>
      </c>
      <c r="G59" s="52"/>
      <c r="H59" s="78"/>
      <c r="I59" s="78"/>
      <c r="J59" s="78"/>
      <c r="K59" s="52"/>
      <c r="L59" s="78"/>
      <c r="M59" s="78"/>
      <c r="N59" s="78"/>
      <c r="O59" s="73"/>
      <c r="P59" s="73"/>
      <c r="Q59" s="73"/>
    </row>
    <row r="60" spans="1:17" x14ac:dyDescent="0.25">
      <c r="A60" s="5" t="s">
        <v>213</v>
      </c>
      <c r="B60" s="7" t="s">
        <v>140</v>
      </c>
      <c r="C60" s="55">
        <v>1.4117466000000001</v>
      </c>
      <c r="D60" s="55">
        <v>-0.4020533</v>
      </c>
      <c r="E60" s="55">
        <v>-2.10727E-2</v>
      </c>
      <c r="F60" s="6" t="s">
        <v>16</v>
      </c>
      <c r="G60" s="52"/>
      <c r="H60" s="78"/>
      <c r="I60" s="78"/>
      <c r="J60" s="78"/>
      <c r="K60" s="52"/>
      <c r="L60" s="78"/>
      <c r="M60" s="78"/>
      <c r="N60" s="78"/>
      <c r="O60" s="73"/>
      <c r="P60" s="73"/>
      <c r="Q60" s="73"/>
    </row>
    <row r="61" spans="1:17" x14ac:dyDescent="0.25">
      <c r="A61" s="21" t="s">
        <v>183</v>
      </c>
      <c r="B61" s="22" t="s">
        <v>103</v>
      </c>
      <c r="C61" s="54">
        <v>1.151673991666667</v>
      </c>
      <c r="D61" s="54">
        <v>-2.1706515</v>
      </c>
      <c r="E61" s="54">
        <v>-1.6171249999999999</v>
      </c>
      <c r="F61" s="8" t="s">
        <v>17</v>
      </c>
      <c r="G61" s="52"/>
      <c r="H61" s="78"/>
      <c r="I61" s="78"/>
      <c r="J61" s="78"/>
      <c r="K61" s="52"/>
      <c r="L61" s="78"/>
      <c r="M61" s="78"/>
      <c r="N61" s="78"/>
      <c r="O61" s="73"/>
      <c r="P61" s="73"/>
      <c r="Q61" s="73"/>
    </row>
    <row r="62" spans="1:17" x14ac:dyDescent="0.25">
      <c r="A62" s="5" t="s">
        <v>196</v>
      </c>
      <c r="B62" s="7" t="s">
        <v>125</v>
      </c>
      <c r="C62" s="55">
        <v>1.126913166666667</v>
      </c>
      <c r="D62" s="55">
        <v>0.43140699999999987</v>
      </c>
      <c r="E62" s="55">
        <v>0.84104199999999996</v>
      </c>
      <c r="F62" s="6" t="s">
        <v>147</v>
      </c>
      <c r="G62" s="52"/>
      <c r="H62" s="78"/>
      <c r="I62" s="78"/>
      <c r="J62" s="78"/>
      <c r="K62" s="52"/>
      <c r="L62" s="78"/>
      <c r="M62" s="78"/>
      <c r="N62" s="78"/>
      <c r="O62" s="73"/>
      <c r="P62" s="73"/>
      <c r="Q62" s="73"/>
    </row>
    <row r="63" spans="1:17" x14ac:dyDescent="0.25">
      <c r="A63" s="21" t="s">
        <v>178</v>
      </c>
      <c r="B63" s="22" t="s">
        <v>107</v>
      </c>
      <c r="C63" s="54">
        <v>1.041915083333333</v>
      </c>
      <c r="D63" s="54">
        <v>0.224163</v>
      </c>
      <c r="E63" s="54">
        <v>-0.50224550000000001</v>
      </c>
      <c r="F63" s="8" t="s">
        <v>145</v>
      </c>
      <c r="G63" s="52"/>
      <c r="H63" s="78"/>
      <c r="I63" s="78"/>
      <c r="J63" s="78"/>
      <c r="K63" s="52"/>
      <c r="L63" s="78"/>
      <c r="M63" s="78"/>
      <c r="N63" s="78"/>
      <c r="O63" s="73"/>
      <c r="P63" s="73"/>
      <c r="Q63" s="73"/>
    </row>
    <row r="64" spans="1:17" x14ac:dyDescent="0.25">
      <c r="A64" s="5" t="s">
        <v>188</v>
      </c>
      <c r="B64" s="7" t="s">
        <v>57</v>
      </c>
      <c r="C64" s="55">
        <v>1.016918556583333</v>
      </c>
      <c r="D64" s="55">
        <v>-2.2180037212000001</v>
      </c>
      <c r="E64" s="55">
        <v>-0.88441759330000003</v>
      </c>
      <c r="F64" s="6" t="s">
        <v>11</v>
      </c>
      <c r="G64" s="52"/>
      <c r="H64" s="78"/>
      <c r="I64" s="78"/>
      <c r="J64" s="78"/>
      <c r="K64" s="52"/>
      <c r="L64" s="78"/>
      <c r="M64" s="78"/>
      <c r="N64" s="78"/>
      <c r="O64" s="73"/>
      <c r="P64" s="73"/>
      <c r="Q64" s="73"/>
    </row>
    <row r="65" spans="1:17" x14ac:dyDescent="0.25">
      <c r="A65" s="21" t="s">
        <v>212</v>
      </c>
      <c r="B65" s="22" t="s">
        <v>137</v>
      </c>
      <c r="C65" s="54">
        <v>0.99329329166666658</v>
      </c>
      <c r="D65" s="54">
        <v>0.16629250000000001</v>
      </c>
      <c r="E65" s="54">
        <v>-0.1117935</v>
      </c>
      <c r="F65" s="8" t="s">
        <v>145</v>
      </c>
      <c r="G65" s="52"/>
      <c r="H65" s="78"/>
      <c r="I65" s="78"/>
      <c r="J65" s="78"/>
      <c r="K65" s="52"/>
      <c r="L65" s="78"/>
      <c r="M65" s="78"/>
      <c r="N65" s="78"/>
      <c r="O65" s="73"/>
      <c r="P65" s="73"/>
      <c r="Q65" s="73"/>
    </row>
    <row r="66" spans="1:17" x14ac:dyDescent="0.25">
      <c r="A66" s="5" t="s">
        <v>198</v>
      </c>
      <c r="B66" s="7" t="s">
        <v>91</v>
      </c>
      <c r="C66" s="55">
        <v>0.96463213742583342</v>
      </c>
      <c r="D66" s="55">
        <v>0.65818915715000026</v>
      </c>
      <c r="E66" s="55">
        <v>-0.24887089277000002</v>
      </c>
      <c r="F66" s="6" t="s">
        <v>14</v>
      </c>
      <c r="G66" s="52"/>
      <c r="H66" s="78"/>
      <c r="I66" s="78"/>
      <c r="J66" s="78"/>
      <c r="K66" s="52"/>
      <c r="L66" s="78"/>
      <c r="M66" s="78"/>
      <c r="N66" s="78"/>
      <c r="O66" s="73"/>
      <c r="P66" s="73"/>
      <c r="Q66" s="73"/>
    </row>
    <row r="67" spans="1:17" x14ac:dyDescent="0.25">
      <c r="A67" s="21" t="s">
        <v>249</v>
      </c>
      <c r="B67" s="22" t="s">
        <v>250</v>
      </c>
      <c r="C67" s="54">
        <v>0.83478125000000003</v>
      </c>
      <c r="D67" s="54">
        <v>0.88526550000000004</v>
      </c>
      <c r="E67" s="54">
        <v>0.67535299999999998</v>
      </c>
      <c r="F67" s="8" t="s">
        <v>16</v>
      </c>
      <c r="G67" s="52"/>
      <c r="H67" s="78"/>
      <c r="I67" s="78"/>
      <c r="J67" s="78"/>
      <c r="K67" s="52"/>
      <c r="L67" s="78"/>
      <c r="M67" s="78"/>
      <c r="N67" s="78"/>
      <c r="O67" s="73"/>
      <c r="P67" s="73"/>
      <c r="Q67" s="73"/>
    </row>
    <row r="68" spans="1:17" x14ac:dyDescent="0.25">
      <c r="A68" s="5" t="s">
        <v>185</v>
      </c>
      <c r="B68" s="7" t="s">
        <v>115</v>
      </c>
      <c r="C68" s="55">
        <v>0.80305366666666667</v>
      </c>
      <c r="D68" s="55">
        <v>0.69897149999999997</v>
      </c>
      <c r="E68" s="55">
        <v>-0.18703049999999999</v>
      </c>
      <c r="F68" s="6" t="s">
        <v>17</v>
      </c>
      <c r="G68" s="52"/>
      <c r="H68" s="78"/>
      <c r="I68" s="78"/>
      <c r="J68" s="78"/>
      <c r="K68" s="52"/>
      <c r="L68" s="78"/>
      <c r="M68" s="78"/>
      <c r="N68" s="78"/>
      <c r="O68" s="73"/>
      <c r="P68" s="73"/>
      <c r="Q68" s="73"/>
    </row>
    <row r="69" spans="1:17" x14ac:dyDescent="0.25">
      <c r="A69" s="21" t="s">
        <v>240</v>
      </c>
      <c r="B69" s="22" t="s">
        <v>241</v>
      </c>
      <c r="C69" s="54">
        <v>0.76824080833333319</v>
      </c>
      <c r="D69" s="54">
        <v>-0.12497760000000001</v>
      </c>
      <c r="E69" s="54">
        <v>5.3905800000000004E-2</v>
      </c>
      <c r="F69" s="8" t="s">
        <v>14</v>
      </c>
      <c r="G69" s="52"/>
      <c r="H69" s="78"/>
      <c r="I69" s="78"/>
      <c r="J69" s="78"/>
      <c r="K69" s="52"/>
      <c r="L69" s="78"/>
      <c r="M69" s="78"/>
      <c r="N69" s="78"/>
      <c r="O69" s="73"/>
      <c r="P69" s="73"/>
      <c r="Q69" s="73"/>
    </row>
    <row r="70" spans="1:17" x14ac:dyDescent="0.25">
      <c r="A70" s="5" t="s">
        <v>180</v>
      </c>
      <c r="B70" s="7" t="s">
        <v>93</v>
      </c>
      <c r="C70" s="55">
        <v>0.75998641666666666</v>
      </c>
      <c r="D70" s="55">
        <v>-0.59011000000000002</v>
      </c>
      <c r="E70" s="55">
        <v>-0.86857850000000003</v>
      </c>
      <c r="F70" s="6" t="s">
        <v>17</v>
      </c>
      <c r="G70" s="52"/>
      <c r="H70" s="78"/>
      <c r="I70" s="78"/>
      <c r="J70" s="78"/>
      <c r="K70" s="52"/>
      <c r="L70" s="78"/>
      <c r="M70" s="78"/>
      <c r="N70" s="78"/>
      <c r="O70" s="73"/>
      <c r="P70" s="73"/>
      <c r="Q70" s="73"/>
    </row>
    <row r="71" spans="1:17" x14ac:dyDescent="0.25">
      <c r="A71" s="21" t="s">
        <v>244</v>
      </c>
      <c r="B71" s="22" t="s">
        <v>245</v>
      </c>
      <c r="C71" s="54">
        <v>0.7073199166666666</v>
      </c>
      <c r="D71" s="54">
        <v>0.50050499999999998</v>
      </c>
      <c r="E71" s="54">
        <v>7.3769000000000001E-2</v>
      </c>
      <c r="F71" s="8" t="s">
        <v>16</v>
      </c>
      <c r="G71" s="52"/>
      <c r="H71" s="78"/>
      <c r="I71" s="78"/>
      <c r="J71" s="78"/>
      <c r="K71" s="52"/>
      <c r="L71" s="78"/>
      <c r="M71" s="78"/>
      <c r="N71" s="78"/>
      <c r="O71" s="73"/>
      <c r="P71" s="73"/>
      <c r="Q71" s="73"/>
    </row>
    <row r="72" spans="1:17" x14ac:dyDescent="0.25">
      <c r="A72" s="5" t="s">
        <v>205</v>
      </c>
      <c r="B72" s="7" t="s">
        <v>134</v>
      </c>
      <c r="C72" s="55">
        <v>0.65248537500000003</v>
      </c>
      <c r="D72" s="55">
        <v>-0.21330999999999992</v>
      </c>
      <c r="E72" s="55">
        <v>-0.43401849999999997</v>
      </c>
      <c r="F72" s="6" t="s">
        <v>17</v>
      </c>
      <c r="G72" s="52"/>
      <c r="H72" s="78"/>
      <c r="I72" s="78"/>
      <c r="J72" s="78"/>
      <c r="K72" s="52"/>
      <c r="L72" s="78"/>
      <c r="M72" s="78"/>
      <c r="N72" s="78"/>
      <c r="O72" s="73"/>
      <c r="P72" s="73"/>
      <c r="Q72" s="73"/>
    </row>
    <row r="73" spans="1:17" x14ac:dyDescent="0.25">
      <c r="A73" s="21" t="s">
        <v>242</v>
      </c>
      <c r="B73" s="22" t="s">
        <v>243</v>
      </c>
      <c r="C73" s="54">
        <v>0.60953320833333335</v>
      </c>
      <c r="D73" s="54">
        <v>-0.83583249999999998</v>
      </c>
      <c r="E73" s="54">
        <v>-0.69937000000000005</v>
      </c>
      <c r="F73" s="8" t="s">
        <v>14</v>
      </c>
      <c r="G73" s="52"/>
      <c r="H73" s="78"/>
      <c r="I73" s="78"/>
      <c r="J73" s="78"/>
      <c r="K73" s="52"/>
      <c r="L73" s="78"/>
      <c r="M73" s="78"/>
      <c r="N73" s="78"/>
      <c r="O73" s="73"/>
      <c r="P73" s="73"/>
      <c r="Q73" s="73"/>
    </row>
    <row r="74" spans="1:17" x14ac:dyDescent="0.25">
      <c r="A74" s="5" t="s">
        <v>200</v>
      </c>
      <c r="B74" s="7" t="s">
        <v>110</v>
      </c>
      <c r="C74" s="55">
        <v>0.6068479166666666</v>
      </c>
      <c r="D74" s="55">
        <v>-1.0274760000000001</v>
      </c>
      <c r="E74" s="55">
        <v>0.36391899999999999</v>
      </c>
      <c r="F74" s="6" t="s">
        <v>147</v>
      </c>
      <c r="G74" s="52"/>
      <c r="H74" s="78"/>
      <c r="I74" s="78"/>
      <c r="J74" s="78"/>
      <c r="K74" s="52"/>
      <c r="L74" s="78"/>
      <c r="M74" s="78"/>
      <c r="N74" s="78"/>
      <c r="O74" s="73"/>
      <c r="P74" s="73"/>
      <c r="Q74" s="73"/>
    </row>
    <row r="75" spans="1:17" x14ac:dyDescent="0.25">
      <c r="A75" s="21" t="s">
        <v>254</v>
      </c>
      <c r="B75" s="22" t="s">
        <v>255</v>
      </c>
      <c r="C75" s="54">
        <v>0.58629566666666666</v>
      </c>
      <c r="D75" s="54">
        <v>-1.0315179999999999</v>
      </c>
      <c r="E75" s="54">
        <v>-0.52962299999999995</v>
      </c>
      <c r="F75" s="8" t="s">
        <v>147</v>
      </c>
      <c r="G75" s="52"/>
      <c r="H75" s="78"/>
      <c r="I75" s="78"/>
      <c r="J75" s="78"/>
      <c r="K75" s="52"/>
      <c r="L75" s="78"/>
      <c r="M75" s="78"/>
      <c r="N75" s="78"/>
      <c r="O75" s="73"/>
      <c r="P75" s="73"/>
      <c r="Q75" s="73"/>
    </row>
    <row r="76" spans="1:17" x14ac:dyDescent="0.25">
      <c r="A76" s="5" t="s">
        <v>195</v>
      </c>
      <c r="B76" s="7" t="s">
        <v>124</v>
      </c>
      <c r="C76" s="55">
        <v>0.58050662500000005</v>
      </c>
      <c r="D76" s="55">
        <v>-0.94339200000000001</v>
      </c>
      <c r="E76" s="55">
        <v>-0.50066999999999995</v>
      </c>
      <c r="F76" s="6" t="s">
        <v>144</v>
      </c>
      <c r="G76" s="52"/>
      <c r="H76" s="78"/>
      <c r="I76" s="78"/>
      <c r="J76" s="78"/>
      <c r="K76" s="52"/>
      <c r="L76" s="78"/>
      <c r="M76" s="78"/>
      <c r="N76" s="78"/>
      <c r="O76" s="73"/>
      <c r="P76" s="73"/>
      <c r="Q76" s="73"/>
    </row>
    <row r="77" spans="1:17" x14ac:dyDescent="0.25">
      <c r="A77" s="21" t="s">
        <v>256</v>
      </c>
      <c r="B77" s="22" t="s">
        <v>257</v>
      </c>
      <c r="C77" s="54">
        <v>0.57614495833333335</v>
      </c>
      <c r="D77" s="54">
        <v>-0.23394999999999999</v>
      </c>
      <c r="E77" s="54">
        <v>7.0832500000000007E-2</v>
      </c>
      <c r="F77" s="8" t="s">
        <v>11</v>
      </c>
      <c r="G77" s="52"/>
      <c r="H77" s="78"/>
      <c r="I77" s="78"/>
      <c r="J77" s="78"/>
      <c r="K77" s="52"/>
      <c r="L77" s="78"/>
      <c r="M77" s="78"/>
      <c r="N77" s="78"/>
      <c r="O77" s="73"/>
      <c r="P77" s="73"/>
      <c r="Q77" s="73"/>
    </row>
    <row r="78" spans="1:17" x14ac:dyDescent="0.25">
      <c r="A78" s="5" t="s">
        <v>199</v>
      </c>
      <c r="B78" s="7" t="s">
        <v>123</v>
      </c>
      <c r="C78" s="55">
        <v>0.50873333333333326</v>
      </c>
      <c r="D78" s="55">
        <v>-0.61707599999999996</v>
      </c>
      <c r="E78" s="55">
        <v>-0.34496599999999999</v>
      </c>
      <c r="F78" s="6" t="s">
        <v>17</v>
      </c>
      <c r="G78" s="52"/>
      <c r="H78" s="78"/>
      <c r="I78" s="78"/>
      <c r="J78" s="78"/>
      <c r="K78" s="52"/>
      <c r="L78" s="78"/>
      <c r="M78" s="78"/>
      <c r="N78" s="78"/>
      <c r="O78" s="73"/>
      <c r="P78" s="73"/>
      <c r="Q78" s="73"/>
    </row>
    <row r="79" spans="1:17" x14ac:dyDescent="0.25">
      <c r="A79" s="21" t="s">
        <v>218</v>
      </c>
      <c r="B79" s="22" t="s">
        <v>219</v>
      </c>
      <c r="C79" s="54">
        <v>0.50259824166666667</v>
      </c>
      <c r="D79" s="54">
        <v>-0.27000570000000002</v>
      </c>
      <c r="E79" s="54">
        <v>1.99779E-2</v>
      </c>
      <c r="F79" s="8" t="s">
        <v>146</v>
      </c>
      <c r="G79" s="52"/>
      <c r="H79" s="78"/>
      <c r="I79" s="78"/>
      <c r="J79" s="78"/>
      <c r="K79" s="52"/>
      <c r="L79" s="78"/>
      <c r="M79" s="78"/>
      <c r="N79" s="78"/>
      <c r="O79" s="73"/>
      <c r="P79" s="73"/>
      <c r="Q79" s="73"/>
    </row>
    <row r="80" spans="1:17" x14ac:dyDescent="0.25">
      <c r="A80" s="5" t="s">
        <v>175</v>
      </c>
      <c r="B80" s="7" t="s">
        <v>116</v>
      </c>
      <c r="C80" s="55">
        <v>0.48066104166666668</v>
      </c>
      <c r="D80" s="55">
        <v>0.74307049999999986</v>
      </c>
      <c r="E80" s="55">
        <v>-0.1049325</v>
      </c>
      <c r="F80" s="6" t="s">
        <v>146</v>
      </c>
      <c r="G80" s="52"/>
      <c r="H80" s="78"/>
      <c r="I80" s="78"/>
      <c r="J80" s="78"/>
      <c r="K80" s="52"/>
      <c r="L80" s="78"/>
      <c r="M80" s="78"/>
      <c r="N80" s="78"/>
      <c r="O80" s="73"/>
      <c r="P80" s="73"/>
      <c r="Q80" s="73"/>
    </row>
    <row r="81" spans="1:17" x14ac:dyDescent="0.25">
      <c r="A81" s="21" t="s">
        <v>252</v>
      </c>
      <c r="B81" s="22" t="s">
        <v>253</v>
      </c>
      <c r="C81" s="54">
        <v>0.47189217499999997</v>
      </c>
      <c r="D81" s="54">
        <v>4.2410300000000005E-2</v>
      </c>
      <c r="E81" s="54">
        <v>4.5189000000000002E-3</v>
      </c>
      <c r="F81" s="8" t="s">
        <v>147</v>
      </c>
      <c r="G81" s="52"/>
      <c r="H81" s="78"/>
      <c r="I81" s="78"/>
      <c r="J81" s="78"/>
      <c r="K81" s="52"/>
      <c r="L81" s="78"/>
      <c r="M81" s="78"/>
      <c r="N81" s="78"/>
      <c r="O81" s="73"/>
      <c r="P81" s="73"/>
      <c r="Q81" s="73"/>
    </row>
    <row r="82" spans="1:17" x14ac:dyDescent="0.25">
      <c r="A82" s="5" t="s">
        <v>176</v>
      </c>
      <c r="B82" s="7" t="s">
        <v>92</v>
      </c>
      <c r="C82" s="55">
        <v>0.46342487500000001</v>
      </c>
      <c r="D82" s="55">
        <v>0.47230800000000001</v>
      </c>
      <c r="E82" s="55">
        <v>-2.0317000000000002E-2</v>
      </c>
      <c r="F82" s="6" t="s">
        <v>14</v>
      </c>
      <c r="G82" s="52"/>
      <c r="H82" s="78"/>
      <c r="I82" s="78"/>
      <c r="J82" s="78"/>
      <c r="K82" s="52"/>
      <c r="L82" s="78"/>
      <c r="M82" s="78"/>
      <c r="N82" s="78"/>
      <c r="O82" s="73"/>
      <c r="P82" s="73"/>
      <c r="Q82" s="73"/>
    </row>
    <row r="83" spans="1:17" x14ac:dyDescent="0.25">
      <c r="A83" s="21" t="s">
        <v>206</v>
      </c>
      <c r="B83" s="22" t="s">
        <v>126</v>
      </c>
      <c r="C83" s="54">
        <v>0.45929186771000008</v>
      </c>
      <c r="D83" s="54">
        <v>0.17449064860999999</v>
      </c>
      <c r="E83" s="54">
        <v>-6.313094692E-2</v>
      </c>
      <c r="F83" s="8" t="s">
        <v>17</v>
      </c>
      <c r="G83" s="52"/>
      <c r="H83" s="78"/>
      <c r="I83" s="78"/>
      <c r="J83" s="78"/>
      <c r="K83" s="52"/>
      <c r="L83" s="78"/>
      <c r="M83" s="78"/>
      <c r="N83" s="78"/>
      <c r="O83" s="73"/>
      <c r="P83" s="73"/>
      <c r="Q83" s="73"/>
    </row>
    <row r="84" spans="1:17" x14ac:dyDescent="0.25">
      <c r="A84" s="5" t="s">
        <v>204</v>
      </c>
      <c r="B84" s="7" t="s">
        <v>120</v>
      </c>
      <c r="C84" s="55">
        <v>0.44659226170666666</v>
      </c>
      <c r="D84" s="55">
        <v>0.54172141815999997</v>
      </c>
      <c r="E84" s="55">
        <v>-0.11509441039</v>
      </c>
      <c r="F84" s="6" t="s">
        <v>17</v>
      </c>
      <c r="G84" s="52"/>
      <c r="H84" s="78"/>
      <c r="I84" s="78"/>
      <c r="J84" s="78"/>
      <c r="K84" s="52"/>
      <c r="L84" s="78"/>
      <c r="M84" s="78"/>
      <c r="N84" s="78"/>
      <c r="O84" s="73"/>
      <c r="P84" s="73"/>
      <c r="Q84" s="73"/>
    </row>
    <row r="85" spans="1:17" x14ac:dyDescent="0.25">
      <c r="A85" s="21" t="s">
        <v>211</v>
      </c>
      <c r="B85" s="22" t="s">
        <v>143</v>
      </c>
      <c r="C85" s="54">
        <v>0.41826390000000002</v>
      </c>
      <c r="D85" s="54">
        <v>-0.74012869999999997</v>
      </c>
      <c r="E85" s="54">
        <v>-0.21898210000000001</v>
      </c>
      <c r="F85" s="8" t="s">
        <v>14</v>
      </c>
      <c r="G85" s="52"/>
      <c r="H85" s="78"/>
      <c r="I85" s="78"/>
      <c r="J85" s="78"/>
      <c r="K85" s="52"/>
      <c r="L85" s="78"/>
      <c r="M85" s="78"/>
      <c r="N85" s="78"/>
      <c r="O85" s="73"/>
      <c r="P85" s="73"/>
      <c r="Q85" s="73"/>
    </row>
    <row r="86" spans="1:17" x14ac:dyDescent="0.25">
      <c r="A86" s="5" t="s">
        <v>224</v>
      </c>
      <c r="B86" s="7" t="s">
        <v>223</v>
      </c>
      <c r="C86" s="55">
        <v>0.41698029166666667</v>
      </c>
      <c r="D86" s="55">
        <v>-0.49259150000000002</v>
      </c>
      <c r="E86" s="55">
        <v>0.21498800000000001</v>
      </c>
      <c r="F86" s="6" t="s">
        <v>14</v>
      </c>
      <c r="G86" s="52"/>
      <c r="H86" s="78"/>
      <c r="I86" s="78"/>
      <c r="J86" s="78"/>
      <c r="K86" s="52"/>
      <c r="L86" s="78"/>
      <c r="M86" s="78"/>
      <c r="N86" s="78"/>
      <c r="O86" s="73"/>
      <c r="P86" s="73"/>
      <c r="Q86" s="73"/>
    </row>
    <row r="87" spans="1:17" x14ac:dyDescent="0.25">
      <c r="A87" s="21" t="s">
        <v>207</v>
      </c>
      <c r="B87" s="22" t="s">
        <v>122</v>
      </c>
      <c r="C87" s="54">
        <v>0.40485862500000003</v>
      </c>
      <c r="D87" s="54">
        <v>0.74936899999999995</v>
      </c>
      <c r="E87" s="54">
        <v>0.1312835</v>
      </c>
      <c r="F87" s="8" t="s">
        <v>17</v>
      </c>
      <c r="G87" s="52"/>
      <c r="H87" s="78"/>
      <c r="I87" s="78"/>
      <c r="J87" s="78"/>
      <c r="K87" s="52"/>
      <c r="L87" s="78"/>
      <c r="M87" s="78"/>
      <c r="N87" s="78"/>
      <c r="O87" s="73"/>
      <c r="P87" s="73"/>
      <c r="Q87" s="73"/>
    </row>
    <row r="88" spans="1:17" x14ac:dyDescent="0.25">
      <c r="A88" s="5" t="s">
        <v>210</v>
      </c>
      <c r="B88" s="7" t="s">
        <v>141</v>
      </c>
      <c r="C88" s="55">
        <v>0.39173308333333329</v>
      </c>
      <c r="D88" s="55">
        <v>-0.98924299999999998</v>
      </c>
      <c r="E88" s="55">
        <v>-0.49505300000000002</v>
      </c>
      <c r="F88" s="6" t="s">
        <v>14</v>
      </c>
      <c r="G88" s="52"/>
      <c r="H88" s="78"/>
      <c r="I88" s="78"/>
      <c r="J88" s="78"/>
      <c r="K88" s="52"/>
      <c r="L88" s="78"/>
      <c r="M88" s="78"/>
      <c r="N88" s="78"/>
      <c r="O88" s="73"/>
      <c r="P88" s="73"/>
      <c r="Q88" s="73"/>
    </row>
    <row r="89" spans="1:17" x14ac:dyDescent="0.25">
      <c r="A89" s="21" t="s">
        <v>267</v>
      </c>
      <c r="B89" s="22" t="s">
        <v>268</v>
      </c>
      <c r="C89" s="54">
        <v>0.37911679166666667</v>
      </c>
      <c r="D89" s="54">
        <v>-5.8451500000000003E-2</v>
      </c>
      <c r="E89" s="54">
        <v>1.1815000000000001E-2</v>
      </c>
      <c r="F89" s="8" t="s">
        <v>17</v>
      </c>
      <c r="G89" s="52"/>
      <c r="H89" s="78"/>
      <c r="I89" s="78"/>
      <c r="J89" s="78"/>
      <c r="K89" s="52"/>
      <c r="L89" s="78"/>
      <c r="M89" s="78"/>
      <c r="N89" s="78"/>
      <c r="O89" s="73"/>
      <c r="P89" s="73"/>
      <c r="Q89" s="73"/>
    </row>
    <row r="90" spans="1:17" x14ac:dyDescent="0.25">
      <c r="A90" s="5" t="s">
        <v>262</v>
      </c>
      <c r="B90" s="7" t="s">
        <v>263</v>
      </c>
      <c r="C90" s="55">
        <v>0.37408599999999997</v>
      </c>
      <c r="D90" s="55">
        <v>8.1559499999999993E-2</v>
      </c>
      <c r="E90" s="55">
        <v>-0.1137865</v>
      </c>
      <c r="F90" s="6" t="s">
        <v>17</v>
      </c>
      <c r="G90" s="52"/>
      <c r="H90" s="78"/>
      <c r="I90" s="78"/>
      <c r="J90" s="78"/>
      <c r="K90" s="52"/>
      <c r="L90" s="78"/>
      <c r="M90" s="78"/>
      <c r="N90" s="78"/>
      <c r="O90" s="73"/>
      <c r="P90" s="73"/>
      <c r="Q90" s="73"/>
    </row>
    <row r="91" spans="1:17" x14ac:dyDescent="0.25">
      <c r="A91" s="21" t="s">
        <v>184</v>
      </c>
      <c r="B91" s="22" t="s">
        <v>139</v>
      </c>
      <c r="C91" s="54">
        <v>0.35818515833333336</v>
      </c>
      <c r="D91" s="54">
        <v>0.2164314</v>
      </c>
      <c r="E91" s="54">
        <v>8.3495800000000009E-2</v>
      </c>
      <c r="F91" s="8" t="s">
        <v>14</v>
      </c>
      <c r="G91" s="52"/>
      <c r="H91" s="78"/>
      <c r="I91" s="78"/>
      <c r="J91" s="78"/>
      <c r="K91" s="52"/>
      <c r="L91" s="78"/>
      <c r="M91" s="78"/>
      <c r="N91" s="78"/>
      <c r="O91" s="73"/>
      <c r="P91" s="73"/>
      <c r="Q91" s="73"/>
    </row>
    <row r="92" spans="1:17" x14ac:dyDescent="0.25">
      <c r="A92" s="5" t="s">
        <v>238</v>
      </c>
      <c r="B92" s="7" t="s">
        <v>239</v>
      </c>
      <c r="C92" s="55">
        <v>0.35028795833333332</v>
      </c>
      <c r="D92" s="55">
        <v>0.63296949999999996</v>
      </c>
      <c r="E92" s="55">
        <v>0.17715349999999999</v>
      </c>
      <c r="F92" s="6" t="s">
        <v>10</v>
      </c>
      <c r="G92" s="52"/>
      <c r="H92" s="78"/>
      <c r="I92" s="78"/>
      <c r="J92" s="78"/>
      <c r="K92" s="52"/>
      <c r="L92" s="78"/>
      <c r="M92" s="78"/>
      <c r="N92" s="78"/>
      <c r="O92" s="73"/>
      <c r="P92" s="73"/>
      <c r="Q92" s="73"/>
    </row>
    <row r="93" spans="1:17" x14ac:dyDescent="0.25">
      <c r="A93" s="21" t="s">
        <v>208</v>
      </c>
      <c r="B93" s="22" t="s">
        <v>135</v>
      </c>
      <c r="C93" s="54">
        <v>0.33981125000000001</v>
      </c>
      <c r="D93" s="54">
        <v>-0.213167</v>
      </c>
      <c r="E93" s="54">
        <v>-0.35224349999999999</v>
      </c>
      <c r="F93" s="8" t="s">
        <v>145</v>
      </c>
      <c r="G93" s="52"/>
      <c r="H93" s="78"/>
      <c r="I93" s="78"/>
      <c r="J93" s="78"/>
      <c r="K93" s="52"/>
      <c r="L93" s="78"/>
      <c r="M93" s="78"/>
      <c r="N93" s="78"/>
      <c r="O93" s="73"/>
      <c r="P93" s="73"/>
      <c r="Q93" s="73"/>
    </row>
    <row r="94" spans="1:17" x14ac:dyDescent="0.25">
      <c r="A94" s="5" t="s">
        <v>246</v>
      </c>
      <c r="B94" s="7" t="s">
        <v>129</v>
      </c>
      <c r="C94" s="55">
        <v>0.3350801683166667</v>
      </c>
      <c r="D94" s="55">
        <v>0.19395537369999999</v>
      </c>
      <c r="E94" s="55">
        <v>5.7082496199999971E-2</v>
      </c>
      <c r="F94" s="6" t="s">
        <v>17</v>
      </c>
      <c r="G94" s="52"/>
      <c r="H94" s="78"/>
      <c r="I94" s="78"/>
      <c r="J94" s="78"/>
      <c r="K94" s="52"/>
      <c r="L94" s="78"/>
      <c r="M94" s="78"/>
      <c r="N94" s="78"/>
      <c r="O94" s="73"/>
      <c r="P94" s="73"/>
      <c r="Q94" s="73"/>
    </row>
    <row r="95" spans="1:17" x14ac:dyDescent="0.25">
      <c r="A95" s="21" t="s">
        <v>258</v>
      </c>
      <c r="B95" s="22" t="s">
        <v>259</v>
      </c>
      <c r="C95" s="54">
        <v>0.33050572499999997</v>
      </c>
      <c r="D95" s="54">
        <v>8.9339199999999994E-2</v>
      </c>
      <c r="E95" s="54">
        <v>8.5458000000000006E-2</v>
      </c>
      <c r="F95" s="8" t="s">
        <v>14</v>
      </c>
      <c r="G95" s="52"/>
      <c r="H95" s="78"/>
      <c r="I95" s="78"/>
      <c r="J95" s="78"/>
      <c r="K95" s="52"/>
      <c r="L95" s="78"/>
      <c r="M95" s="78"/>
      <c r="N95" s="78"/>
      <c r="O95" s="73"/>
      <c r="P95" s="73"/>
      <c r="Q95" s="73"/>
    </row>
    <row r="96" spans="1:17" x14ac:dyDescent="0.25">
      <c r="A96" s="5" t="s">
        <v>214</v>
      </c>
      <c r="B96" s="7" t="s">
        <v>142</v>
      </c>
      <c r="C96" s="55">
        <v>0.32734508333333329</v>
      </c>
      <c r="D96" s="55">
        <v>0.31662099999999999</v>
      </c>
      <c r="E96" s="55">
        <v>-4.2856999999999999E-2</v>
      </c>
      <c r="F96" s="6" t="s">
        <v>14</v>
      </c>
      <c r="G96" s="52"/>
      <c r="H96" s="78"/>
      <c r="I96" s="78"/>
      <c r="J96" s="78"/>
      <c r="K96" s="52"/>
      <c r="L96" s="78"/>
      <c r="M96" s="78"/>
      <c r="N96" s="78"/>
      <c r="O96" s="73"/>
      <c r="P96" s="73"/>
      <c r="Q96" s="73"/>
    </row>
    <row r="97" spans="1:17" x14ac:dyDescent="0.25">
      <c r="A97" s="21" t="s">
        <v>260</v>
      </c>
      <c r="B97" s="22" t="s">
        <v>261</v>
      </c>
      <c r="C97" s="54">
        <v>0.32130783333333329</v>
      </c>
      <c r="D97" s="54">
        <v>-0.57019200000000003</v>
      </c>
      <c r="E97" s="54">
        <v>-0.20983099999999999</v>
      </c>
      <c r="F97" s="8" t="s">
        <v>17</v>
      </c>
      <c r="G97" s="52"/>
      <c r="H97" s="78"/>
      <c r="I97" s="78"/>
      <c r="J97" s="78"/>
      <c r="K97" s="52"/>
      <c r="L97" s="78"/>
      <c r="M97" s="78"/>
      <c r="N97" s="78"/>
      <c r="O97" s="73"/>
      <c r="P97" s="73"/>
      <c r="Q97" s="73"/>
    </row>
    <row r="98" spans="1:17" x14ac:dyDescent="0.25">
      <c r="A98" s="5" t="s">
        <v>269</v>
      </c>
      <c r="B98" s="7" t="s">
        <v>270</v>
      </c>
      <c r="C98" s="55">
        <v>0.305512375</v>
      </c>
      <c r="D98" s="55">
        <v>0.1704730000000001</v>
      </c>
      <c r="E98" s="55">
        <v>2.680150000000003E-2</v>
      </c>
      <c r="F98" s="6" t="s">
        <v>17</v>
      </c>
      <c r="G98" s="52"/>
      <c r="H98" s="78"/>
      <c r="I98" s="78"/>
      <c r="J98" s="78"/>
      <c r="K98" s="52"/>
      <c r="L98" s="78"/>
      <c r="M98" s="78"/>
      <c r="N98" s="78"/>
      <c r="O98" s="73"/>
      <c r="P98" s="73"/>
      <c r="Q98" s="73"/>
    </row>
    <row r="99" spans="1:17" x14ac:dyDescent="0.25">
      <c r="A99" s="21" t="s">
        <v>247</v>
      </c>
      <c r="B99" s="22" t="s">
        <v>248</v>
      </c>
      <c r="C99" s="54">
        <v>0.27254851852083328</v>
      </c>
      <c r="D99" s="54">
        <v>0.94389727689999992</v>
      </c>
      <c r="E99" s="54">
        <v>0.28254739094999998</v>
      </c>
      <c r="F99" s="8" t="s">
        <v>17</v>
      </c>
      <c r="G99" s="52"/>
      <c r="H99" s="78"/>
      <c r="I99" s="78"/>
      <c r="J99" s="78"/>
      <c r="K99" s="52"/>
      <c r="L99" s="78"/>
      <c r="M99" s="78"/>
      <c r="N99" s="78"/>
      <c r="O99" s="73"/>
      <c r="P99" s="73"/>
      <c r="Q99" s="73"/>
    </row>
    <row r="100" spans="1:17" x14ac:dyDescent="0.25">
      <c r="A100" s="5" t="s">
        <v>271</v>
      </c>
      <c r="B100" s="7" t="s">
        <v>272</v>
      </c>
      <c r="C100" s="55">
        <v>0.24386861398333332</v>
      </c>
      <c r="D100" s="55">
        <v>-0.69849429000000007</v>
      </c>
      <c r="E100" s="55">
        <v>-3.8697129500000003E-2</v>
      </c>
      <c r="F100" s="6" t="s">
        <v>147</v>
      </c>
      <c r="G100" s="52"/>
      <c r="H100" s="78"/>
      <c r="I100" s="78"/>
      <c r="J100" s="78"/>
      <c r="K100" s="52"/>
      <c r="L100" s="78"/>
      <c r="M100" s="78"/>
      <c r="N100" s="78"/>
      <c r="O100" s="73"/>
      <c r="P100" s="73"/>
      <c r="Q100" s="73"/>
    </row>
    <row r="101" spans="1:17" x14ac:dyDescent="0.25">
      <c r="A101" s="75" t="s">
        <v>273</v>
      </c>
      <c r="B101" s="76" t="s">
        <v>274</v>
      </c>
      <c r="C101" s="77">
        <v>0.24065866666666669</v>
      </c>
      <c r="D101" s="77">
        <v>-1.03345E-2</v>
      </c>
      <c r="E101" s="77">
        <v>-1.5235E-2</v>
      </c>
      <c r="F101" s="9" t="s">
        <v>145</v>
      </c>
      <c r="G101" s="52"/>
      <c r="H101" s="78"/>
      <c r="I101" s="78"/>
      <c r="J101" s="78"/>
      <c r="K101" s="52"/>
      <c r="L101" s="78"/>
      <c r="M101" s="78"/>
      <c r="N101" s="78"/>
      <c r="O101" s="73"/>
      <c r="P101" s="73"/>
      <c r="Q101" s="73"/>
    </row>
    <row r="102" spans="1:17" x14ac:dyDescent="0.25">
      <c r="A102" s="45"/>
      <c r="B102" s="10"/>
      <c r="C102" s="10"/>
      <c r="D102" s="10"/>
      <c r="E102" s="10"/>
      <c r="F102" s="46"/>
    </row>
    <row r="105" spans="1:17" x14ac:dyDescent="0.25">
      <c r="A105" s="11" t="s">
        <v>80</v>
      </c>
    </row>
    <row r="106" spans="1:17" x14ac:dyDescent="0.25">
      <c r="A106" s="11" t="s">
        <v>132</v>
      </c>
    </row>
    <row r="107" spans="1:17" x14ac:dyDescent="0.25">
      <c r="A107" s="11" t="s">
        <v>131</v>
      </c>
    </row>
    <row r="108" spans="1:17" x14ac:dyDescent="0.25">
      <c r="A108" s="11" t="s">
        <v>136</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2025-01-20T02:39:18Z</dcterms:modified>
</cp:coreProperties>
</file>