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8B1C07C9-A7A1-49AC-8FD4-3AC43F64EC01}" xr6:coauthVersionLast="47" xr6:coauthVersionMax="47" xr10:uidLastSave="{00000000-0000-0000-0000-000000000000}"/>
  <bookViews>
    <workbookView xWindow="-25290" yWindow="-16170" windowWidth="25440" windowHeight="1539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5" l="1"/>
  <c r="F18" i="1"/>
  <c r="F5" i="1"/>
  <c r="C18" i="1"/>
  <c r="C32" i="4"/>
  <c r="A6" i="3"/>
  <c r="A6" i="2"/>
  <c r="A5" i="3"/>
  <c r="A4" i="3"/>
  <c r="A3" i="3"/>
  <c r="A5" i="2"/>
  <c r="A4" i="2"/>
  <c r="A3" i="2"/>
  <c r="K29" i="1" l="1"/>
  <c r="D32" i="4" l="1"/>
  <c r="A1" i="4" l="1"/>
</calcChain>
</file>

<file path=xl/sharedStrings.xml><?xml version="1.0" encoding="utf-8"?>
<sst xmlns="http://schemas.openxmlformats.org/spreadsheetml/2006/main" count="517" uniqueCount="280">
  <si>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</si>
  <si>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</si>
  <si>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</si>
  <si>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</si>
  <si>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</si>
  <si>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</si>
  <si>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</si>
  <si>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</si>
  <si>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</si>
  <si>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</si>
  <si>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</si>
  <si>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</si>
  <si>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</si>
  <si>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</si>
  <si>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</si>
  <si>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</si>
  <si>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</si>
  <si>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</si>
  <si>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</si>
  <si>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</si>
  <si>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</si>
  <si>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</si>
  <si>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</si>
  <si>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</si>
  <si>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</si>
  <si>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</si>
  <si>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</si>
  <si>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</si>
  <si>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</si>
  <si>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</si>
  <si>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</si>
  <si>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</si>
  <si>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</si>
  <si>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</si>
  <si>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</si>
  <si>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</si>
  <si>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</si>
  <si>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</si>
  <si>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</si>
  <si>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</si>
  <si>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</si>
  <si>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</si>
  <si>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</si>
  <si>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</si>
  <si>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</si>
  <si>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</si>
  <si>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</si>
  <si>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</si>
  <si>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</si>
  <si>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</si>
  <si>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</si>
  <si>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</si>
  <si>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</si>
  <si>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</si>
  <si>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</si>
  <si>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</si>
  <si>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</si>
  <si>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</si>
  <si>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</si>
  <si>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</si>
  <si>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</si>
  <si>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</si>
  <si>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</si>
  <si>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</si>
  <si>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</si>
  <si>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</si>
  <si>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</si>
  <si>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</si>
  <si>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</si>
  <si>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</si>
  <si>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</si>
  <si>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</si>
  <si>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</si>
  <si>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</si>
  <si>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</si>
  <si>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</si>
  <si>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</si>
  <si>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</si>
  <si>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</si>
  <si>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</si>
  <si>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</si>
  <si>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</si>
  <si>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</si>
  <si>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</si>
  <si>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</si>
  <si>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</si>
  <si>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</si>
  <si>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</si>
  <si>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</si>
  <si>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</si>
  <si>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</si>
  <si>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</si>
  <si>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</si>
  <si>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</si>
  <si>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</si>
  <si>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</si>
  <si>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</si>
  <si>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</si>
  <si>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</si>
  <si>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</si>
  <si>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</si>
  <si>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</si>
  <si>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</si>
  <si>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</si>
  <si>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</si>
  <si>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</si>
  <si>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</si>
  <si>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</si>
  <si>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</si>
  <si>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</si>
  <si>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</si>
  <si>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</si>
  <si>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</si>
  <si>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</si>
  <si>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</si>
  <si>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</si>
  <si>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</si>
  <si>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</si>
  <si>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</si>
  <si>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</si>
  <si>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</si>
  <si>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</si>
  <si>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</si>
  <si>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</si>
  <si>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</si>
  <si>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</si>
  <si>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</si>
  <si>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</si>
  <si>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</si>
  <si>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</si>
  <si>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</si>
  <si>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</si>
  <si>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</si>
  <si>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</si>
  <si>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</si>
  <si>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</si>
  <si>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</si>
  <si>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</si>
  <si>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</si>
  <si>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</si>
  <si>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</si>
  <si>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</si>
  <si>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</si>
  <si>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</si>
  <si>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</si>
  <si>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</si>
  <si>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</si>
  <si>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</si>
  <si>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</si>
  <si>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</si>
  <si>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</si>
  <si>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</si>
  <si>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</si>
  <si>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</si>
  <si>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</si>
  <si>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</si>
  <si>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</si>
  <si>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</si>
  <si>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</si>
  <si>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</si>
  <si>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</si>
  <si>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</si>
  <si>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</si>
  <si>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</si>
  <si>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</si>
  <si>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</si>
  <si>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</si>
  <si>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</si>
  <si>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</si>
  <si>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</si>
  <si>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</si>
  <si>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</si>
  <si>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</si>
  <si>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</si>
  <si>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</si>
  <si>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</si>
  <si>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</si>
  <si>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</si>
  <si>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</si>
  <si>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</si>
  <si>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</si>
  <si>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</si>
  <si>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</si>
  <si>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</si>
  <si>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</si>
  <si>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</si>
  <si>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</si>
  <si>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</si>
  <si>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</si>
  <si>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</si>
  <si>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</si>
  <si>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</si>
  <si>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</si>
  <si>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</si>
  <si>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</si>
  <si>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</si>
  <si>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</si>
  <si>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</si>
  <si>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</si>
  <si>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</si>
  <si>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</si>
  <si>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</si>
  <si>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</si>
  <si>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</si>
  <si>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</si>
  <si>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</si>
  <si>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</si>
  <si>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</si>
  <si>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</si>
  <si>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</si>
  <si>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</si>
  <si>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</si>
  <si>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</si>
  <si>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</si>
  <si>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</si>
  <si>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</si>
  <si>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</si>
  <si>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</si>
  <si>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</si>
  <si>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</si>
  <si>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</si>
  <si>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</si>
  <si>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</si>
  <si>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</si>
  <si>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</si>
  <si>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</si>
  <si>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</si>
  <si>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</si>
  <si>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</si>
  <si>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</si>
  <si>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</si>
  <si>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</si>
  <si>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</si>
  <si>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</si>
  <si>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</si>
  <si>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Best World</t>
  </si>
  <si>
    <t>Haw Par</t>
  </si>
  <si>
    <t>Delfi</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</si>
  <si>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</si>
  <si>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</si>
  <si>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</si>
  <si>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</si>
  <si>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</si>
  <si>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</si>
  <si>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</si>
  <si>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</si>
  <si>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</si>
  <si>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</si>
  <si>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558</t>
  </si>
  <si>
    <t>Mapletree Pan Asia Commercial Trust</t>
  </si>
  <si>
    <t>1MZ</t>
  </si>
  <si>
    <t>NamCheong</t>
  </si>
  <si>
    <t>S7P</t>
  </si>
  <si>
    <t>Soilbuild Const</t>
  </si>
  <si>
    <t>sgx.com/research</t>
  </si>
  <si>
    <t>To sign up for daily market updates or for more information, please contact research@SGX.com.</t>
  </si>
  <si>
    <t>5CP</t>
  </si>
  <si>
    <t>Silverlake Axis</t>
  </si>
  <si>
    <t>Sasseur Reit</t>
  </si>
  <si>
    <t>CRPU</t>
  </si>
  <si>
    <t>Centurion</t>
  </si>
  <si>
    <t>OU8</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</si>
  <si>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</si>
  <si>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NSL</t>
  </si>
  <si>
    <t>N02</t>
  </si>
  <si>
    <t>E3B</t>
  </si>
  <si>
    <t>Beng Kuang</t>
  </si>
  <si>
    <t>Wee Hur</t>
  </si>
  <si>
    <t>Week of 28 October 2024</t>
  </si>
  <si>
    <r>
      <t xml:space="preserve">Institutional investors net </t>
    </r>
    <r>
      <rPr>
        <b/>
        <sz val="11"/>
        <rFont val="Arial"/>
        <family val="2"/>
      </rPr>
      <t>sell</t>
    </r>
    <r>
      <rPr>
        <sz val="11"/>
        <rFont val="Arial"/>
        <family val="2"/>
      </rPr>
      <t xml:space="preserve"> (-S$369.3m) vs. (-S$310.4m) a week ago</t>
    </r>
  </si>
  <si>
    <r>
      <t xml:space="preserve">Retail investors net </t>
    </r>
    <r>
      <rPr>
        <b/>
        <sz val="11"/>
        <rFont val="Arial"/>
        <family val="2"/>
      </rPr>
      <t>buy</t>
    </r>
    <r>
      <rPr>
        <sz val="11"/>
        <rFont val="Arial"/>
        <family val="2"/>
      </rPr>
      <t xml:space="preserve"> (+S$306.0m) vs. (+S$237.1m) a week ago</t>
    </r>
  </si>
  <si>
    <t>Aztech Global</t>
  </si>
  <si>
    <t>B69</t>
  </si>
  <si>
    <t>Broadway Industrial Group</t>
  </si>
  <si>
    <t xml:space="preserve">Genting Singapore </t>
  </si>
  <si>
    <t>Jardine Matheson Holdings</t>
  </si>
  <si>
    <t>Riverstone Holdings</t>
  </si>
  <si>
    <t>Golden Agri-Resources</t>
  </si>
  <si>
    <t>Past 4 Sessions Institution Net Buy (+) / Net Sell (-) (S$M)</t>
  </si>
  <si>
    <t>Seatrium Ltd (From 7 May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</si>
</sst>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37.88671875" style="2" bestFit="1" customWidth="1"/>
    <col min="8" max="8" width="30" style="2" bestFit="1" customWidth="1"/>
    <col min="9" max="9" width="0.5546875" style="40" customWidth="1"/>
    <col min="10" max="10" width="37.88671875" style="2" bestFit="1" customWidth="1"/>
    <col min="11" max="11" width="30" style="2" bestFit="1" customWidth="1"/>
    <col min="12" max="12" width="10.5546875" style="2" bestFit="1" customWidth="1"/>
    <col min="13" max="16384" width="9.44140625" style="2"/>
  </cols>
  <sheetData>
    <row r="1" spans="1:13" x14ac:dyDescent="0.25">
      <c r="A1" s="1" t="s">
        <v>268</v>
      </c>
      <c r="C1" s="81"/>
    </row>
    <row r="2" spans="1:13" x14ac:dyDescent="0.25">
      <c r="A2" s="69" t="s">
        <v>269</v>
      </c>
      <c r="I2" s="50"/>
    </row>
    <row r="3" spans="1:13" x14ac:dyDescent="0.25">
      <c r="A3" s="69" t="s">
        <v>270</v>
      </c>
      <c r="I3" s="50"/>
    </row>
    <row r="5" spans="1:13" ht="29.25" customHeight="1" x14ac:dyDescent="0.25">
      <c r="A5" s="3" t="s">
        <v>0</v>
      </c>
      <c r="B5" s="3" t="s">
        <v>1</v>
      </c>
      <c r="C5" s="4" t="s">
        <v>268</v>
      </c>
      <c r="D5" s="60" t="s">
        <v>2</v>
      </c>
      <c r="E5" s="60" t="s">
        <v>1</v>
      </c>
      <c r="F5" s="61" t="str">
        <f>+C5</f>
        <v>Week of 28 October 2024</v>
      </c>
      <c r="I5" s="2"/>
    </row>
    <row r="6" spans="1:13" ht="14.4" x14ac:dyDescent="0.3">
      <c r="A6" s="34" t="s">
        <v>273</v>
      </c>
      <c r="B6" s="63" t="s">
        <v>272</v>
      </c>
      <c r="C6" s="6">
        <v>19.563934357000001</v>
      </c>
      <c r="D6" s="34" t="s">
        <v>26</v>
      </c>
      <c r="E6" s="63" t="s">
        <v>21</v>
      </c>
      <c r="F6" s="6">
        <v>-116.02067099999999</v>
      </c>
      <c r="M6"/>
    </row>
    <row r="7" spans="1:13" ht="14.4" x14ac:dyDescent="0.3">
      <c r="A7" s="35" t="s">
        <v>208</v>
      </c>
      <c r="B7" s="10" t="s">
        <v>127</v>
      </c>
      <c r="C7" s="8">
        <v>18.773250999999998</v>
      </c>
      <c r="D7" s="35" t="s">
        <v>27</v>
      </c>
      <c r="E7" s="10" t="s">
        <v>22</v>
      </c>
      <c r="F7" s="8">
        <v>-29.1227774</v>
      </c>
      <c r="L7"/>
      <c r="M7"/>
    </row>
    <row r="8" spans="1:13" ht="14.4" x14ac:dyDescent="0.3">
      <c r="A8" s="36" t="s">
        <v>64</v>
      </c>
      <c r="B8" s="63" t="s">
        <v>55</v>
      </c>
      <c r="C8" s="6">
        <v>12.46392571949999</v>
      </c>
      <c r="D8" s="36" t="s">
        <v>49</v>
      </c>
      <c r="E8" s="63" t="s">
        <v>47</v>
      </c>
      <c r="F8" s="6">
        <v>-25.934881099999998</v>
      </c>
      <c r="L8"/>
      <c r="M8"/>
    </row>
    <row r="9" spans="1:13" ht="14.4" x14ac:dyDescent="0.3">
      <c r="A9" s="35" t="s">
        <v>274</v>
      </c>
      <c r="B9" s="10" t="s">
        <v>35</v>
      </c>
      <c r="C9" s="8">
        <v>8.6994884999999993</v>
      </c>
      <c r="D9" s="35" t="s">
        <v>28</v>
      </c>
      <c r="E9" s="10" t="s">
        <v>23</v>
      </c>
      <c r="F9" s="8">
        <v>-24.345320999999998</v>
      </c>
      <c r="L9"/>
      <c r="M9"/>
    </row>
    <row r="10" spans="1:13" ht="14.4" x14ac:dyDescent="0.3">
      <c r="A10" s="36" t="s">
        <v>50</v>
      </c>
      <c r="B10" s="63" t="s">
        <v>48</v>
      </c>
      <c r="C10" s="6">
        <v>5.685765</v>
      </c>
      <c r="D10" s="36" t="s">
        <v>45</v>
      </c>
      <c r="E10" s="63" t="s">
        <v>42</v>
      </c>
      <c r="F10" s="6">
        <v>-22.649509999999999</v>
      </c>
      <c r="L10"/>
      <c r="M10"/>
    </row>
    <row r="11" spans="1:13" ht="14.4" x14ac:dyDescent="0.3">
      <c r="A11" s="35" t="s">
        <v>213</v>
      </c>
      <c r="B11" s="10" t="s">
        <v>131</v>
      </c>
      <c r="C11" s="8">
        <v>4.0056159999999998</v>
      </c>
      <c r="D11" s="35" t="s">
        <v>39</v>
      </c>
      <c r="E11" s="10" t="s">
        <v>37</v>
      </c>
      <c r="F11" s="8">
        <v>-22.344902999999999</v>
      </c>
      <c r="L11"/>
      <c r="M11"/>
    </row>
    <row r="12" spans="1:13" ht="14.4" x14ac:dyDescent="0.3">
      <c r="A12" s="36" t="s">
        <v>34</v>
      </c>
      <c r="B12" s="63" t="s">
        <v>30</v>
      </c>
      <c r="C12" s="6">
        <v>3.5096539999999998</v>
      </c>
      <c r="D12" s="36" t="s">
        <v>87</v>
      </c>
      <c r="E12" s="63" t="s">
        <v>25</v>
      </c>
      <c r="F12" s="6">
        <v>-20.078658000000001</v>
      </c>
      <c r="L12"/>
      <c r="M12"/>
    </row>
    <row r="13" spans="1:13" ht="14.4" x14ac:dyDescent="0.3">
      <c r="A13" s="35" t="s">
        <v>33</v>
      </c>
      <c r="B13" s="10" t="s">
        <v>31</v>
      </c>
      <c r="C13" s="8">
        <v>2.615402</v>
      </c>
      <c r="D13" s="35" t="s">
        <v>249</v>
      </c>
      <c r="E13" s="10" t="s">
        <v>58</v>
      </c>
      <c r="F13" s="8">
        <v>-19.799647</v>
      </c>
      <c r="L13"/>
      <c r="M13"/>
    </row>
    <row r="14" spans="1:13" ht="14.4" x14ac:dyDescent="0.3">
      <c r="A14" s="36" t="s">
        <v>275</v>
      </c>
      <c r="B14" s="63" t="s">
        <v>52</v>
      </c>
      <c r="C14" s="6">
        <v>2.2835228601999988</v>
      </c>
      <c r="D14" s="36" t="s">
        <v>242</v>
      </c>
      <c r="E14" s="63" t="s">
        <v>107</v>
      </c>
      <c r="F14" s="6">
        <v>-16.087229499999999</v>
      </c>
      <c r="L14"/>
      <c r="M14"/>
    </row>
    <row r="15" spans="1:13" ht="14.4" x14ac:dyDescent="0.3">
      <c r="A15" s="37" t="s">
        <v>276</v>
      </c>
      <c r="B15" s="33" t="s">
        <v>129</v>
      </c>
      <c r="C15" s="9">
        <v>1.7125330000000001</v>
      </c>
      <c r="D15" s="37" t="s">
        <v>84</v>
      </c>
      <c r="E15" s="33" t="s">
        <v>83</v>
      </c>
      <c r="F15" s="9">
        <v>-14.407487</v>
      </c>
      <c r="L15"/>
      <c r="M15"/>
    </row>
    <row r="16" spans="1:13" ht="15" x14ac:dyDescent="0.25">
      <c r="A16" s="10"/>
      <c r="B16" s="10"/>
      <c r="C16" s="10"/>
      <c r="D16" s="31"/>
      <c r="E16" s="10"/>
      <c r="F16" s="10"/>
    </row>
    <row r="17" spans="1:11" x14ac:dyDescent="0.25">
      <c r="A17" s="10"/>
      <c r="B17" s="10"/>
      <c r="C17" s="10"/>
      <c r="D17" s="10"/>
      <c r="E17" s="10"/>
      <c r="F17" s="10"/>
    </row>
    <row r="18" spans="1:11" ht="28.5" customHeight="1" x14ac:dyDescent="0.25">
      <c r="A18" s="39" t="s">
        <v>3</v>
      </c>
      <c r="B18" s="3" t="s">
        <v>1</v>
      </c>
      <c r="C18" s="4" t="str">
        <f>C5</f>
        <v>Week of 28 October 2024</v>
      </c>
      <c r="D18" s="62" t="s">
        <v>4</v>
      </c>
      <c r="E18" s="60" t="s">
        <v>1</v>
      </c>
      <c r="F18" s="61" t="str">
        <f>+C18</f>
        <v>Week of 28 October 2024</v>
      </c>
    </row>
    <row r="19" spans="1:11" x14ac:dyDescent="0.25">
      <c r="A19" s="36" t="s">
        <v>26</v>
      </c>
      <c r="B19" s="63" t="s">
        <v>21</v>
      </c>
      <c r="C19" s="20">
        <v>119.115143</v>
      </c>
      <c r="D19" s="36" t="s">
        <v>273</v>
      </c>
      <c r="E19" s="19" t="s">
        <v>272</v>
      </c>
      <c r="F19" s="6">
        <v>-19.252588057000001</v>
      </c>
      <c r="I19" s="2"/>
    </row>
    <row r="20" spans="1:11" x14ac:dyDescent="0.25">
      <c r="A20" s="35" t="s">
        <v>27</v>
      </c>
      <c r="B20" s="10" t="s">
        <v>22</v>
      </c>
      <c r="C20" s="8">
        <v>32.322914400000002</v>
      </c>
      <c r="D20" s="35" t="s">
        <v>64</v>
      </c>
      <c r="E20" s="22" t="s">
        <v>55</v>
      </c>
      <c r="F20" s="8">
        <v>-14.1083426181</v>
      </c>
      <c r="I20" s="2"/>
    </row>
    <row r="21" spans="1:11" x14ac:dyDescent="0.25">
      <c r="A21" s="36" t="s">
        <v>28</v>
      </c>
      <c r="B21" s="63" t="s">
        <v>23</v>
      </c>
      <c r="C21" s="6">
        <v>28.080169999999999</v>
      </c>
      <c r="D21" s="36" t="s">
        <v>213</v>
      </c>
      <c r="E21" s="7" t="s">
        <v>131</v>
      </c>
      <c r="F21" s="6">
        <v>-4.3405990000000001</v>
      </c>
      <c r="I21" s="2"/>
    </row>
    <row r="22" spans="1:11" x14ac:dyDescent="0.25">
      <c r="A22" s="35" t="s">
        <v>49</v>
      </c>
      <c r="B22" s="10" t="s">
        <v>47</v>
      </c>
      <c r="C22" s="8">
        <v>23.947608899999999</v>
      </c>
      <c r="D22" s="35" t="s">
        <v>275</v>
      </c>
      <c r="E22" s="22" t="s">
        <v>52</v>
      </c>
      <c r="F22" s="8">
        <v>-3.6330761735000001</v>
      </c>
      <c r="I22" s="2"/>
    </row>
    <row r="23" spans="1:11" x14ac:dyDescent="0.25">
      <c r="A23" s="36" t="s">
        <v>44</v>
      </c>
      <c r="B23" s="63" t="s">
        <v>41</v>
      </c>
      <c r="C23" s="6">
        <v>14.999421</v>
      </c>
      <c r="D23" s="36" t="s">
        <v>33</v>
      </c>
      <c r="E23" s="7" t="s">
        <v>31</v>
      </c>
      <c r="F23" s="6">
        <v>-3.5715780000000001</v>
      </c>
      <c r="I23" s="2"/>
    </row>
    <row r="24" spans="1:11" x14ac:dyDescent="0.25">
      <c r="A24" s="35" t="s">
        <v>45</v>
      </c>
      <c r="B24" s="10" t="s">
        <v>42</v>
      </c>
      <c r="C24" s="8">
        <v>14.939838</v>
      </c>
      <c r="D24" s="35" t="s">
        <v>36</v>
      </c>
      <c r="E24" s="22" t="s">
        <v>35</v>
      </c>
      <c r="F24" s="8">
        <v>-2.7881485000000001</v>
      </c>
      <c r="I24" s="2"/>
    </row>
    <row r="25" spans="1:11" x14ac:dyDescent="0.25">
      <c r="A25" s="36" t="s">
        <v>39</v>
      </c>
      <c r="B25" s="63" t="s">
        <v>37</v>
      </c>
      <c r="C25" s="6">
        <v>13.568579</v>
      </c>
      <c r="D25" s="36" t="s">
        <v>208</v>
      </c>
      <c r="E25" s="7" t="s">
        <v>127</v>
      </c>
      <c r="F25" s="6">
        <v>-2.1745570000000001</v>
      </c>
      <c r="I25" s="2"/>
    </row>
    <row r="26" spans="1:11" x14ac:dyDescent="0.25">
      <c r="A26" s="35" t="s">
        <v>271</v>
      </c>
      <c r="B26" s="10" t="s">
        <v>144</v>
      </c>
      <c r="C26" s="8">
        <v>11.6162215</v>
      </c>
      <c r="D26" s="35" t="s">
        <v>277</v>
      </c>
      <c r="E26" s="22" t="s">
        <v>106</v>
      </c>
      <c r="F26" s="8">
        <v>-2.0217295000000002</v>
      </c>
      <c r="I26" s="2"/>
    </row>
    <row r="27" spans="1:11" x14ac:dyDescent="0.25">
      <c r="A27" s="36" t="s">
        <v>87</v>
      </c>
      <c r="B27" s="63" t="s">
        <v>25</v>
      </c>
      <c r="C27" s="6">
        <v>10.210843000000001</v>
      </c>
      <c r="D27" s="36" t="s">
        <v>221</v>
      </c>
      <c r="E27" s="7" t="s">
        <v>96</v>
      </c>
      <c r="F27" s="6">
        <v>-1.930768</v>
      </c>
      <c r="I27" s="2"/>
    </row>
    <row r="28" spans="1:11" x14ac:dyDescent="0.25">
      <c r="A28" s="33" t="s">
        <v>249</v>
      </c>
      <c r="B28" s="76" t="s">
        <v>58</v>
      </c>
      <c r="C28" s="9">
        <v>8.3605959999999993</v>
      </c>
      <c r="D28" s="33" t="s">
        <v>34</v>
      </c>
      <c r="E28" s="76" t="s">
        <v>30</v>
      </c>
      <c r="F28" s="9">
        <v>-1.731457</v>
      </c>
      <c r="I28" s="2"/>
    </row>
    <row r="29" spans="1:11" x14ac:dyDescent="0.25">
      <c r="A29" s="10"/>
      <c r="B29" s="10"/>
      <c r="C29" s="10"/>
      <c r="D29" s="10"/>
      <c r="E29" s="10"/>
      <c r="F29" s="10"/>
      <c r="K29" s="2" t="str">
        <f t="shared" ref="K29" si="0">PROPER(D29)</f>
        <v/>
      </c>
    </row>
    <row r="30" spans="1:11" ht="14.4" x14ac:dyDescent="0.3">
      <c r="A30" s="11" t="s">
        <v>240</v>
      </c>
      <c r="B30" s="11"/>
      <c r="C30" s="10"/>
      <c r="D30" s="10"/>
      <c r="E30" s="10"/>
      <c r="F30" s="10"/>
    </row>
    <row r="31" spans="1:11" ht="14.4" x14ac:dyDescent="0.3">
      <c r="A31" s="11" t="s">
        <v>80</v>
      </c>
      <c r="B31" s="11"/>
      <c r="C31" s="10"/>
      <c r="D31" s="10"/>
      <c r="E31" s="10"/>
      <c r="F31" s="10"/>
    </row>
    <row r="32" spans="1:11" ht="14.4" x14ac:dyDescent="0.3">
      <c r="A32" s="11" t="s">
        <v>241</v>
      </c>
      <c r="B32" s="11"/>
      <c r="C32" s="10"/>
      <c r="D32" s="10"/>
      <c r="E32" s="10"/>
      <c r="F32" s="10"/>
    </row>
    <row r="33" spans="1:9" ht="14.4" x14ac:dyDescent="0.3">
      <c r="A33" s="11" t="s">
        <v>6</v>
      </c>
      <c r="B33" s="11"/>
      <c r="C33" s="10"/>
      <c r="D33" s="10"/>
      <c r="E33" s="10"/>
      <c r="F33" s="10"/>
    </row>
    <row r="34" spans="1:9" ht="14.4" x14ac:dyDescent="0.3">
      <c r="A34" s="79" t="s">
        <v>73</v>
      </c>
      <c r="B34" s="11"/>
      <c r="C34" s="10"/>
      <c r="D34" s="10"/>
      <c r="E34" s="10"/>
      <c r="F34" s="10"/>
      <c r="G34" s="66"/>
    </row>
    <row r="35" spans="1:9" ht="14.4" x14ac:dyDescent="0.3">
      <c r="A35" s="11"/>
      <c r="B35" s="11"/>
      <c r="C35" s="10"/>
      <c r="D35" s="10"/>
      <c r="E35" s="10"/>
      <c r="F35" s="10"/>
    </row>
    <row r="36" spans="1:9" ht="14.4" x14ac:dyDescent="0.3">
      <c r="A36" s="11"/>
      <c r="B36" s="11"/>
      <c r="C36" s="10"/>
      <c r="D36" s="10"/>
      <c r="E36" s="10"/>
      <c r="F36" s="10"/>
    </row>
    <row r="37" spans="1:9" customFormat="1" ht="15.6" x14ac:dyDescent="0.3">
      <c r="A37" s="23" t="s">
        <v>68</v>
      </c>
      <c r="B37" s="24"/>
      <c r="C37" s="25"/>
      <c r="D37" s="25"/>
      <c r="E37" s="24"/>
      <c r="F37" s="24"/>
      <c r="I37" s="38"/>
    </row>
    <row r="38" spans="1:9" customFormat="1" ht="14.4" x14ac:dyDescent="0.3">
      <c r="A38" s="26" t="s">
        <v>255</v>
      </c>
      <c r="B38" s="24"/>
      <c r="C38" s="25"/>
      <c r="D38" s="25"/>
      <c r="E38" s="24"/>
      <c r="F38" s="24"/>
      <c r="I38" s="38"/>
    </row>
    <row r="39" spans="1:9" s="30" customFormat="1" ht="19.350000000000001" customHeight="1" x14ac:dyDescent="0.3">
      <c r="A39" s="27" t="s">
        <v>254</v>
      </c>
      <c r="B39" s="28"/>
      <c r="C39" s="29"/>
      <c r="D39" s="29"/>
      <c r="E39" s="28"/>
      <c r="F39" s="28"/>
      <c r="I39" s="41"/>
    </row>
    <row r="40" spans="1:9" ht="169.35" customHeight="1" x14ac:dyDescent="0.25">
      <c r="A40" s="82" t="s">
        <v>262</v>
      </c>
      <c r="B40" s="82"/>
      <c r="C40" s="82"/>
      <c r="D40" s="82"/>
      <c r="E40" s="82"/>
      <c r="F40" s="82"/>
    </row>
    <row r="41" spans="1:9" x14ac:dyDescent="0.25">
      <c r="A41" s="10"/>
      <c r="B41" s="10"/>
      <c r="C41" s="10"/>
      <c r="D41" s="10"/>
      <c r="E41" s="10"/>
      <c r="F41" s="10"/>
    </row>
    <row r="42" spans="1:9" x14ac:dyDescent="0.25">
      <c r="A42" s="10"/>
      <c r="B42" s="10"/>
      <c r="C42" s="10"/>
      <c r="D42" s="10"/>
      <c r="E42" s="10"/>
      <c r="F42" s="10"/>
    </row>
    <row r="43" spans="1:9" x14ac:dyDescent="0.25">
      <c r="A43" s="10"/>
      <c r="B43" s="10"/>
      <c r="C43" s="10"/>
      <c r="D43" s="10"/>
      <c r="E43" s="10"/>
      <c r="F43" s="10"/>
    </row>
    <row r="44" spans="1:9" x14ac:dyDescent="0.25">
      <c r="A44" s="10"/>
      <c r="B44" s="10"/>
      <c r="C44" s="10"/>
      <c r="D44" s="10"/>
      <c r="E44" s="10"/>
      <c r="F44" s="10"/>
    </row>
    <row r="45" spans="1:9" x14ac:dyDescent="0.25">
      <c r="A45" s="10"/>
      <c r="B45" s="10"/>
      <c r="C45" s="10"/>
      <c r="D45" s="10"/>
      <c r="E45" s="10"/>
      <c r="F45" s="10"/>
    </row>
    <row r="46" spans="1:9" x14ac:dyDescent="0.25">
      <c r="A46" s="10"/>
      <c r="B46" s="10"/>
      <c r="C46" s="10"/>
      <c r="D46" s="10"/>
      <c r="E46" s="10"/>
      <c r="F46" s="10"/>
    </row>
    <row r="47" spans="1:9" x14ac:dyDescent="0.25">
      <c r="A47" s="10"/>
      <c r="B47" s="10"/>
      <c r="C47" s="10"/>
      <c r="D47" s="10"/>
      <c r="E47" s="10"/>
      <c r="F47" s="10"/>
    </row>
    <row r="48" spans="1:9" x14ac:dyDescent="0.25">
      <c r="A48" s="10"/>
      <c r="B48" s="10"/>
      <c r="C48" s="10"/>
      <c r="D48" s="10"/>
      <c r="E48" s="10"/>
      <c r="F48" s="10"/>
    </row>
    <row r="49" spans="1:6" x14ac:dyDescent="0.25">
      <c r="A49" s="10"/>
      <c r="B49" s="10"/>
      <c r="C49" s="10"/>
      <c r="D49" s="10"/>
      <c r="E49" s="10"/>
      <c r="F49" s="10"/>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4140625" defaultRowHeight="13.8" x14ac:dyDescent="0.25"/>
  <cols>
    <col min="1" max="1" width="9.44140625" style="2"/>
    <col min="2" max="2" width="16.44140625" style="2" customWidth="1"/>
    <col min="3" max="4" width="11.44140625" style="2" customWidth="1"/>
    <col min="5" max="5" width="10.5546875" style="2" customWidth="1"/>
    <col min="6" max="6" width="10" style="2" bestFit="1" customWidth="1"/>
    <col min="7" max="7" width="7.5546875" style="2" bestFit="1" customWidth="1"/>
    <col min="8" max="8" width="11.5546875" style="2" customWidth="1"/>
    <col min="9" max="9" width="12.44140625" style="2" bestFit="1" customWidth="1"/>
    <col min="10" max="11" width="7.5546875" style="2" bestFit="1" customWidth="1"/>
    <col min="12" max="12" width="13.5546875" style="2" customWidth="1"/>
    <col min="13" max="13" width="7.5546875" style="2" customWidth="1"/>
    <col min="14" max="14" width="8.5546875" style="2" customWidth="1"/>
    <col min="15" max="16384" width="9.44140625" style="2"/>
  </cols>
  <sheetData>
    <row r="1" spans="1:15" ht="17.25" customHeight="1" x14ac:dyDescent="0.25">
      <c r="A1" s="83" t="s">
        <v>7</v>
      </c>
      <c r="B1" s="13"/>
      <c r="C1" s="85" t="s">
        <v>8</v>
      </c>
      <c r="D1" s="86"/>
      <c r="E1" s="86"/>
      <c r="F1" s="86"/>
      <c r="G1" s="86"/>
      <c r="H1" s="86"/>
      <c r="I1" s="86"/>
      <c r="J1" s="86"/>
      <c r="K1" s="86"/>
      <c r="L1" s="86"/>
      <c r="M1" s="86"/>
      <c r="N1" s="87"/>
    </row>
    <row r="2" spans="1:15" ht="55.2" x14ac:dyDescent="0.25">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25">
      <c r="A3" s="44">
        <f>SUM(C3:N3)</f>
        <v>25.48037102483999</v>
      </c>
      <c r="B3" s="71">
        <v>45572</v>
      </c>
      <c r="C3" s="15">
        <v>13.916706534620005</v>
      </c>
      <c r="D3" s="15">
        <v>29.280717559899998</v>
      </c>
      <c r="E3" s="15">
        <v>8.6876536999999985</v>
      </c>
      <c r="F3" s="15">
        <v>101.7915562</v>
      </c>
      <c r="G3" s="15">
        <v>0.26340886239999994</v>
      </c>
      <c r="H3" s="15">
        <v>-42.206343406660011</v>
      </c>
      <c r="I3" s="15">
        <v>-0.76223419999999997</v>
      </c>
      <c r="J3" s="15">
        <v>13.757210259299999</v>
      </c>
      <c r="K3" s="15">
        <v>-39.449038384720005</v>
      </c>
      <c r="L3" s="15">
        <v>3.6160385000000068</v>
      </c>
      <c r="M3" s="15">
        <v>-73.66100689999999</v>
      </c>
      <c r="N3" s="15">
        <v>10.2457023</v>
      </c>
    </row>
    <row r="4" spans="1:15" x14ac:dyDescent="0.25">
      <c r="A4" s="44">
        <f>SUM(C4:N4)</f>
        <v>1.0962987005999723</v>
      </c>
      <c r="B4" s="12">
        <v>45579</v>
      </c>
      <c r="C4" s="70">
        <v>-17.921646138779998</v>
      </c>
      <c r="D4" s="70">
        <v>8.9258674096000004</v>
      </c>
      <c r="E4" s="70">
        <v>-8.6978177999999993</v>
      </c>
      <c r="F4" s="70">
        <v>48.730246332499981</v>
      </c>
      <c r="G4" s="70">
        <v>-4.6008814000000828E-3</v>
      </c>
      <c r="H4" s="70">
        <v>1.672104824519999</v>
      </c>
      <c r="I4" s="70">
        <v>-0.57387030000000006</v>
      </c>
      <c r="J4" s="70">
        <v>0.78859841590000102</v>
      </c>
      <c r="K4" s="70">
        <v>-36.123012861740001</v>
      </c>
      <c r="L4" s="70">
        <v>-2.8742283000000008</v>
      </c>
      <c r="M4" s="70">
        <v>4.1659379000000012</v>
      </c>
      <c r="N4" s="70">
        <v>3.0087201000000001</v>
      </c>
    </row>
    <row r="5" spans="1:15" x14ac:dyDescent="0.25">
      <c r="A5" s="44">
        <f>SUM(C5:N5)</f>
        <v>-310.38166261419002</v>
      </c>
      <c r="B5" s="71">
        <v>45586</v>
      </c>
      <c r="C5" s="15">
        <v>0.22434391836999898</v>
      </c>
      <c r="D5" s="15">
        <v>9.6101223997000034</v>
      </c>
      <c r="E5" s="15">
        <v>-4.3391830999999996</v>
      </c>
      <c r="F5" s="15">
        <v>-164.77365320000004</v>
      </c>
      <c r="G5" s="15">
        <v>-4.5615320499999765E-2</v>
      </c>
      <c r="H5" s="15">
        <v>3.9821699511999888</v>
      </c>
      <c r="I5" s="15">
        <v>-5.7190035000000012</v>
      </c>
      <c r="J5" s="15">
        <v>-1.0286589005999991</v>
      </c>
      <c r="K5" s="15">
        <v>-113.91018036235997</v>
      </c>
      <c r="L5" s="15">
        <v>-2.0452954999999999</v>
      </c>
      <c r="M5" s="15">
        <v>-15.255753799999999</v>
      </c>
      <c r="N5" s="15">
        <v>-17.080955199999998</v>
      </c>
    </row>
    <row r="6" spans="1:15" ht="14.4" x14ac:dyDescent="0.3">
      <c r="A6" s="44">
        <f>SUM(C6:N6)</f>
        <v>-369.27781404207008</v>
      </c>
      <c r="B6" s="80">
        <v>45593</v>
      </c>
      <c r="C6" s="70">
        <v>14.9680406152</v>
      </c>
      <c r="D6" s="70">
        <v>-9.7838119374999994</v>
      </c>
      <c r="E6" s="70">
        <v>17.438151999999999</v>
      </c>
      <c r="F6" s="70">
        <v>-195.54034519999999</v>
      </c>
      <c r="G6" s="70">
        <v>-1.9730196077</v>
      </c>
      <c r="H6" s="70">
        <v>-26.866734715900002</v>
      </c>
      <c r="I6" s="70">
        <v>-3.2666949000000001</v>
      </c>
      <c r="J6" s="70">
        <v>9.9485952194999907</v>
      </c>
      <c r="K6" s="70">
        <v>-117.48004657267001</v>
      </c>
      <c r="L6" s="70">
        <v>-4.0659807429999946</v>
      </c>
      <c r="M6" s="70">
        <v>-30.1170948</v>
      </c>
      <c r="N6" s="70">
        <v>-22.5388734</v>
      </c>
      <c r="O6"/>
    </row>
    <row r="7" spans="1:15" ht="14.4" x14ac:dyDescent="0.3">
      <c r="A7" s="68"/>
      <c r="B7" s="57"/>
      <c r="C7" s="72"/>
      <c r="D7" s="72"/>
      <c r="E7" s="72"/>
      <c r="F7" s="72"/>
      <c r="G7" s="72"/>
      <c r="H7" s="72"/>
      <c r="I7" s="72"/>
      <c r="J7" s="72"/>
      <c r="K7" s="72"/>
      <c r="L7" s="72"/>
      <c r="M7" s="72"/>
      <c r="N7" s="72"/>
    </row>
    <row r="8" spans="1:15" ht="14.4" x14ac:dyDescent="0.3">
      <c r="B8" s="11" t="s">
        <v>5</v>
      </c>
      <c r="C8" s="11"/>
      <c r="D8" s="11"/>
    </row>
    <row r="9" spans="1:15" ht="14.4" x14ac:dyDescent="0.3">
      <c r="B9" s="11" t="s">
        <v>80</v>
      </c>
      <c r="C9" s="11"/>
      <c r="D9" s="11"/>
    </row>
    <row r="10" spans="1:15" ht="14.4" x14ac:dyDescent="0.3">
      <c r="B10" s="11" t="s">
        <v>6</v>
      </c>
      <c r="C10" s="11"/>
      <c r="D10" s="11"/>
    </row>
    <row r="11" spans="1:15" ht="14.4" x14ac:dyDescent="0.3">
      <c r="B11" s="11" t="s">
        <v>73</v>
      </c>
      <c r="C11" s="12"/>
      <c r="D11" s="12"/>
    </row>
    <row r="12" spans="1:15" ht="14.4" x14ac:dyDescent="0.3">
      <c r="B12"/>
    </row>
    <row r="13" spans="1:15" ht="14.4" x14ac:dyDescent="0.3">
      <c r="C13" s="67"/>
      <c r="D13" s="67"/>
      <c r="E13" s="67"/>
      <c r="F13" s="67"/>
      <c r="G13" s="67"/>
      <c r="H13" s="67"/>
      <c r="I13" s="67"/>
      <c r="J13" s="67"/>
      <c r="K13" s="67"/>
      <c r="L13" s="67"/>
      <c r="M13" s="67"/>
      <c r="N13" s="67"/>
    </row>
    <row r="14" spans="1:15" ht="14.4" x14ac:dyDescent="0.3">
      <c r="B14" s="49"/>
      <c r="C14" s="49"/>
      <c r="D14" s="49"/>
      <c r="E14" s="49"/>
      <c r="F14" s="49"/>
      <c r="G14" s="49"/>
      <c r="H14" s="49"/>
      <c r="I14" s="49"/>
      <c r="J14" s="49"/>
      <c r="K14" s="49"/>
      <c r="L14" s="49"/>
      <c r="M14" s="49"/>
      <c r="N14"/>
      <c r="O14" s="43"/>
    </row>
    <row r="15" spans="1:15" ht="14.4" x14ac:dyDescent="0.3">
      <c r="C15" s="49"/>
      <c r="D15" s="49"/>
      <c r="E15" s="49"/>
      <c r="F15" s="49"/>
      <c r="G15" s="49"/>
      <c r="H15" s="49"/>
      <c r="I15" s="49"/>
      <c r="J15" s="49"/>
      <c r="K15" s="49"/>
      <c r="L15" s="49"/>
      <c r="M15" s="49"/>
      <c r="N15" s="49"/>
      <c r="O15" s="49"/>
    </row>
    <row r="16" spans="1:15" ht="14.4" x14ac:dyDescent="0.3">
      <c r="C16" s="43"/>
      <c r="D16" s="43"/>
      <c r="E16" s="43"/>
      <c r="F16" s="43"/>
      <c r="G16" s="43"/>
      <c r="H16" s="43"/>
      <c r="I16" s="43"/>
      <c r="J16" s="43"/>
      <c r="K16" s="43"/>
      <c r="L16" s="43"/>
      <c r="M16" s="43"/>
      <c r="N16" s="43"/>
      <c r="O16" s="43"/>
    </row>
    <row r="17" spans="3:15" ht="14.4" x14ac:dyDescent="0.3">
      <c r="C17" s="42"/>
      <c r="D17" s="42"/>
      <c r="E17" s="42"/>
      <c r="F17" s="42"/>
      <c r="G17" s="42"/>
      <c r="H17" s="42"/>
      <c r="I17" s="42"/>
      <c r="J17" s="42"/>
      <c r="K17" s="42"/>
      <c r="L17" s="42"/>
      <c r="M17" s="42"/>
      <c r="N17" s="42"/>
      <c r="O17" s="42"/>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4140625" defaultRowHeight="13.8" x14ac:dyDescent="0.25"/>
  <cols>
    <col min="1" max="1" width="9.44140625" style="2" customWidth="1"/>
    <col min="2" max="2" width="16.44140625" style="2" customWidth="1"/>
    <col min="3" max="4" width="11.44140625" style="2" bestFit="1" customWidth="1"/>
    <col min="5" max="5" width="10.5546875" style="2" bestFit="1" customWidth="1"/>
    <col min="6" max="6" width="10" style="2" bestFit="1" customWidth="1"/>
    <col min="7" max="7" width="7.5546875" style="2" bestFit="1" customWidth="1"/>
    <col min="8" max="8" width="11.5546875" style="2" bestFit="1" customWidth="1"/>
    <col min="9" max="9" width="12.44140625" style="2" bestFit="1" customWidth="1"/>
    <col min="10" max="11" width="7.5546875" style="2" bestFit="1" customWidth="1"/>
    <col min="12" max="12" width="13.5546875" style="2" customWidth="1"/>
    <col min="13" max="13" width="7.5546875" style="2" bestFit="1" customWidth="1"/>
    <col min="14" max="14" width="8.5546875" style="2" bestFit="1" customWidth="1"/>
    <col min="15" max="16384" width="9.44140625" style="2"/>
  </cols>
  <sheetData>
    <row r="1" spans="1:18" ht="17.25" customHeight="1" x14ac:dyDescent="0.25">
      <c r="A1" s="83" t="s">
        <v>7</v>
      </c>
      <c r="B1" s="13"/>
      <c r="C1" s="85" t="s">
        <v>8</v>
      </c>
      <c r="D1" s="86"/>
      <c r="E1" s="86"/>
      <c r="F1" s="86"/>
      <c r="G1" s="86"/>
      <c r="H1" s="86"/>
      <c r="I1" s="86"/>
      <c r="J1" s="86"/>
      <c r="K1" s="86"/>
      <c r="L1" s="86"/>
      <c r="M1" s="86"/>
      <c r="N1" s="87"/>
    </row>
    <row r="2" spans="1:18" ht="55.2" x14ac:dyDescent="0.25">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25">
      <c r="A3" s="65">
        <f>SUM(C3:N3)</f>
        <v>98.898956840009973</v>
      </c>
      <c r="B3" s="64">
        <v>45572</v>
      </c>
      <c r="C3" s="56">
        <v>0.63304702138999946</v>
      </c>
      <c r="D3" s="56">
        <v>-0.41690570759999801</v>
      </c>
      <c r="E3" s="56">
        <v>0.69936609999999932</v>
      </c>
      <c r="F3" s="56">
        <v>-48.818131200000003</v>
      </c>
      <c r="G3" s="56">
        <v>2.4038499473000003</v>
      </c>
      <c r="H3" s="56">
        <v>26.531181803789984</v>
      </c>
      <c r="I3" s="56">
        <v>1.9277492000000005</v>
      </c>
      <c r="J3" s="56">
        <v>25.050839661600001</v>
      </c>
      <c r="K3" s="56">
        <v>81.746492899529997</v>
      </c>
      <c r="L3" s="56">
        <v>3.494514713999997</v>
      </c>
      <c r="M3" s="56">
        <v>13.2607798</v>
      </c>
      <c r="N3" s="56">
        <v>-7.6138273999999999</v>
      </c>
      <c r="P3" s="14"/>
    </row>
    <row r="4" spans="1:18" x14ac:dyDescent="0.25">
      <c r="A4" s="65">
        <f>SUM(C4:N4)</f>
        <v>-206.80832327289994</v>
      </c>
      <c r="B4" s="12">
        <v>45579</v>
      </c>
      <c r="C4" s="74">
        <v>20.307789915539999</v>
      </c>
      <c r="D4" s="74">
        <v>-11.606013819499999</v>
      </c>
      <c r="E4" s="74">
        <v>5.5465151999999991</v>
      </c>
      <c r="F4" s="74">
        <v>-194.6303972325</v>
      </c>
      <c r="G4" s="74">
        <v>-0.77846745719999999</v>
      </c>
      <c r="H4" s="74">
        <v>-21.62427848439</v>
      </c>
      <c r="I4" s="74">
        <v>1.0285631</v>
      </c>
      <c r="J4" s="74">
        <v>5.8204464153000002</v>
      </c>
      <c r="K4" s="74">
        <v>8.4587079898500015</v>
      </c>
      <c r="L4" s="74">
        <v>5.3716806999999998</v>
      </c>
      <c r="M4" s="74">
        <v>-15.381391799999999</v>
      </c>
      <c r="N4" s="74">
        <v>-9.3214778000000003</v>
      </c>
      <c r="P4" s="14"/>
    </row>
    <row r="5" spans="1:18" x14ac:dyDescent="0.25">
      <c r="A5" s="65">
        <f>SUM(C5:N5)</f>
        <v>237.08775775981005</v>
      </c>
      <c r="B5" s="64">
        <v>45586</v>
      </c>
      <c r="C5" s="56">
        <v>-4.4991418433900003</v>
      </c>
      <c r="D5" s="56">
        <v>-0.99857384710000097</v>
      </c>
      <c r="E5" s="56">
        <v>-3.0613239999999999</v>
      </c>
      <c r="F5" s="56">
        <v>74.100956100000005</v>
      </c>
      <c r="G5" s="56">
        <v>-1.1749631313</v>
      </c>
      <c r="H5" s="56">
        <v>28.173994994380021</v>
      </c>
      <c r="I5" s="56">
        <v>7.8912924000000002</v>
      </c>
      <c r="J5" s="56">
        <v>9.5416742819999989</v>
      </c>
      <c r="K5" s="56">
        <v>99.409263805220007</v>
      </c>
      <c r="L5" s="56">
        <v>7.455999799999999</v>
      </c>
      <c r="M5" s="56">
        <v>8.9107120000000002</v>
      </c>
      <c r="N5" s="56">
        <v>11.3378672</v>
      </c>
      <c r="P5" s="14"/>
    </row>
    <row r="6" spans="1:18" x14ac:dyDescent="0.25">
      <c r="A6" s="65">
        <f>SUM(C6:N6)</f>
        <v>306.02876453610003</v>
      </c>
      <c r="B6" s="80">
        <v>45593</v>
      </c>
      <c r="C6" s="74">
        <v>-4.6102355722099997</v>
      </c>
      <c r="D6" s="74">
        <v>16.349343771699999</v>
      </c>
      <c r="E6" s="74">
        <v>-0.73808470000000004</v>
      </c>
      <c r="F6" s="74">
        <v>186.6389953</v>
      </c>
      <c r="G6" s="74">
        <v>3.0318330811999998</v>
      </c>
      <c r="H6" s="74">
        <v>13.955395707959999</v>
      </c>
      <c r="I6" s="74">
        <v>3.3682759999999998</v>
      </c>
      <c r="J6" s="74">
        <v>-15.895911918099999</v>
      </c>
      <c r="K6" s="74">
        <v>49.959794822550002</v>
      </c>
      <c r="L6" s="74">
        <v>12.167854343</v>
      </c>
      <c r="M6" s="74">
        <v>26.970207899999998</v>
      </c>
      <c r="N6" s="74">
        <v>14.831295799999999</v>
      </c>
      <c r="P6" s="14"/>
    </row>
    <row r="7" spans="1:18" ht="14.4" x14ac:dyDescent="0.3">
      <c r="A7" s="68"/>
      <c r="B7" s="51"/>
      <c r="C7" s="72"/>
      <c r="D7" s="72"/>
      <c r="E7" s="72"/>
      <c r="F7" s="72"/>
      <c r="G7" s="72"/>
      <c r="H7" s="72"/>
      <c r="I7" s="72"/>
      <c r="J7" s="72"/>
      <c r="K7" s="72"/>
      <c r="L7" s="72"/>
      <c r="M7" s="72"/>
      <c r="N7" s="72"/>
      <c r="P7" s="14"/>
    </row>
    <row r="8" spans="1:18" ht="14.4" x14ac:dyDescent="0.3">
      <c r="B8" s="11" t="s">
        <v>5</v>
      </c>
      <c r="C8" s="11"/>
      <c r="D8" s="11"/>
    </row>
    <row r="9" spans="1:18" ht="14.4" x14ac:dyDescent="0.3">
      <c r="B9" s="11" t="s">
        <v>82</v>
      </c>
      <c r="C9" s="11"/>
      <c r="D9" s="11"/>
    </row>
    <row r="10" spans="1:18" ht="14.4" x14ac:dyDescent="0.3">
      <c r="B10" s="11" t="s">
        <v>6</v>
      </c>
      <c r="C10" s="11"/>
      <c r="D10" s="11"/>
    </row>
    <row r="11" spans="1:18" ht="14.4" x14ac:dyDescent="0.3">
      <c r="B11" s="11" t="s">
        <v>73</v>
      </c>
      <c r="C11" s="12"/>
      <c r="D11" s="12"/>
    </row>
    <row r="12" spans="1:18" ht="14.4" x14ac:dyDescent="0.3">
      <c r="C12" s="49"/>
      <c r="D12" s="49"/>
      <c r="E12" s="49"/>
      <c r="F12" s="49"/>
      <c r="G12" s="49"/>
      <c r="H12" s="49"/>
      <c r="I12" s="49"/>
      <c r="J12" s="49"/>
      <c r="K12" s="49"/>
      <c r="L12" s="49"/>
      <c r="M12" s="49"/>
      <c r="N12" s="49"/>
    </row>
    <row r="13" spans="1:18" ht="14.4" x14ac:dyDescent="0.3">
      <c r="B13"/>
      <c r="C13" s="49"/>
      <c r="D13" s="49"/>
      <c r="E13" s="49"/>
      <c r="F13" s="49"/>
      <c r="G13" s="49"/>
      <c r="H13" s="49"/>
      <c r="I13" s="49"/>
      <c r="J13" s="49"/>
      <c r="K13" s="49"/>
      <c r="L13" s="49"/>
      <c r="M13" s="49"/>
      <c r="N13" s="49"/>
      <c r="O13" s="43"/>
      <c r="P13"/>
      <c r="Q13"/>
      <c r="R13"/>
    </row>
    <row r="14" spans="1:18" ht="14.4" x14ac:dyDescent="0.3">
      <c r="C14"/>
      <c r="D14"/>
      <c r="E14"/>
      <c r="F14"/>
      <c r="G14"/>
      <c r="H14"/>
      <c r="I14"/>
      <c r="J14"/>
      <c r="K14"/>
      <c r="L14"/>
      <c r="M14"/>
      <c r="N14"/>
      <c r="O14"/>
      <c r="P14"/>
      <c r="Q14"/>
      <c r="R14"/>
    </row>
    <row r="15" spans="1:18" ht="14.4" x14ac:dyDescent="0.3">
      <c r="C15"/>
      <c r="D15"/>
      <c r="E15"/>
      <c r="F15"/>
      <c r="G15"/>
      <c r="H15"/>
      <c r="I15"/>
      <c r="J15"/>
      <c r="K15"/>
      <c r="L15"/>
      <c r="M15"/>
      <c r="N15"/>
      <c r="O15"/>
    </row>
    <row r="16" spans="1:18" ht="14.4" x14ac:dyDescent="0.3">
      <c r="C16" s="42"/>
      <c r="D16" s="42"/>
      <c r="E16" s="42"/>
      <c r="F16" s="42"/>
      <c r="G16" s="42"/>
      <c r="H16" s="42"/>
      <c r="I16" s="42"/>
      <c r="J16" s="42"/>
      <c r="K16" s="42"/>
      <c r="L16" s="42"/>
      <c r="M16" s="42"/>
      <c r="N16" s="42"/>
    </row>
    <row r="17" spans="3:14" ht="14.4" x14ac:dyDescent="0.3">
      <c r="C17"/>
      <c r="D17"/>
      <c r="E17"/>
      <c r="F17"/>
      <c r="G17"/>
      <c r="H17"/>
      <c r="I17"/>
      <c r="J17"/>
      <c r="K17"/>
      <c r="L17"/>
      <c r="M17"/>
      <c r="N17"/>
    </row>
    <row r="18" spans="3:14" ht="14.4" x14ac:dyDescent="0.3">
      <c r="C18" s="43"/>
      <c r="D18" s="43"/>
      <c r="E18" s="43"/>
      <c r="F18" s="43"/>
      <c r="G18" s="43"/>
      <c r="H18" s="43"/>
      <c r="I18" s="43"/>
      <c r="J18" s="43"/>
      <c r="K18" s="43"/>
      <c r="L18" s="43"/>
      <c r="M18" s="43"/>
      <c r="N18" s="43"/>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5546875" customWidth="1"/>
    <col min="6" max="6" width="12.5546875" customWidth="1"/>
    <col min="7" max="7" width="14" customWidth="1"/>
    <col min="8" max="8" width="15.5546875" customWidth="1"/>
    <col min="12" max="12" width="16" customWidth="1"/>
  </cols>
  <sheetData>
    <row r="1" spans="1:5" ht="55.2" x14ac:dyDescent="0.3">
      <c r="A1" s="32" t="str">
        <f>CONCATENATE("STI Constituents - ",'Weekly Top 10'!$C$5)</f>
        <v>STI Constituents - Week of 28 October 2024</v>
      </c>
      <c r="B1" s="16" t="s">
        <v>1</v>
      </c>
      <c r="C1" s="17" t="s">
        <v>71</v>
      </c>
      <c r="D1" s="17" t="s">
        <v>72</v>
      </c>
    </row>
    <row r="2" spans="1:5" x14ac:dyDescent="0.3">
      <c r="A2" s="18" t="s">
        <v>87</v>
      </c>
      <c r="B2" s="19" t="s">
        <v>25</v>
      </c>
      <c r="C2" s="20">
        <v>-20.078658000000001</v>
      </c>
      <c r="D2" s="20">
        <v>10.210843000000001</v>
      </c>
      <c r="E2" s="38"/>
    </row>
    <row r="3" spans="1:5" x14ac:dyDescent="0.3">
      <c r="A3" s="21" t="s">
        <v>77</v>
      </c>
      <c r="B3" s="22" t="s">
        <v>56</v>
      </c>
      <c r="C3" s="8">
        <v>-9.1210240000000002</v>
      </c>
      <c r="D3" s="8">
        <v>2.2953480000000002</v>
      </c>
      <c r="E3" s="38"/>
    </row>
    <row r="4" spans="1:5" x14ac:dyDescent="0.3">
      <c r="A4" s="5" t="s">
        <v>84</v>
      </c>
      <c r="B4" s="7" t="s">
        <v>83</v>
      </c>
      <c r="C4" s="6">
        <v>-14.407487</v>
      </c>
      <c r="D4" s="6">
        <v>1.90238</v>
      </c>
      <c r="E4" s="38"/>
    </row>
    <row r="5" spans="1:5" x14ac:dyDescent="0.3">
      <c r="A5" s="21" t="s">
        <v>63</v>
      </c>
      <c r="B5" s="22" t="s">
        <v>54</v>
      </c>
      <c r="C5" s="8">
        <v>-5.0852170000000001</v>
      </c>
      <c r="D5" s="8">
        <v>2.379661</v>
      </c>
      <c r="E5" s="38"/>
    </row>
    <row r="6" spans="1:5" x14ac:dyDescent="0.3">
      <c r="A6" s="5" t="s">
        <v>26</v>
      </c>
      <c r="B6" s="7" t="s">
        <v>21</v>
      </c>
      <c r="C6" s="6">
        <v>-116.02067099999999</v>
      </c>
      <c r="D6" s="6">
        <v>119.115143</v>
      </c>
      <c r="E6" s="38"/>
    </row>
    <row r="7" spans="1:5" x14ac:dyDescent="0.3">
      <c r="A7" s="21" t="s">
        <v>85</v>
      </c>
      <c r="B7" s="22" t="s">
        <v>57</v>
      </c>
      <c r="C7" s="8">
        <v>0.92438236250000039</v>
      </c>
      <c r="D7" s="8">
        <v>0.18615617170000009</v>
      </c>
      <c r="E7" s="38"/>
    </row>
    <row r="8" spans="1:5" x14ac:dyDescent="0.3">
      <c r="A8" s="5" t="s">
        <v>242</v>
      </c>
      <c r="B8" s="7" t="s">
        <v>107</v>
      </c>
      <c r="C8" s="6">
        <v>-16.087229499999999</v>
      </c>
      <c r="D8" s="6">
        <v>3.2850450000000002</v>
      </c>
      <c r="E8" s="38"/>
    </row>
    <row r="9" spans="1:5" x14ac:dyDescent="0.3">
      <c r="A9" s="21" t="s">
        <v>79</v>
      </c>
      <c r="B9" s="22" t="s">
        <v>78</v>
      </c>
      <c r="C9" s="8">
        <v>-8.0369469999999996</v>
      </c>
      <c r="D9" s="8">
        <v>1.5278640000000001</v>
      </c>
      <c r="E9" s="38"/>
    </row>
    <row r="10" spans="1:5" x14ac:dyDescent="0.3">
      <c r="A10" s="5" t="s">
        <v>36</v>
      </c>
      <c r="B10" s="7" t="s">
        <v>35</v>
      </c>
      <c r="C10" s="6">
        <v>8.6994884999999993</v>
      </c>
      <c r="D10" s="6">
        <v>-2.7881485000000001</v>
      </c>
      <c r="E10" s="38"/>
    </row>
    <row r="11" spans="1:5" x14ac:dyDescent="0.3">
      <c r="A11" s="21" t="s">
        <v>64</v>
      </c>
      <c r="B11" s="22" t="s">
        <v>55</v>
      </c>
      <c r="C11" s="8">
        <v>12.46392571949999</v>
      </c>
      <c r="D11" s="8">
        <v>-14.1083426181</v>
      </c>
      <c r="E11" s="38"/>
    </row>
    <row r="12" spans="1:5" x14ac:dyDescent="0.3">
      <c r="A12" s="5" t="s">
        <v>50</v>
      </c>
      <c r="B12" s="7" t="s">
        <v>48</v>
      </c>
      <c r="C12" s="6">
        <v>5.685765</v>
      </c>
      <c r="D12" s="6">
        <v>-1.1465970000000001</v>
      </c>
      <c r="E12" s="38"/>
    </row>
    <row r="13" spans="1:5" x14ac:dyDescent="0.3">
      <c r="A13" s="21" t="s">
        <v>62</v>
      </c>
      <c r="B13" s="22" t="s">
        <v>52</v>
      </c>
      <c r="C13" s="8">
        <v>2.2835228601999988</v>
      </c>
      <c r="D13" s="8">
        <v>-3.6330761735000001</v>
      </c>
      <c r="E13" s="38"/>
    </row>
    <row r="14" spans="1:5" x14ac:dyDescent="0.3">
      <c r="A14" s="5" t="s">
        <v>147</v>
      </c>
      <c r="B14" s="7" t="s">
        <v>32</v>
      </c>
      <c r="C14" s="6">
        <v>-6.076206</v>
      </c>
      <c r="D14" s="6">
        <v>6.5980569999999998</v>
      </c>
      <c r="E14" s="38"/>
    </row>
    <row r="15" spans="1:5" x14ac:dyDescent="0.3">
      <c r="A15" s="21" t="s">
        <v>75</v>
      </c>
      <c r="B15" s="22" t="s">
        <v>74</v>
      </c>
      <c r="C15" s="8">
        <v>-2.3482789999999998</v>
      </c>
      <c r="D15" s="8">
        <v>1.388973</v>
      </c>
      <c r="E15" s="38"/>
    </row>
    <row r="16" spans="1:5" x14ac:dyDescent="0.3">
      <c r="A16" s="5" t="s">
        <v>40</v>
      </c>
      <c r="B16" s="7" t="s">
        <v>38</v>
      </c>
      <c r="C16" s="6">
        <v>-13.677716</v>
      </c>
      <c r="D16" s="6">
        <v>5.2783899999999999</v>
      </c>
      <c r="E16" s="38"/>
    </row>
    <row r="17" spans="1:5" x14ac:dyDescent="0.3">
      <c r="A17" s="21" t="s">
        <v>249</v>
      </c>
      <c r="B17" s="22" t="s">
        <v>58</v>
      </c>
      <c r="C17" s="8">
        <v>-19.799647</v>
      </c>
      <c r="D17" s="8">
        <v>8.3605959999999993</v>
      </c>
      <c r="E17" s="38"/>
    </row>
    <row r="18" spans="1:5" x14ac:dyDescent="0.3">
      <c r="A18" s="5" t="s">
        <v>27</v>
      </c>
      <c r="B18" s="7" t="s">
        <v>22</v>
      </c>
      <c r="C18" s="6">
        <v>-29.1227774</v>
      </c>
      <c r="D18" s="6">
        <v>32.322914400000002</v>
      </c>
      <c r="E18" s="38"/>
    </row>
    <row r="19" spans="1:5" x14ac:dyDescent="0.3">
      <c r="A19" s="21" t="s">
        <v>34</v>
      </c>
      <c r="B19" s="22" t="s">
        <v>30</v>
      </c>
      <c r="C19" s="8">
        <v>3.5096539999999998</v>
      </c>
      <c r="D19" s="8">
        <v>-1.731457</v>
      </c>
      <c r="E19" s="38"/>
    </row>
    <row r="20" spans="1:5" x14ac:dyDescent="0.3">
      <c r="A20" s="5" t="s">
        <v>141</v>
      </c>
      <c r="B20" s="7" t="s">
        <v>247</v>
      </c>
      <c r="C20" s="6">
        <v>-9.0314789999999991</v>
      </c>
      <c r="D20" s="6">
        <v>0.94856300000000005</v>
      </c>
      <c r="E20" s="38"/>
    </row>
    <row r="21" spans="1:5" x14ac:dyDescent="0.3">
      <c r="A21" s="21" t="s">
        <v>45</v>
      </c>
      <c r="B21" s="22" t="s">
        <v>42</v>
      </c>
      <c r="C21" s="8">
        <v>-22.649509999999999</v>
      </c>
      <c r="D21" s="8">
        <v>14.939838</v>
      </c>
      <c r="E21" s="38"/>
    </row>
    <row r="22" spans="1:5" x14ac:dyDescent="0.3">
      <c r="A22" s="5" t="s">
        <v>33</v>
      </c>
      <c r="B22" s="7" t="s">
        <v>31</v>
      </c>
      <c r="C22" s="6">
        <v>2.615402</v>
      </c>
      <c r="D22" s="6">
        <v>-3.5715780000000001</v>
      </c>
      <c r="E22" s="38"/>
    </row>
    <row r="23" spans="1:5" x14ac:dyDescent="0.3">
      <c r="A23" s="21" t="s">
        <v>29</v>
      </c>
      <c r="B23" s="22" t="s">
        <v>24</v>
      </c>
      <c r="C23" s="8">
        <v>-11.201518999999999</v>
      </c>
      <c r="D23" s="8">
        <v>5.4509730000000003</v>
      </c>
      <c r="E23" s="38"/>
    </row>
    <row r="24" spans="1:5" x14ac:dyDescent="0.3">
      <c r="A24" s="5" t="s">
        <v>39</v>
      </c>
      <c r="B24" s="7" t="s">
        <v>37</v>
      </c>
      <c r="C24" s="6">
        <v>-22.344902999999999</v>
      </c>
      <c r="D24" s="6">
        <v>13.568579</v>
      </c>
      <c r="E24" s="38"/>
    </row>
    <row r="25" spans="1:5" x14ac:dyDescent="0.3">
      <c r="A25" s="21" t="s">
        <v>49</v>
      </c>
      <c r="B25" s="22" t="s">
        <v>47</v>
      </c>
      <c r="C25" s="8">
        <v>-25.934881099999998</v>
      </c>
      <c r="D25" s="8">
        <v>23.947608899999999</v>
      </c>
      <c r="E25" s="38"/>
    </row>
    <row r="26" spans="1:5" x14ac:dyDescent="0.3">
      <c r="A26" s="5" t="s">
        <v>60</v>
      </c>
      <c r="B26" s="7" t="s">
        <v>51</v>
      </c>
      <c r="C26" s="6">
        <v>-2.7520405000000001</v>
      </c>
      <c r="D26" s="6">
        <v>7.2134580000000001</v>
      </c>
      <c r="E26" s="38"/>
    </row>
    <row r="27" spans="1:5" x14ac:dyDescent="0.3">
      <c r="A27" s="21" t="s">
        <v>28</v>
      </c>
      <c r="B27" s="22" t="s">
        <v>23</v>
      </c>
      <c r="C27" s="8">
        <v>-24.345320999999998</v>
      </c>
      <c r="D27" s="8">
        <v>28.080169999999999</v>
      </c>
      <c r="E27" s="38"/>
    </row>
    <row r="28" spans="1:5" x14ac:dyDescent="0.3">
      <c r="A28" s="5" t="s">
        <v>65</v>
      </c>
      <c r="B28" s="7" t="s">
        <v>59</v>
      </c>
      <c r="C28" s="6">
        <v>-2.7683010000000001</v>
      </c>
      <c r="D28" s="6">
        <v>1.5304420000000001</v>
      </c>
      <c r="E28" s="38"/>
    </row>
    <row r="29" spans="1:5" x14ac:dyDescent="0.3">
      <c r="A29" s="21" t="s">
        <v>46</v>
      </c>
      <c r="B29" s="22" t="s">
        <v>43</v>
      </c>
      <c r="C29" s="8">
        <v>-9.0916680000000003</v>
      </c>
      <c r="D29" s="8">
        <v>7.4376699999999998</v>
      </c>
      <c r="E29" s="38"/>
    </row>
    <row r="30" spans="1:5" x14ac:dyDescent="0.3">
      <c r="A30" s="5" t="s">
        <v>44</v>
      </c>
      <c r="B30" s="7" t="s">
        <v>41</v>
      </c>
      <c r="C30" s="6">
        <v>-9.705031</v>
      </c>
      <c r="D30" s="6">
        <v>14.999421</v>
      </c>
      <c r="E30" s="38"/>
    </row>
    <row r="31" spans="1:5" ht="15" thickBot="1" x14ac:dyDescent="0.35">
      <c r="A31" s="21" t="s">
        <v>61</v>
      </c>
      <c r="B31" s="22" t="s">
        <v>53</v>
      </c>
      <c r="C31" s="8">
        <v>-2.4264459999999999</v>
      </c>
      <c r="D31" s="8">
        <v>3.8354879999999998</v>
      </c>
      <c r="E31" s="38"/>
    </row>
    <row r="32" spans="1:5" ht="21" customHeight="1" thickBot="1" x14ac:dyDescent="0.35">
      <c r="A32" s="88" t="s">
        <v>66</v>
      </c>
      <c r="B32" s="89"/>
      <c r="C32" s="58">
        <f>SUM(C2:C31)</f>
        <v>-365.93081805780002</v>
      </c>
      <c r="D32" s="59">
        <f>SUM(D2:D31)</f>
        <v>289.82438218010003</v>
      </c>
    </row>
    <row r="34" spans="1:5" x14ac:dyDescent="0.3">
      <c r="A34" s="11" t="s">
        <v>67</v>
      </c>
      <c r="B34" s="48"/>
      <c r="C34" s="48"/>
      <c r="D34" s="48"/>
      <c r="E34" s="48"/>
    </row>
    <row r="35" spans="1:5" x14ac:dyDescent="0.3">
      <c r="A35" s="11" t="s">
        <v>80</v>
      </c>
    </row>
    <row r="36" spans="1:5" x14ac:dyDescent="0.3">
      <c r="A36" s="11" t="s">
        <v>81</v>
      </c>
    </row>
    <row r="37" spans="1:5" x14ac:dyDescent="0.3">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4.4" x14ac:dyDescent="0.3"/>
  <cols>
    <col min="1" max="1" width="51.5546875" customWidth="1"/>
    <col min="2" max="2" width="8.5546875" customWidth="1"/>
    <col min="3" max="3" width="23" customWidth="1"/>
    <col min="4" max="4" width="24.44140625" customWidth="1"/>
    <col min="5" max="5" width="25" customWidth="1"/>
    <col min="6" max="6" width="31.5546875" bestFit="1" customWidth="1"/>
    <col min="7" max="7" width="14" customWidth="1"/>
    <col min="8" max="8" width="19.5546875" customWidth="1"/>
    <col min="9" max="9" width="27.44140625" customWidth="1"/>
    <col min="10" max="10" width="23.5546875" customWidth="1"/>
    <col min="11" max="11" width="20.5546875" customWidth="1"/>
    <col min="12" max="13" width="16.5546875"/>
  </cols>
  <sheetData>
    <row r="1" spans="1:17" ht="41.4" x14ac:dyDescent="0.3">
      <c r="A1" s="32" t="str">
        <f>CONCATENATE("100 Most Traded Stocks YTD - ",'Weekly Top 10'!$C$5)</f>
        <v>100 Most Traded Stocks YTD - Week of 28 October 2024</v>
      </c>
      <c r="B1" s="16" t="s">
        <v>1</v>
      </c>
      <c r="C1" s="47" t="s">
        <v>98</v>
      </c>
      <c r="D1" s="17" t="s">
        <v>97</v>
      </c>
      <c r="E1" s="17" t="s">
        <v>278</v>
      </c>
      <c r="F1" s="17" t="s">
        <v>99</v>
      </c>
      <c r="G1" s="52"/>
      <c r="H1" s="78"/>
      <c r="I1" s="78"/>
      <c r="J1" s="78"/>
      <c r="L1" s="78"/>
      <c r="M1" s="78"/>
    </row>
    <row r="2" spans="1:17" x14ac:dyDescent="0.3">
      <c r="A2" s="18" t="s">
        <v>26</v>
      </c>
      <c r="B2" s="19" t="s">
        <v>21</v>
      </c>
      <c r="C2" s="53">
        <v>158.425908733981</v>
      </c>
      <c r="D2" s="53">
        <v>-129.26351869999999</v>
      </c>
      <c r="E2" s="53">
        <v>-116.02067099999999</v>
      </c>
      <c r="F2" s="20" t="s">
        <v>13</v>
      </c>
      <c r="G2" s="52"/>
      <c r="O2" s="73"/>
      <c r="P2" s="73"/>
      <c r="Q2" s="73"/>
    </row>
    <row r="3" spans="1:17" x14ac:dyDescent="0.3">
      <c r="A3" s="21" t="s">
        <v>49</v>
      </c>
      <c r="B3" s="22" t="s">
        <v>47</v>
      </c>
      <c r="C3" s="54">
        <v>94.901023457763046</v>
      </c>
      <c r="D3" s="54">
        <v>735.14006749999999</v>
      </c>
      <c r="E3" s="54">
        <v>-25.934881100000002</v>
      </c>
      <c r="F3" s="8" t="s">
        <v>156</v>
      </c>
      <c r="G3" s="52"/>
      <c r="O3" s="73"/>
      <c r="P3" s="73"/>
      <c r="Q3" s="73"/>
    </row>
    <row r="4" spans="1:17" x14ac:dyDescent="0.3">
      <c r="A4" s="5" t="s">
        <v>28</v>
      </c>
      <c r="B4" s="7" t="s">
        <v>23</v>
      </c>
      <c r="C4" s="55">
        <v>83.223916591473923</v>
      </c>
      <c r="D4" s="55">
        <v>437.0658138</v>
      </c>
      <c r="E4" s="55">
        <v>-24.345320999999998</v>
      </c>
      <c r="F4" s="6" t="s">
        <v>13</v>
      </c>
      <c r="G4" s="52"/>
      <c r="O4" s="73"/>
      <c r="P4" s="73"/>
      <c r="Q4" s="73"/>
    </row>
    <row r="5" spans="1:17" x14ac:dyDescent="0.3">
      <c r="A5" s="21" t="s">
        <v>160</v>
      </c>
      <c r="B5" s="22" t="s">
        <v>22</v>
      </c>
      <c r="C5" s="54">
        <v>78.617893800127959</v>
      </c>
      <c r="D5" s="54">
        <v>248.3598887</v>
      </c>
      <c r="E5" s="54">
        <v>-29.122777399999997</v>
      </c>
      <c r="F5" s="8" t="s">
        <v>13</v>
      </c>
      <c r="G5" s="52"/>
      <c r="O5" s="73"/>
      <c r="P5" s="73"/>
      <c r="Q5" s="73"/>
    </row>
    <row r="6" spans="1:17" x14ac:dyDescent="0.3">
      <c r="A6" s="5" t="s">
        <v>279</v>
      </c>
      <c r="B6" s="7" t="s">
        <v>247</v>
      </c>
      <c r="C6" s="55">
        <v>58.667423346504002</v>
      </c>
      <c r="D6" s="55">
        <v>-137.29747800000001</v>
      </c>
      <c r="E6" s="55">
        <v>-9.0314789999999991</v>
      </c>
      <c r="F6" s="6" t="s">
        <v>14</v>
      </c>
      <c r="G6" s="52"/>
      <c r="O6" s="73"/>
      <c r="P6" s="73"/>
      <c r="Q6" s="73"/>
    </row>
    <row r="7" spans="1:17" x14ac:dyDescent="0.3">
      <c r="A7" s="21" t="s">
        <v>161</v>
      </c>
      <c r="B7" s="22" t="s">
        <v>56</v>
      </c>
      <c r="C7" s="54">
        <v>49.501700624559241</v>
      </c>
      <c r="D7" s="54">
        <v>-97.625422</v>
      </c>
      <c r="E7" s="54">
        <v>-9.1210240000000002</v>
      </c>
      <c r="F7" s="8" t="s">
        <v>17</v>
      </c>
      <c r="G7" s="52"/>
      <c r="O7" s="73"/>
      <c r="P7" s="73"/>
      <c r="Q7" s="73"/>
    </row>
    <row r="8" spans="1:17" x14ac:dyDescent="0.3">
      <c r="A8" s="5" t="s">
        <v>163</v>
      </c>
      <c r="B8" s="7" t="s">
        <v>53</v>
      </c>
      <c r="C8" s="55">
        <v>46.870438571364929</v>
      </c>
      <c r="D8" s="55">
        <v>21.661852800000002</v>
      </c>
      <c r="E8" s="55">
        <v>-2.4264459999999999</v>
      </c>
      <c r="F8" s="6" t="s">
        <v>14</v>
      </c>
      <c r="G8" s="52"/>
      <c r="O8" s="73"/>
      <c r="P8" s="73"/>
      <c r="Q8" s="73"/>
    </row>
    <row r="9" spans="1:17" x14ac:dyDescent="0.3">
      <c r="A9" s="21" t="s">
        <v>33</v>
      </c>
      <c r="B9" s="22" t="s">
        <v>31</v>
      </c>
      <c r="C9" s="54">
        <v>37.183293238151663</v>
      </c>
      <c r="D9" s="54">
        <v>-532.50861099999997</v>
      </c>
      <c r="E9" s="54">
        <v>2.615402</v>
      </c>
      <c r="F9" s="8" t="s">
        <v>14</v>
      </c>
      <c r="G9" s="52"/>
      <c r="O9" s="73"/>
      <c r="P9" s="73"/>
      <c r="Q9" s="73"/>
    </row>
    <row r="10" spans="1:17" x14ac:dyDescent="0.3">
      <c r="A10" s="5" t="s">
        <v>162</v>
      </c>
      <c r="B10" s="7" t="s">
        <v>25</v>
      </c>
      <c r="C10" s="55">
        <v>34.428816510473936</v>
      </c>
      <c r="D10" s="55">
        <v>-220.28266249999999</v>
      </c>
      <c r="E10" s="55">
        <v>-20.078658000000001</v>
      </c>
      <c r="F10" s="6" t="s">
        <v>17</v>
      </c>
      <c r="G10" s="52"/>
      <c r="O10" s="73"/>
      <c r="P10" s="73"/>
      <c r="Q10" s="73"/>
    </row>
    <row r="11" spans="1:17" x14ac:dyDescent="0.3">
      <c r="A11" s="21" t="s">
        <v>165</v>
      </c>
      <c r="B11" s="22" t="s">
        <v>38</v>
      </c>
      <c r="C11" s="54">
        <v>32.891168522559241</v>
      </c>
      <c r="D11" s="54">
        <v>-245.17574500000001</v>
      </c>
      <c r="E11" s="54">
        <v>-13.677716</v>
      </c>
      <c r="F11" s="8" t="s">
        <v>17</v>
      </c>
      <c r="G11" s="52"/>
      <c r="O11" s="73"/>
      <c r="P11" s="73"/>
      <c r="Q11" s="73"/>
    </row>
    <row r="12" spans="1:17" x14ac:dyDescent="0.3">
      <c r="A12" s="5" t="s">
        <v>164</v>
      </c>
      <c r="B12" s="7" t="s">
        <v>83</v>
      </c>
      <c r="C12" s="55">
        <v>27.533660304900472</v>
      </c>
      <c r="D12" s="55">
        <v>-123.462778</v>
      </c>
      <c r="E12" s="55">
        <v>-14.407487</v>
      </c>
      <c r="F12" s="6" t="s">
        <v>13</v>
      </c>
      <c r="G12" s="52"/>
      <c r="O12" s="73"/>
      <c r="P12" s="73"/>
      <c r="Q12" s="73"/>
    </row>
    <row r="13" spans="1:17" x14ac:dyDescent="0.3">
      <c r="A13" s="21" t="s">
        <v>166</v>
      </c>
      <c r="B13" s="22" t="s">
        <v>35</v>
      </c>
      <c r="C13" s="54">
        <v>25.809184101052132</v>
      </c>
      <c r="D13" s="54">
        <v>-160.97368299999999</v>
      </c>
      <c r="E13" s="54">
        <v>8.6994884999999993</v>
      </c>
      <c r="F13" s="8" t="s">
        <v>10</v>
      </c>
      <c r="G13" s="52"/>
      <c r="O13" s="73"/>
      <c r="P13" s="73"/>
      <c r="Q13" s="73"/>
    </row>
    <row r="14" spans="1:17" x14ac:dyDescent="0.3">
      <c r="A14" s="5" t="s">
        <v>147</v>
      </c>
      <c r="B14" s="7" t="s">
        <v>32</v>
      </c>
      <c r="C14" s="55">
        <v>24.61291479133175</v>
      </c>
      <c r="D14" s="55">
        <v>-39.763213999999998</v>
      </c>
      <c r="E14" s="55">
        <v>-6.076206</v>
      </c>
      <c r="F14" s="6" t="s">
        <v>14</v>
      </c>
      <c r="G14" s="52"/>
      <c r="O14" s="73"/>
      <c r="P14" s="73"/>
      <c r="Q14" s="73"/>
    </row>
    <row r="15" spans="1:17" x14ac:dyDescent="0.3">
      <c r="A15" s="21" t="s">
        <v>172</v>
      </c>
      <c r="B15" s="22" t="s">
        <v>58</v>
      </c>
      <c r="C15" s="54">
        <v>23.16438899990521</v>
      </c>
      <c r="D15" s="54">
        <v>-119.75745999999999</v>
      </c>
      <c r="E15" s="54">
        <v>-19.799647</v>
      </c>
      <c r="F15" s="8" t="s">
        <v>17</v>
      </c>
      <c r="G15" s="52"/>
      <c r="O15" s="73"/>
      <c r="P15" s="73"/>
      <c r="Q15" s="73"/>
    </row>
    <row r="16" spans="1:17" x14ac:dyDescent="0.3">
      <c r="A16" s="5" t="s">
        <v>29</v>
      </c>
      <c r="B16" s="7" t="s">
        <v>24</v>
      </c>
      <c r="C16" s="55">
        <v>21.071746640568719</v>
      </c>
      <c r="D16" s="55">
        <v>243.71009799999999</v>
      </c>
      <c r="E16" s="55">
        <v>-11.201518999999999</v>
      </c>
      <c r="F16" s="6" t="s">
        <v>13</v>
      </c>
      <c r="G16" s="52"/>
      <c r="O16" s="73"/>
      <c r="P16" s="73"/>
      <c r="Q16" s="73"/>
    </row>
    <row r="17" spans="1:17" x14ac:dyDescent="0.3">
      <c r="A17" s="21" t="s">
        <v>39</v>
      </c>
      <c r="B17" s="22" t="s">
        <v>37</v>
      </c>
      <c r="C17" s="54">
        <v>18.710739548966828</v>
      </c>
      <c r="D17" s="54">
        <v>186.961523</v>
      </c>
      <c r="E17" s="54">
        <v>-22.344902999999999</v>
      </c>
      <c r="F17" s="8" t="s">
        <v>14</v>
      </c>
      <c r="G17" s="52"/>
      <c r="O17" s="73"/>
      <c r="P17" s="73"/>
      <c r="Q17" s="73"/>
    </row>
    <row r="18" spans="1:17" x14ac:dyDescent="0.3">
      <c r="A18" s="5" t="s">
        <v>174</v>
      </c>
      <c r="B18" s="7" t="s">
        <v>48</v>
      </c>
      <c r="C18" s="55">
        <v>18.070863697203787</v>
      </c>
      <c r="D18" s="55">
        <v>-24.121251999999998</v>
      </c>
      <c r="E18" s="55">
        <v>5.685765</v>
      </c>
      <c r="F18" s="6" t="s">
        <v>10</v>
      </c>
      <c r="G18" s="52"/>
      <c r="O18" s="73"/>
      <c r="P18" s="73"/>
      <c r="Q18" s="73"/>
    </row>
    <row r="19" spans="1:17" x14ac:dyDescent="0.3">
      <c r="A19" s="21" t="s">
        <v>170</v>
      </c>
      <c r="B19" s="22" t="s">
        <v>42</v>
      </c>
      <c r="C19" s="54">
        <v>17.535651815876779</v>
      </c>
      <c r="D19" s="54">
        <v>29.1698822</v>
      </c>
      <c r="E19" s="54">
        <v>-22.649509999999999</v>
      </c>
      <c r="F19" s="8" t="s">
        <v>19</v>
      </c>
      <c r="G19" s="52"/>
      <c r="O19" s="73"/>
      <c r="P19" s="73"/>
      <c r="Q19" s="73"/>
    </row>
    <row r="20" spans="1:17" x14ac:dyDescent="0.3">
      <c r="A20" s="5" t="s">
        <v>169</v>
      </c>
      <c r="B20" s="7" t="s">
        <v>41</v>
      </c>
      <c r="C20" s="55">
        <v>16.746247315170621</v>
      </c>
      <c r="D20" s="55">
        <v>-82.399153999999996</v>
      </c>
      <c r="E20" s="55">
        <v>-9.705031</v>
      </c>
      <c r="F20" s="6" t="s">
        <v>11</v>
      </c>
      <c r="G20" s="52"/>
      <c r="O20" s="73"/>
      <c r="P20" s="73"/>
      <c r="Q20" s="73"/>
    </row>
    <row r="21" spans="1:17" x14ac:dyDescent="0.3">
      <c r="A21" s="21" t="s">
        <v>173</v>
      </c>
      <c r="B21" s="22" t="s">
        <v>51</v>
      </c>
      <c r="C21" s="54">
        <v>16.291107221800949</v>
      </c>
      <c r="D21" s="54">
        <v>65.415723500000013</v>
      </c>
      <c r="E21" s="54">
        <v>-2.7520405000000001</v>
      </c>
      <c r="F21" s="8" t="s">
        <v>11</v>
      </c>
      <c r="G21" s="52"/>
      <c r="O21" s="73"/>
      <c r="P21" s="73"/>
      <c r="Q21" s="73"/>
    </row>
    <row r="22" spans="1:17" x14ac:dyDescent="0.3">
      <c r="A22" s="5" t="s">
        <v>176</v>
      </c>
      <c r="B22" s="7" t="s">
        <v>54</v>
      </c>
      <c r="C22" s="55">
        <v>15.91484568412322</v>
      </c>
      <c r="D22" s="55">
        <v>-245.1045996</v>
      </c>
      <c r="E22" s="55">
        <v>-5.0852170000000001</v>
      </c>
      <c r="F22" s="6" t="s">
        <v>16</v>
      </c>
      <c r="G22" s="52"/>
      <c r="O22" s="73"/>
      <c r="P22" s="73"/>
      <c r="Q22" s="73"/>
    </row>
    <row r="23" spans="1:17" x14ac:dyDescent="0.3">
      <c r="A23" s="21" t="s">
        <v>34</v>
      </c>
      <c r="B23" s="22" t="s">
        <v>30</v>
      </c>
      <c r="C23" s="54">
        <v>15.898822727488151</v>
      </c>
      <c r="D23" s="54">
        <v>203.14712399999999</v>
      </c>
      <c r="E23" s="54">
        <v>3.5096539999999998</v>
      </c>
      <c r="F23" s="8" t="s">
        <v>14</v>
      </c>
      <c r="G23" s="52"/>
      <c r="O23" s="73"/>
      <c r="P23" s="73"/>
      <c r="Q23" s="73"/>
    </row>
    <row r="24" spans="1:17" x14ac:dyDescent="0.3">
      <c r="A24" s="5" t="s">
        <v>168</v>
      </c>
      <c r="B24" s="7" t="s">
        <v>52</v>
      </c>
      <c r="C24" s="55">
        <v>14.32220972794236</v>
      </c>
      <c r="D24" s="55">
        <v>-10.215576255149999</v>
      </c>
      <c r="E24" s="55">
        <v>2.2835228602000002</v>
      </c>
      <c r="F24" s="6" t="s">
        <v>14</v>
      </c>
      <c r="G24" s="52"/>
      <c r="O24" s="73"/>
      <c r="P24" s="73"/>
      <c r="Q24" s="73"/>
    </row>
    <row r="25" spans="1:17" x14ac:dyDescent="0.3">
      <c r="A25" s="21" t="s">
        <v>171</v>
      </c>
      <c r="B25" s="22" t="s">
        <v>74</v>
      </c>
      <c r="C25" s="54">
        <v>14.02934758182464</v>
      </c>
      <c r="D25" s="54">
        <v>-91.506574999999998</v>
      </c>
      <c r="E25" s="54">
        <v>-2.3482789999999998</v>
      </c>
      <c r="F25" s="8" t="s">
        <v>17</v>
      </c>
      <c r="G25" s="52"/>
      <c r="O25" s="73"/>
      <c r="P25" s="73"/>
      <c r="Q25" s="73"/>
    </row>
    <row r="26" spans="1:17" x14ac:dyDescent="0.3">
      <c r="A26" s="5" t="s">
        <v>180</v>
      </c>
      <c r="B26" s="7" t="s">
        <v>78</v>
      </c>
      <c r="C26" s="55">
        <v>13.468210209289101</v>
      </c>
      <c r="D26" s="55">
        <v>-84.964470700000007</v>
      </c>
      <c r="E26" s="55">
        <v>-8.0369469999999996</v>
      </c>
      <c r="F26" s="6" t="s">
        <v>17</v>
      </c>
      <c r="G26" s="52"/>
      <c r="O26" s="73"/>
      <c r="P26" s="73"/>
      <c r="Q26" s="73"/>
    </row>
    <row r="27" spans="1:17" x14ac:dyDescent="0.3">
      <c r="A27" s="21" t="s">
        <v>181</v>
      </c>
      <c r="B27" s="22" t="s">
        <v>55</v>
      </c>
      <c r="C27" s="54">
        <v>11.76399884395766</v>
      </c>
      <c r="D27" s="54">
        <v>36.900144807100013</v>
      </c>
      <c r="E27" s="54">
        <v>12.463925719499999</v>
      </c>
      <c r="F27" s="8" t="s">
        <v>16</v>
      </c>
      <c r="G27" s="52"/>
      <c r="O27" s="73"/>
      <c r="P27" s="73"/>
      <c r="Q27" s="73"/>
    </row>
    <row r="28" spans="1:17" x14ac:dyDescent="0.3">
      <c r="A28" s="5" t="s">
        <v>167</v>
      </c>
      <c r="B28" s="7" t="s">
        <v>76</v>
      </c>
      <c r="C28" s="55">
        <v>11.530727849099529</v>
      </c>
      <c r="D28" s="55">
        <v>19.892101</v>
      </c>
      <c r="E28" s="55">
        <v>0.26296700000000001</v>
      </c>
      <c r="F28" s="6" t="s">
        <v>17</v>
      </c>
      <c r="G28" s="52"/>
      <c r="O28" s="73"/>
      <c r="P28" s="73"/>
      <c r="Q28" s="73"/>
    </row>
    <row r="29" spans="1:17" x14ac:dyDescent="0.3">
      <c r="A29" s="21" t="s">
        <v>175</v>
      </c>
      <c r="B29" s="22" t="s">
        <v>59</v>
      </c>
      <c r="C29" s="54">
        <v>10.38278988654028</v>
      </c>
      <c r="D29" s="54">
        <v>-124.031622</v>
      </c>
      <c r="E29" s="54">
        <v>-2.7683010000000001</v>
      </c>
      <c r="F29" s="8" t="s">
        <v>16</v>
      </c>
      <c r="G29" s="52"/>
      <c r="O29" s="73"/>
      <c r="P29" s="73"/>
      <c r="Q29" s="73"/>
    </row>
    <row r="30" spans="1:17" x14ac:dyDescent="0.3">
      <c r="A30" s="5" t="s">
        <v>182</v>
      </c>
      <c r="B30" s="7" t="s">
        <v>88</v>
      </c>
      <c r="C30" s="55">
        <v>10.122536728909951</v>
      </c>
      <c r="D30" s="55">
        <v>50.557313999999998</v>
      </c>
      <c r="E30" s="55">
        <v>-12.409863</v>
      </c>
      <c r="F30" s="6" t="s">
        <v>17</v>
      </c>
      <c r="G30" s="52"/>
      <c r="O30" s="73"/>
      <c r="P30" s="73"/>
      <c r="Q30" s="73"/>
    </row>
    <row r="31" spans="1:17" x14ac:dyDescent="0.3">
      <c r="A31" s="21" t="s">
        <v>177</v>
      </c>
      <c r="B31" s="22" t="s">
        <v>43</v>
      </c>
      <c r="C31" s="54">
        <v>9.8269647315924171</v>
      </c>
      <c r="D31" s="54">
        <v>60.434556180000001</v>
      </c>
      <c r="E31" s="54">
        <v>-9.0916680000000003</v>
      </c>
      <c r="F31" s="8" t="s">
        <v>157</v>
      </c>
      <c r="G31" s="52"/>
      <c r="O31" s="73"/>
      <c r="P31" s="73"/>
      <c r="Q31" s="73"/>
    </row>
    <row r="32" spans="1:17" x14ac:dyDescent="0.3">
      <c r="A32" s="5" t="s">
        <v>138</v>
      </c>
      <c r="B32" s="7" t="s">
        <v>104</v>
      </c>
      <c r="C32" s="55">
        <v>8.6661548516587672</v>
      </c>
      <c r="D32" s="55">
        <v>104.929857</v>
      </c>
      <c r="E32" s="55">
        <v>1.04949</v>
      </c>
      <c r="F32" s="6" t="s">
        <v>14</v>
      </c>
      <c r="G32" s="52"/>
      <c r="O32" s="73"/>
      <c r="P32" s="73"/>
      <c r="Q32" s="73"/>
    </row>
    <row r="33" spans="1:17" x14ac:dyDescent="0.3">
      <c r="A33" s="21" t="s">
        <v>179</v>
      </c>
      <c r="B33" s="22" t="s">
        <v>107</v>
      </c>
      <c r="C33" s="54">
        <v>7.9825883625592411</v>
      </c>
      <c r="D33" s="54">
        <v>-47.834506500000003</v>
      </c>
      <c r="E33" s="54">
        <v>-16.087229499999999</v>
      </c>
      <c r="F33" s="8" t="s">
        <v>17</v>
      </c>
      <c r="G33" s="52"/>
      <c r="O33" s="73"/>
      <c r="P33" s="73"/>
      <c r="Q33" s="73"/>
    </row>
    <row r="34" spans="1:17" x14ac:dyDescent="0.3">
      <c r="A34" s="5" t="s">
        <v>178</v>
      </c>
      <c r="B34" s="7" t="s">
        <v>100</v>
      </c>
      <c r="C34" s="55">
        <v>6.707280743563981</v>
      </c>
      <c r="D34" s="55">
        <v>-17.3170404</v>
      </c>
      <c r="E34" s="55">
        <v>-2.0729090000000001</v>
      </c>
      <c r="F34" s="6" t="s">
        <v>17</v>
      </c>
      <c r="G34" s="52"/>
      <c r="O34" s="73"/>
      <c r="P34" s="73"/>
      <c r="Q34" s="73"/>
    </row>
    <row r="35" spans="1:17" x14ac:dyDescent="0.3">
      <c r="A35" s="21" t="s">
        <v>185</v>
      </c>
      <c r="B35" s="22" t="s">
        <v>108</v>
      </c>
      <c r="C35" s="54">
        <v>5.8960692213270143</v>
      </c>
      <c r="D35" s="54">
        <v>-12.053412</v>
      </c>
      <c r="E35" s="54">
        <v>1.4907090000000001</v>
      </c>
      <c r="F35" s="8" t="s">
        <v>157</v>
      </c>
      <c r="G35" s="52"/>
      <c r="O35" s="73"/>
      <c r="P35" s="73"/>
      <c r="Q35" s="73"/>
    </row>
    <row r="36" spans="1:17" x14ac:dyDescent="0.3">
      <c r="A36" s="5" t="s">
        <v>208</v>
      </c>
      <c r="B36" s="7" t="s">
        <v>127</v>
      </c>
      <c r="C36" s="55">
        <v>5.3685797609952601</v>
      </c>
      <c r="D36" s="55">
        <v>59.871546000000002</v>
      </c>
      <c r="E36" s="55">
        <v>18.773250999999998</v>
      </c>
      <c r="F36" s="6" t="s">
        <v>158</v>
      </c>
      <c r="G36" s="52"/>
      <c r="O36" s="73"/>
      <c r="P36" s="73"/>
      <c r="Q36" s="73"/>
    </row>
    <row r="37" spans="1:17" x14ac:dyDescent="0.3">
      <c r="A37" s="21" t="s">
        <v>184</v>
      </c>
      <c r="B37" s="22" t="s">
        <v>91</v>
      </c>
      <c r="C37" s="54">
        <v>5.3539200785545029</v>
      </c>
      <c r="D37" s="54">
        <v>-81.419244750000004</v>
      </c>
      <c r="E37" s="54">
        <v>-2.21270225</v>
      </c>
      <c r="F37" s="8" t="s">
        <v>17</v>
      </c>
      <c r="G37" s="52"/>
      <c r="O37" s="73"/>
      <c r="P37" s="73"/>
      <c r="Q37" s="73"/>
    </row>
    <row r="38" spans="1:17" x14ac:dyDescent="0.3">
      <c r="A38" s="5" t="s">
        <v>186</v>
      </c>
      <c r="B38" s="7" t="s">
        <v>248</v>
      </c>
      <c r="C38" s="55">
        <v>4.9716243895734609</v>
      </c>
      <c r="D38" s="55">
        <v>-54.559666</v>
      </c>
      <c r="E38" s="55">
        <v>-2.9109430000000001</v>
      </c>
      <c r="F38" s="6" t="s">
        <v>157</v>
      </c>
      <c r="G38" s="52"/>
      <c r="O38" s="73"/>
      <c r="P38" s="73"/>
      <c r="Q38" s="73"/>
    </row>
    <row r="39" spans="1:17" x14ac:dyDescent="0.3">
      <c r="A39" s="21" t="s">
        <v>183</v>
      </c>
      <c r="B39" s="22" t="s">
        <v>89</v>
      </c>
      <c r="C39" s="54">
        <v>4.927884390528436</v>
      </c>
      <c r="D39" s="54">
        <v>-102.90122722400001</v>
      </c>
      <c r="E39" s="54">
        <v>-0.92852599999999996</v>
      </c>
      <c r="F39" s="8" t="s">
        <v>157</v>
      </c>
      <c r="G39" s="52"/>
      <c r="O39" s="73"/>
      <c r="P39" s="73"/>
      <c r="Q39" s="73"/>
    </row>
    <row r="40" spans="1:17" x14ac:dyDescent="0.3">
      <c r="A40" s="5" t="s">
        <v>189</v>
      </c>
      <c r="B40" s="7" t="s">
        <v>122</v>
      </c>
      <c r="C40" s="55">
        <v>4.0350047177725124</v>
      </c>
      <c r="D40" s="55">
        <v>38.281486999999998</v>
      </c>
      <c r="E40" s="55">
        <v>-0.96622600000000003</v>
      </c>
      <c r="F40" s="6" t="s">
        <v>157</v>
      </c>
      <c r="G40" s="52"/>
      <c r="O40" s="73"/>
      <c r="P40" s="73"/>
      <c r="Q40" s="73"/>
    </row>
    <row r="41" spans="1:17" x14ac:dyDescent="0.3">
      <c r="A41" s="21" t="s">
        <v>192</v>
      </c>
      <c r="B41" s="22" t="s">
        <v>114</v>
      </c>
      <c r="C41" s="54">
        <v>3.562948376966824</v>
      </c>
      <c r="D41" s="54">
        <v>-19.842688300000002</v>
      </c>
      <c r="E41" s="54">
        <v>-2.4351885000000002</v>
      </c>
      <c r="F41" s="8" t="s">
        <v>156</v>
      </c>
      <c r="G41" s="52"/>
      <c r="O41" s="73"/>
      <c r="P41" s="73"/>
      <c r="Q41" s="73"/>
    </row>
    <row r="42" spans="1:17" x14ac:dyDescent="0.3">
      <c r="A42" s="5" t="s">
        <v>203</v>
      </c>
      <c r="B42" s="7" t="s">
        <v>106</v>
      </c>
      <c r="C42" s="55">
        <v>3.5303907584834122</v>
      </c>
      <c r="D42" s="55">
        <v>-45.056629000000001</v>
      </c>
      <c r="E42" s="55">
        <v>0.56226600000000004</v>
      </c>
      <c r="F42" s="6" t="s">
        <v>11</v>
      </c>
      <c r="G42" s="52"/>
      <c r="O42" s="73"/>
      <c r="P42" s="73"/>
      <c r="Q42" s="73"/>
    </row>
    <row r="43" spans="1:17" x14ac:dyDescent="0.3">
      <c r="A43" s="21" t="s">
        <v>190</v>
      </c>
      <c r="B43" s="22" t="s">
        <v>109</v>
      </c>
      <c r="C43" s="54">
        <v>3.392370775829384</v>
      </c>
      <c r="D43" s="54">
        <v>-19.874866999999998</v>
      </c>
      <c r="E43" s="54">
        <v>-0.19782649999999999</v>
      </c>
      <c r="F43" s="8" t="s">
        <v>157</v>
      </c>
      <c r="G43" s="52"/>
      <c r="O43" s="73"/>
      <c r="P43" s="73"/>
      <c r="Q43" s="73"/>
    </row>
    <row r="44" spans="1:17" x14ac:dyDescent="0.3">
      <c r="A44" s="5" t="s">
        <v>191</v>
      </c>
      <c r="B44" s="7" t="s">
        <v>101</v>
      </c>
      <c r="C44" s="55">
        <v>3.2971311983886258</v>
      </c>
      <c r="D44" s="55">
        <v>-16.3644085</v>
      </c>
      <c r="E44" s="55">
        <v>-3.4940544999999998</v>
      </c>
      <c r="F44" s="6" t="s">
        <v>17</v>
      </c>
      <c r="G44" s="52"/>
      <c r="O44" s="73"/>
      <c r="P44" s="73"/>
      <c r="Q44" s="73"/>
    </row>
    <row r="45" spans="1:17" x14ac:dyDescent="0.3">
      <c r="A45" s="21" t="s">
        <v>202</v>
      </c>
      <c r="B45" s="22" t="s">
        <v>102</v>
      </c>
      <c r="C45" s="54">
        <v>2.9604560159715643</v>
      </c>
      <c r="D45" s="54">
        <v>-38.072419100000005</v>
      </c>
      <c r="E45" s="54">
        <v>-3.4237730000000002</v>
      </c>
      <c r="F45" s="8" t="s">
        <v>15</v>
      </c>
      <c r="G45" s="52"/>
      <c r="O45" s="73"/>
      <c r="P45" s="73"/>
      <c r="Q45" s="73"/>
    </row>
    <row r="46" spans="1:17" x14ac:dyDescent="0.3">
      <c r="A46" s="5" t="s">
        <v>196</v>
      </c>
      <c r="B46" s="7" t="s">
        <v>105</v>
      </c>
      <c r="C46" s="55">
        <v>2.8635475963507107</v>
      </c>
      <c r="D46" s="55">
        <v>-22.894849570000002</v>
      </c>
      <c r="E46" s="55">
        <v>0.20745199999999991</v>
      </c>
      <c r="F46" s="6" t="s">
        <v>17</v>
      </c>
      <c r="G46" s="52"/>
      <c r="O46" s="73"/>
      <c r="P46" s="73"/>
      <c r="Q46" s="73"/>
    </row>
    <row r="47" spans="1:17" x14ac:dyDescent="0.3">
      <c r="A47" s="21" t="s">
        <v>212</v>
      </c>
      <c r="B47" s="22" t="s">
        <v>129</v>
      </c>
      <c r="C47" s="54">
        <v>2.6297744763981039</v>
      </c>
      <c r="D47" s="54">
        <v>7.3180620000000003</v>
      </c>
      <c r="E47" s="54">
        <v>1.7125330000000001</v>
      </c>
      <c r="F47" s="8" t="s">
        <v>159</v>
      </c>
      <c r="G47" s="52"/>
      <c r="O47" s="73"/>
      <c r="P47" s="73"/>
      <c r="Q47" s="73"/>
    </row>
    <row r="48" spans="1:17" x14ac:dyDescent="0.3">
      <c r="A48" s="5" t="s">
        <v>193</v>
      </c>
      <c r="B48" s="7" t="s">
        <v>95</v>
      </c>
      <c r="C48" s="55">
        <v>2.626512519241706</v>
      </c>
      <c r="D48" s="55">
        <v>-53.423208000000002</v>
      </c>
      <c r="E48" s="55">
        <v>-1.6014E-2</v>
      </c>
      <c r="F48" s="6" t="s">
        <v>17</v>
      </c>
      <c r="G48" s="52"/>
      <c r="O48" s="73"/>
      <c r="P48" s="73"/>
      <c r="Q48" s="73"/>
    </row>
    <row r="49" spans="1:17" x14ac:dyDescent="0.3">
      <c r="A49" s="21" t="s">
        <v>188</v>
      </c>
      <c r="B49" s="22" t="s">
        <v>94</v>
      </c>
      <c r="C49" s="54">
        <v>2.59305201421801</v>
      </c>
      <c r="D49" s="54">
        <v>7.3418514999999998</v>
      </c>
      <c r="E49" s="54">
        <v>-0.1190775</v>
      </c>
      <c r="F49" s="8" t="s">
        <v>14</v>
      </c>
      <c r="G49" s="52"/>
      <c r="O49" s="73"/>
      <c r="P49" s="73"/>
      <c r="Q49" s="73"/>
    </row>
    <row r="50" spans="1:17" x14ac:dyDescent="0.3">
      <c r="A50" s="5" t="s">
        <v>200</v>
      </c>
      <c r="B50" s="7" t="s">
        <v>120</v>
      </c>
      <c r="C50" s="55">
        <v>2.499884148341232</v>
      </c>
      <c r="D50" s="55">
        <v>-36.429783</v>
      </c>
      <c r="E50" s="55">
        <v>-1.0790029999999999</v>
      </c>
      <c r="F50" s="6" t="s">
        <v>17</v>
      </c>
      <c r="G50" s="52"/>
      <c r="O50" s="73"/>
      <c r="P50" s="73"/>
      <c r="Q50" s="73"/>
    </row>
    <row r="51" spans="1:17" x14ac:dyDescent="0.3">
      <c r="A51" s="21" t="s">
        <v>201</v>
      </c>
      <c r="B51" s="22" t="s">
        <v>57</v>
      </c>
      <c r="C51" s="54">
        <v>2.465055943179526</v>
      </c>
      <c r="D51" s="54">
        <v>-8.3082106605999986</v>
      </c>
      <c r="E51" s="54">
        <v>0.92438236250000005</v>
      </c>
      <c r="F51" s="8" t="s">
        <v>11</v>
      </c>
      <c r="G51" s="52"/>
      <c r="O51" s="73"/>
      <c r="P51" s="73"/>
      <c r="Q51" s="73"/>
    </row>
    <row r="52" spans="1:17" x14ac:dyDescent="0.3">
      <c r="A52" s="5" t="s">
        <v>204</v>
      </c>
      <c r="B52" s="7" t="s">
        <v>117</v>
      </c>
      <c r="C52" s="55">
        <v>2.465041621319811</v>
      </c>
      <c r="D52" s="55">
        <v>-2.0814901299999971</v>
      </c>
      <c r="E52" s="55">
        <v>-0.51607110760000052</v>
      </c>
      <c r="F52" s="6" t="s">
        <v>17</v>
      </c>
      <c r="G52" s="52"/>
      <c r="O52" s="73"/>
      <c r="P52" s="73"/>
      <c r="Q52" s="73"/>
    </row>
    <row r="53" spans="1:17" x14ac:dyDescent="0.3">
      <c r="A53" s="21" t="s">
        <v>195</v>
      </c>
      <c r="B53" s="22" t="s">
        <v>116</v>
      </c>
      <c r="C53" s="54">
        <v>2.4467762762701417</v>
      </c>
      <c r="D53" s="54">
        <v>-7.2242569999999997</v>
      </c>
      <c r="E53" s="54">
        <v>-1.208488</v>
      </c>
      <c r="F53" s="8" t="s">
        <v>17</v>
      </c>
      <c r="G53" s="52"/>
      <c r="O53" s="73"/>
      <c r="P53" s="73"/>
      <c r="Q53" s="73"/>
    </row>
    <row r="54" spans="1:17" x14ac:dyDescent="0.3">
      <c r="A54" s="5" t="s">
        <v>223</v>
      </c>
      <c r="B54" s="7" t="s">
        <v>132</v>
      </c>
      <c r="C54" s="55">
        <v>2.3946985606635067</v>
      </c>
      <c r="D54" s="55">
        <v>9.9403690000000005</v>
      </c>
      <c r="E54" s="55">
        <v>-0.25308049999999999</v>
      </c>
      <c r="F54" s="6" t="s">
        <v>14</v>
      </c>
      <c r="G54" s="52"/>
      <c r="O54" s="73"/>
      <c r="P54" s="73"/>
      <c r="Q54" s="73"/>
    </row>
    <row r="55" spans="1:17" x14ac:dyDescent="0.3">
      <c r="A55" s="21" t="s">
        <v>187</v>
      </c>
      <c r="B55" s="22" t="s">
        <v>119</v>
      </c>
      <c r="C55" s="54">
        <v>2.3651809810426538</v>
      </c>
      <c r="D55" s="54">
        <v>0.51978150000000034</v>
      </c>
      <c r="E55" s="54">
        <v>-0.49123050000000001</v>
      </c>
      <c r="F55" s="8" t="s">
        <v>158</v>
      </c>
      <c r="G55" s="52"/>
      <c r="O55" s="73"/>
      <c r="P55" s="73"/>
      <c r="Q55" s="73"/>
    </row>
    <row r="56" spans="1:17" x14ac:dyDescent="0.3">
      <c r="A56" s="5" t="s">
        <v>205</v>
      </c>
      <c r="B56" s="7" t="s">
        <v>90</v>
      </c>
      <c r="C56" s="55">
        <v>2.3576080511848341</v>
      </c>
      <c r="D56" s="55">
        <v>-26.363676000000002</v>
      </c>
      <c r="E56" s="55">
        <v>3.5263000000000003E-2</v>
      </c>
      <c r="F56" s="6" t="s">
        <v>11</v>
      </c>
      <c r="G56" s="52"/>
      <c r="O56" s="73"/>
      <c r="P56" s="73"/>
      <c r="Q56" s="73"/>
    </row>
    <row r="57" spans="1:17" x14ac:dyDescent="0.3">
      <c r="A57" s="21" t="s">
        <v>207</v>
      </c>
      <c r="B57" s="22" t="s">
        <v>110</v>
      </c>
      <c r="C57" s="54">
        <v>2.3526595839810431</v>
      </c>
      <c r="D57" s="54">
        <v>30.230803000000002</v>
      </c>
      <c r="E57" s="54">
        <v>-0.37347550000000002</v>
      </c>
      <c r="F57" s="8" t="s">
        <v>13</v>
      </c>
      <c r="G57" s="52"/>
      <c r="O57" s="73"/>
      <c r="P57" s="73"/>
      <c r="Q57" s="73"/>
    </row>
    <row r="58" spans="1:17" x14ac:dyDescent="0.3">
      <c r="A58" s="5" t="s">
        <v>213</v>
      </c>
      <c r="B58" s="7" t="s">
        <v>131</v>
      </c>
      <c r="C58" s="55">
        <v>2.346945626018957</v>
      </c>
      <c r="D58" s="55">
        <v>-9.0816695000000003</v>
      </c>
      <c r="E58" s="55">
        <v>4.0056159999999998</v>
      </c>
      <c r="F58" s="6" t="s">
        <v>16</v>
      </c>
      <c r="G58" s="52"/>
      <c r="O58" s="73"/>
      <c r="P58" s="73"/>
      <c r="Q58" s="73"/>
    </row>
    <row r="59" spans="1:17" x14ac:dyDescent="0.3">
      <c r="A59" s="21" t="s">
        <v>238</v>
      </c>
      <c r="B59" s="22" t="s">
        <v>150</v>
      </c>
      <c r="C59" s="54">
        <v>2.2633945254691943</v>
      </c>
      <c r="D59" s="54">
        <v>-4.1866551000000003</v>
      </c>
      <c r="E59" s="54">
        <v>-5.14603E-2</v>
      </c>
      <c r="F59" s="8" t="s">
        <v>16</v>
      </c>
      <c r="G59" s="52"/>
      <c r="O59" s="73"/>
      <c r="P59" s="73"/>
      <c r="Q59" s="73"/>
    </row>
    <row r="60" spans="1:17" x14ac:dyDescent="0.3">
      <c r="A60" s="5" t="s">
        <v>194</v>
      </c>
      <c r="B60" s="7" t="s">
        <v>103</v>
      </c>
      <c r="C60" s="55">
        <v>1.9965016805687199</v>
      </c>
      <c r="D60" s="55">
        <v>-4.0645284999999998</v>
      </c>
      <c r="E60" s="55">
        <v>5.6286800000000012E-2</v>
      </c>
      <c r="F60" s="6" t="s">
        <v>158</v>
      </c>
      <c r="G60" s="52"/>
      <c r="O60" s="73"/>
      <c r="P60" s="73"/>
      <c r="Q60" s="73"/>
    </row>
    <row r="61" spans="1:17" x14ac:dyDescent="0.3">
      <c r="A61" s="21" t="s">
        <v>220</v>
      </c>
      <c r="B61" s="22" t="s">
        <v>112</v>
      </c>
      <c r="C61" s="54">
        <v>1.8234589791469189</v>
      </c>
      <c r="D61" s="54">
        <v>-79.026094999999998</v>
      </c>
      <c r="E61" s="54">
        <v>-3.084101</v>
      </c>
      <c r="F61" s="8" t="s">
        <v>159</v>
      </c>
      <c r="G61" s="52"/>
      <c r="O61" s="73"/>
      <c r="P61" s="73"/>
      <c r="Q61" s="73"/>
    </row>
    <row r="62" spans="1:17" x14ac:dyDescent="0.3">
      <c r="A62" s="5" t="s">
        <v>245</v>
      </c>
      <c r="B62" s="7" t="s">
        <v>246</v>
      </c>
      <c r="C62" s="55">
        <v>1.8207745663507111</v>
      </c>
      <c r="D62" s="55">
        <v>55.098126999999998</v>
      </c>
      <c r="E62" s="55">
        <v>0</v>
      </c>
      <c r="F62" s="6" t="s">
        <v>13</v>
      </c>
      <c r="G62" s="52"/>
      <c r="O62" s="73"/>
      <c r="P62" s="73"/>
      <c r="Q62" s="73"/>
    </row>
    <row r="63" spans="1:17" x14ac:dyDescent="0.3">
      <c r="A63" s="21" t="s">
        <v>221</v>
      </c>
      <c r="B63" s="22" t="s">
        <v>96</v>
      </c>
      <c r="C63" s="54">
        <v>1.7527658540284359</v>
      </c>
      <c r="D63" s="54">
        <v>-3.5821995000000002</v>
      </c>
      <c r="E63" s="54">
        <v>-0.11629200000000001</v>
      </c>
      <c r="F63" s="8" t="s">
        <v>11</v>
      </c>
      <c r="G63" s="52"/>
      <c r="O63" s="73"/>
      <c r="P63" s="73"/>
      <c r="Q63" s="73"/>
    </row>
    <row r="64" spans="1:17" x14ac:dyDescent="0.3">
      <c r="A64" s="5" t="s">
        <v>198</v>
      </c>
      <c r="B64" s="7" t="s">
        <v>118</v>
      </c>
      <c r="C64" s="55">
        <v>1.7506931585781991</v>
      </c>
      <c r="D64" s="55">
        <v>-32.354436499999998</v>
      </c>
      <c r="E64" s="55">
        <v>-3.6613639999999998</v>
      </c>
      <c r="F64" s="6" t="s">
        <v>17</v>
      </c>
      <c r="G64" s="52"/>
      <c r="O64" s="73"/>
      <c r="P64" s="73"/>
      <c r="Q64" s="73"/>
    </row>
    <row r="65" spans="1:17" x14ac:dyDescent="0.3">
      <c r="A65" s="21" t="s">
        <v>199</v>
      </c>
      <c r="B65" s="22" t="s">
        <v>115</v>
      </c>
      <c r="C65" s="54">
        <v>1.636882207219934</v>
      </c>
      <c r="D65" s="54">
        <v>-9.6708068947200019</v>
      </c>
      <c r="E65" s="54">
        <v>0.56835490769999997</v>
      </c>
      <c r="F65" s="8" t="s">
        <v>10</v>
      </c>
      <c r="G65" s="52"/>
      <c r="O65" s="73"/>
      <c r="P65" s="73"/>
      <c r="Q65" s="73"/>
    </row>
    <row r="66" spans="1:17" x14ac:dyDescent="0.3">
      <c r="A66" s="5" t="s">
        <v>210</v>
      </c>
      <c r="B66" s="7" t="s">
        <v>111</v>
      </c>
      <c r="C66" s="55">
        <v>1.5216073900473939</v>
      </c>
      <c r="D66" s="55">
        <v>6.8892480000000003</v>
      </c>
      <c r="E66" s="55">
        <v>0.61636599999999997</v>
      </c>
      <c r="F66" s="6" t="s">
        <v>11</v>
      </c>
      <c r="G66" s="52"/>
      <c r="O66" s="73"/>
      <c r="P66" s="73"/>
      <c r="Q66" s="73"/>
    </row>
    <row r="67" spans="1:17" x14ac:dyDescent="0.3">
      <c r="A67" s="21" t="s">
        <v>226</v>
      </c>
      <c r="B67" s="22" t="s">
        <v>130</v>
      </c>
      <c r="C67" s="54">
        <v>1.335433826269337</v>
      </c>
      <c r="D67" s="54">
        <v>-7.4225317781399998</v>
      </c>
      <c r="E67" s="54">
        <v>0.45952691854</v>
      </c>
      <c r="F67" s="8" t="s">
        <v>17</v>
      </c>
      <c r="G67" s="52"/>
      <c r="O67" s="73"/>
      <c r="P67" s="73"/>
      <c r="Q67" s="73"/>
    </row>
    <row r="68" spans="1:17" x14ac:dyDescent="0.3">
      <c r="A68" s="5" t="s">
        <v>211</v>
      </c>
      <c r="B68" s="7" t="s">
        <v>128</v>
      </c>
      <c r="C68" s="55">
        <v>1.259711921800948</v>
      </c>
      <c r="D68" s="55">
        <v>6.0503999999999998</v>
      </c>
      <c r="E68" s="55">
        <v>-1.7213149999999999</v>
      </c>
      <c r="F68" s="6" t="s">
        <v>156</v>
      </c>
      <c r="G68" s="52"/>
      <c r="O68" s="73"/>
      <c r="P68" s="73"/>
      <c r="Q68" s="73"/>
    </row>
    <row r="69" spans="1:17" x14ac:dyDescent="0.3">
      <c r="A69" s="21" t="s">
        <v>197</v>
      </c>
      <c r="B69" s="22" t="s">
        <v>148</v>
      </c>
      <c r="C69" s="54">
        <v>1.23692128056872</v>
      </c>
      <c r="D69" s="54">
        <v>0.1081487999999997</v>
      </c>
      <c r="E69" s="54">
        <v>-2.6439399999999991E-2</v>
      </c>
      <c r="F69" s="8" t="s">
        <v>14</v>
      </c>
      <c r="G69" s="52"/>
      <c r="O69" s="73"/>
      <c r="P69" s="73"/>
      <c r="Q69" s="73"/>
    </row>
    <row r="70" spans="1:17" x14ac:dyDescent="0.3">
      <c r="A70" s="5" t="s">
        <v>216</v>
      </c>
      <c r="B70" s="7" t="s">
        <v>126</v>
      </c>
      <c r="C70" s="55">
        <v>1.2241586381042651</v>
      </c>
      <c r="D70" s="55">
        <v>-13.408039</v>
      </c>
      <c r="E70" s="55">
        <v>-1.373103</v>
      </c>
      <c r="F70" s="6" t="s">
        <v>17</v>
      </c>
      <c r="G70" s="52"/>
      <c r="O70" s="73"/>
      <c r="P70" s="73"/>
      <c r="Q70" s="73"/>
    </row>
    <row r="71" spans="1:17" x14ac:dyDescent="0.3">
      <c r="A71" s="21" t="s">
        <v>243</v>
      </c>
      <c r="B71" s="22" t="s">
        <v>244</v>
      </c>
      <c r="C71" s="54">
        <v>1.139734975829384</v>
      </c>
      <c r="D71" s="54">
        <v>4.2632412000000004</v>
      </c>
      <c r="E71" s="54">
        <v>-0.39708769999999999</v>
      </c>
      <c r="F71" s="8" t="s">
        <v>158</v>
      </c>
      <c r="G71" s="52"/>
      <c r="O71" s="73"/>
      <c r="P71" s="73"/>
      <c r="Q71" s="73"/>
    </row>
    <row r="72" spans="1:17" x14ac:dyDescent="0.3">
      <c r="A72" s="5" t="s">
        <v>222</v>
      </c>
      <c r="B72" s="7" t="s">
        <v>124</v>
      </c>
      <c r="C72" s="55">
        <v>1.1274371469194309</v>
      </c>
      <c r="D72" s="55">
        <v>3.8264784999999999</v>
      </c>
      <c r="E72" s="55">
        <v>-0.34339750000000002</v>
      </c>
      <c r="F72" s="6" t="s">
        <v>159</v>
      </c>
      <c r="G72" s="52"/>
      <c r="O72" s="73"/>
      <c r="P72" s="73"/>
      <c r="Q72" s="73"/>
    </row>
    <row r="73" spans="1:17" x14ac:dyDescent="0.3">
      <c r="A73" s="21" t="s">
        <v>215</v>
      </c>
      <c r="B73" s="22" t="s">
        <v>92</v>
      </c>
      <c r="C73" s="54">
        <v>1.1226574486365879</v>
      </c>
      <c r="D73" s="54">
        <v>-6.2119590932499991</v>
      </c>
      <c r="E73" s="54">
        <v>0.50306162390000009</v>
      </c>
      <c r="F73" s="8" t="s">
        <v>14</v>
      </c>
      <c r="G73" s="52"/>
      <c r="O73" s="73"/>
      <c r="P73" s="73"/>
      <c r="Q73" s="73"/>
    </row>
    <row r="74" spans="1:17" x14ac:dyDescent="0.3">
      <c r="A74" s="5" t="s">
        <v>263</v>
      </c>
      <c r="B74" s="7" t="s">
        <v>264</v>
      </c>
      <c r="C74" s="55">
        <v>1.0990839372037911</v>
      </c>
      <c r="D74" s="55">
        <v>0.57678450000000003</v>
      </c>
      <c r="E74" s="55">
        <v>5.1000000000000004E-3</v>
      </c>
      <c r="F74" s="6" t="s">
        <v>15</v>
      </c>
      <c r="G74" s="52"/>
      <c r="O74" s="73"/>
      <c r="P74" s="73"/>
      <c r="Q74" s="73"/>
    </row>
    <row r="75" spans="1:17" x14ac:dyDescent="0.3">
      <c r="A75" s="21" t="s">
        <v>206</v>
      </c>
      <c r="B75" s="22" t="s">
        <v>142</v>
      </c>
      <c r="C75" s="54">
        <v>1.0733082469194311</v>
      </c>
      <c r="D75" s="54">
        <v>0.51286229999999999</v>
      </c>
      <c r="E75" s="54">
        <v>-2.0044599999999999E-2</v>
      </c>
      <c r="F75" s="8" t="s">
        <v>159</v>
      </c>
      <c r="G75" s="52"/>
      <c r="O75" s="73"/>
      <c r="P75" s="73"/>
      <c r="Q75" s="73"/>
    </row>
    <row r="76" spans="1:17" x14ac:dyDescent="0.3">
      <c r="A76" s="5" t="s">
        <v>218</v>
      </c>
      <c r="B76" s="7" t="s">
        <v>93</v>
      </c>
      <c r="C76" s="55">
        <v>1.0680507683540759</v>
      </c>
      <c r="D76" s="55">
        <v>-10.559432682199999</v>
      </c>
      <c r="E76" s="55">
        <v>0.15495659114999999</v>
      </c>
      <c r="F76" s="6" t="s">
        <v>17</v>
      </c>
      <c r="G76" s="52"/>
      <c r="O76" s="73"/>
      <c r="P76" s="73"/>
      <c r="Q76" s="73"/>
    </row>
    <row r="77" spans="1:17" x14ac:dyDescent="0.3">
      <c r="A77" s="21" t="s">
        <v>235</v>
      </c>
      <c r="B77" s="22" t="s">
        <v>113</v>
      </c>
      <c r="C77" s="54">
        <v>1.042453802030457</v>
      </c>
      <c r="D77" s="54">
        <v>5.9155179999999987</v>
      </c>
      <c r="E77" s="54">
        <v>0</v>
      </c>
      <c r="F77" s="8" t="s">
        <v>10</v>
      </c>
      <c r="G77" s="52"/>
      <c r="O77" s="73"/>
      <c r="P77" s="73"/>
      <c r="Q77" s="73"/>
    </row>
    <row r="78" spans="1:17" x14ac:dyDescent="0.3">
      <c r="A78" s="5" t="s">
        <v>234</v>
      </c>
      <c r="B78" s="7" t="s">
        <v>146</v>
      </c>
      <c r="C78" s="55">
        <v>1.0322231446682471</v>
      </c>
      <c r="D78" s="55">
        <v>-2.4858199999999999</v>
      </c>
      <c r="E78" s="55">
        <v>-0.3709865</v>
      </c>
      <c r="F78" s="6" t="s">
        <v>157</v>
      </c>
      <c r="G78" s="52"/>
      <c r="O78" s="73"/>
      <c r="P78" s="73"/>
      <c r="Q78" s="73"/>
    </row>
    <row r="79" spans="1:17" x14ac:dyDescent="0.3">
      <c r="A79" s="21" t="s">
        <v>228</v>
      </c>
      <c r="B79" s="22" t="s">
        <v>125</v>
      </c>
      <c r="C79" s="54">
        <v>1.0149991350710899</v>
      </c>
      <c r="D79" s="54">
        <v>-0.89263049999999999</v>
      </c>
      <c r="E79" s="54">
        <v>-0.92302799999999996</v>
      </c>
      <c r="F79" s="8" t="s">
        <v>17</v>
      </c>
      <c r="G79" s="52"/>
      <c r="O79" s="73"/>
      <c r="P79" s="73"/>
      <c r="Q79" s="73"/>
    </row>
    <row r="80" spans="1:17" x14ac:dyDescent="0.3">
      <c r="A80" s="5" t="s">
        <v>230</v>
      </c>
      <c r="B80" s="7" t="s">
        <v>144</v>
      </c>
      <c r="C80" s="55">
        <v>1.003051745971564</v>
      </c>
      <c r="D80" s="55">
        <v>-5.1300765000000004</v>
      </c>
      <c r="E80" s="55">
        <v>-10.1701055</v>
      </c>
      <c r="F80" s="6" t="s">
        <v>157</v>
      </c>
      <c r="G80" s="52"/>
      <c r="O80" s="73"/>
      <c r="P80" s="73"/>
      <c r="Q80" s="73"/>
    </row>
    <row r="81" spans="1:17" x14ac:dyDescent="0.3">
      <c r="A81" s="21" t="s">
        <v>219</v>
      </c>
      <c r="B81" s="22" t="s">
        <v>137</v>
      </c>
      <c r="C81" s="54">
        <v>0.96721444502841702</v>
      </c>
      <c r="D81" s="54">
        <v>0.3865446166799999</v>
      </c>
      <c r="E81" s="54">
        <v>0.97282763719999998</v>
      </c>
      <c r="F81" s="8" t="s">
        <v>17</v>
      </c>
      <c r="G81" s="52"/>
      <c r="O81" s="73"/>
      <c r="P81" s="73"/>
      <c r="Q81" s="73"/>
    </row>
    <row r="82" spans="1:17" x14ac:dyDescent="0.3">
      <c r="A82" s="5" t="s">
        <v>257</v>
      </c>
      <c r="B82" s="7" t="s">
        <v>256</v>
      </c>
      <c r="C82" s="55">
        <v>0.92935179383886257</v>
      </c>
      <c r="D82" s="55">
        <v>20.692741000000002</v>
      </c>
      <c r="E82" s="55">
        <v>0.12661449999999999</v>
      </c>
      <c r="F82" s="6" t="s">
        <v>157</v>
      </c>
      <c r="G82" s="52"/>
      <c r="O82" s="73"/>
      <c r="P82" s="73"/>
      <c r="Q82" s="73"/>
    </row>
    <row r="83" spans="1:17" x14ac:dyDescent="0.3">
      <c r="A83" s="21" t="s">
        <v>233</v>
      </c>
      <c r="B83" s="22" t="s">
        <v>155</v>
      </c>
      <c r="C83" s="54">
        <v>0.87236697867298585</v>
      </c>
      <c r="D83" s="54">
        <v>1.6246167</v>
      </c>
      <c r="E83" s="54">
        <v>0.20082649999999999</v>
      </c>
      <c r="F83" s="8" t="s">
        <v>14</v>
      </c>
      <c r="G83" s="52"/>
      <c r="O83" s="73"/>
      <c r="P83" s="73"/>
      <c r="Q83" s="73"/>
    </row>
    <row r="84" spans="1:17" x14ac:dyDescent="0.3">
      <c r="A84" s="5" t="s">
        <v>266</v>
      </c>
      <c r="B84" s="7" t="s">
        <v>151</v>
      </c>
      <c r="C84" s="55">
        <v>0.82560661516587686</v>
      </c>
      <c r="D84" s="55">
        <v>1.0745119999999999</v>
      </c>
      <c r="E84" s="55">
        <v>0.2312575</v>
      </c>
      <c r="F84" s="6" t="s">
        <v>14</v>
      </c>
      <c r="G84" s="52"/>
      <c r="O84" s="73"/>
      <c r="P84" s="73"/>
      <c r="Q84" s="73"/>
    </row>
    <row r="85" spans="1:17" x14ac:dyDescent="0.3">
      <c r="A85" s="21" t="s">
        <v>231</v>
      </c>
      <c r="B85" s="22" t="s">
        <v>121</v>
      </c>
      <c r="C85" s="54">
        <v>0.79737337819905219</v>
      </c>
      <c r="D85" s="54">
        <v>-1.9220710000000001</v>
      </c>
      <c r="E85" s="54">
        <v>-0.62807449999999998</v>
      </c>
      <c r="F85" s="8" t="s">
        <v>158</v>
      </c>
      <c r="G85" s="52"/>
      <c r="O85" s="73"/>
      <c r="P85" s="73"/>
      <c r="Q85" s="73"/>
    </row>
    <row r="86" spans="1:17" x14ac:dyDescent="0.3">
      <c r="A86" s="5" t="s">
        <v>236</v>
      </c>
      <c r="B86" s="7" t="s">
        <v>153</v>
      </c>
      <c r="C86" s="55">
        <v>0.78903366691943133</v>
      </c>
      <c r="D86" s="55">
        <v>-13.453887</v>
      </c>
      <c r="E86" s="55">
        <v>1.0633999999999999E-2</v>
      </c>
      <c r="F86" s="6" t="s">
        <v>159</v>
      </c>
      <c r="G86" s="52"/>
      <c r="O86" s="73"/>
      <c r="P86" s="73"/>
      <c r="Q86" s="73"/>
    </row>
    <row r="87" spans="1:17" x14ac:dyDescent="0.3">
      <c r="A87" s="21" t="s">
        <v>217</v>
      </c>
      <c r="B87" s="22" t="s">
        <v>133</v>
      </c>
      <c r="C87" s="54">
        <v>0.78704510853080567</v>
      </c>
      <c r="D87" s="54">
        <v>-11.650567000000001</v>
      </c>
      <c r="E87" s="54">
        <v>4.1404499999999997E-2</v>
      </c>
      <c r="F87" s="8" t="s">
        <v>17</v>
      </c>
      <c r="G87" s="52"/>
      <c r="O87" s="73"/>
      <c r="P87" s="73"/>
      <c r="Q87" s="73"/>
    </row>
    <row r="88" spans="1:17" x14ac:dyDescent="0.3">
      <c r="A88" s="5" t="s">
        <v>225</v>
      </c>
      <c r="B88" s="7" t="s">
        <v>143</v>
      </c>
      <c r="C88" s="55">
        <v>0.78297714360189574</v>
      </c>
      <c r="D88" s="55">
        <v>1.7886420000000001</v>
      </c>
      <c r="E88" s="55">
        <v>-0.31630849999999999</v>
      </c>
      <c r="F88" s="6" t="s">
        <v>17</v>
      </c>
      <c r="G88" s="52"/>
      <c r="O88" s="73"/>
      <c r="P88" s="73"/>
      <c r="Q88" s="73"/>
    </row>
    <row r="89" spans="1:17" x14ac:dyDescent="0.3">
      <c r="A89" s="21" t="s">
        <v>227</v>
      </c>
      <c r="B89" s="22" t="s">
        <v>134</v>
      </c>
      <c r="C89" s="54">
        <v>0.77759779260663509</v>
      </c>
      <c r="D89" s="54">
        <v>-9.1178089999999994</v>
      </c>
      <c r="E89" s="54">
        <v>-0.58733800000000003</v>
      </c>
      <c r="F89" s="8" t="s">
        <v>17</v>
      </c>
      <c r="G89" s="52"/>
      <c r="O89" s="73"/>
      <c r="P89" s="73"/>
      <c r="Q89" s="73"/>
    </row>
    <row r="90" spans="1:17" x14ac:dyDescent="0.3">
      <c r="A90" s="5" t="s">
        <v>214</v>
      </c>
      <c r="B90" s="7" t="s">
        <v>149</v>
      </c>
      <c r="C90" s="55">
        <v>0.76292067393364915</v>
      </c>
      <c r="D90" s="55">
        <v>-0.90428319999999995</v>
      </c>
      <c r="E90" s="55">
        <v>-5.9232899999999998E-2</v>
      </c>
      <c r="F90" s="6" t="s">
        <v>14</v>
      </c>
      <c r="G90" s="52"/>
      <c r="O90" s="73"/>
      <c r="P90" s="73"/>
      <c r="Q90" s="73"/>
    </row>
    <row r="91" spans="1:17" x14ac:dyDescent="0.3">
      <c r="A91" s="21" t="s">
        <v>209</v>
      </c>
      <c r="B91" s="22" t="s">
        <v>135</v>
      </c>
      <c r="C91" s="54">
        <v>0.76214466682464455</v>
      </c>
      <c r="D91" s="54">
        <v>-3.5527134999999999</v>
      </c>
      <c r="E91" s="54">
        <v>0.19039800000000001</v>
      </c>
      <c r="F91" s="8" t="s">
        <v>11</v>
      </c>
      <c r="G91" s="52"/>
      <c r="O91" s="73"/>
      <c r="P91" s="73"/>
      <c r="Q91" s="73"/>
    </row>
    <row r="92" spans="1:17" x14ac:dyDescent="0.3">
      <c r="A92" s="5" t="s">
        <v>267</v>
      </c>
      <c r="B92" s="7" t="s">
        <v>265</v>
      </c>
      <c r="C92" s="55">
        <v>0.74355538672985777</v>
      </c>
      <c r="D92" s="55">
        <v>12.851333199999999</v>
      </c>
      <c r="E92" s="55">
        <v>1.357156</v>
      </c>
      <c r="F92" s="6" t="s">
        <v>14</v>
      </c>
      <c r="G92" s="52"/>
      <c r="O92" s="73"/>
      <c r="P92" s="73"/>
      <c r="Q92" s="73"/>
    </row>
    <row r="93" spans="1:17" x14ac:dyDescent="0.3">
      <c r="A93" s="21" t="s">
        <v>224</v>
      </c>
      <c r="B93" s="22" t="s">
        <v>123</v>
      </c>
      <c r="C93" s="54">
        <v>0.7278925554347867</v>
      </c>
      <c r="D93" s="54">
        <v>5.2052122710399997</v>
      </c>
      <c r="E93" s="54">
        <v>0.10320596623999999</v>
      </c>
      <c r="F93" s="8" t="s">
        <v>17</v>
      </c>
      <c r="G93" s="52"/>
      <c r="O93" s="73"/>
      <c r="P93" s="73"/>
      <c r="Q93" s="73"/>
    </row>
    <row r="94" spans="1:17" x14ac:dyDescent="0.3">
      <c r="A94" s="5" t="s">
        <v>251</v>
      </c>
      <c r="B94" s="7" t="s">
        <v>250</v>
      </c>
      <c r="C94" s="55">
        <v>0.66219894460606066</v>
      </c>
      <c r="D94" s="55">
        <v>-6.0573655000000004</v>
      </c>
      <c r="E94" s="55">
        <v>1.0714E-2</v>
      </c>
      <c r="F94" s="6" t="s">
        <v>14</v>
      </c>
      <c r="G94" s="52"/>
      <c r="O94" s="73"/>
      <c r="P94" s="73"/>
      <c r="Q94" s="73"/>
    </row>
    <row r="95" spans="1:17" x14ac:dyDescent="0.3">
      <c r="A95" s="21" t="s">
        <v>239</v>
      </c>
      <c r="B95" s="22" t="s">
        <v>154</v>
      </c>
      <c r="C95" s="54">
        <v>0.58203447156398103</v>
      </c>
      <c r="D95" s="54">
        <v>10.363892</v>
      </c>
      <c r="E95" s="54">
        <v>1.604365</v>
      </c>
      <c r="F95" s="8" t="s">
        <v>14</v>
      </c>
      <c r="G95" s="52"/>
      <c r="O95" s="73"/>
      <c r="P95" s="73"/>
      <c r="Q95" s="73"/>
    </row>
    <row r="96" spans="1:17" x14ac:dyDescent="0.3">
      <c r="A96" s="5" t="s">
        <v>258</v>
      </c>
      <c r="B96" s="7" t="s">
        <v>259</v>
      </c>
      <c r="C96" s="55">
        <v>0.55050872511848337</v>
      </c>
      <c r="D96" s="55">
        <v>-9.7657849999999993</v>
      </c>
      <c r="E96" s="55">
        <v>0.27481100000000003</v>
      </c>
      <c r="F96" s="6" t="s">
        <v>17</v>
      </c>
      <c r="G96" s="52"/>
      <c r="O96" s="73"/>
      <c r="P96" s="73"/>
      <c r="Q96" s="73"/>
    </row>
    <row r="97" spans="1:17" x14ac:dyDescent="0.3">
      <c r="A97" s="21" t="s">
        <v>229</v>
      </c>
      <c r="B97" s="22" t="s">
        <v>86</v>
      </c>
      <c r="C97" s="54">
        <v>0.52925959241706155</v>
      </c>
      <c r="D97" s="54">
        <v>-0.2376885</v>
      </c>
      <c r="E97" s="54">
        <v>-4.6769999999999999E-2</v>
      </c>
      <c r="F97" s="8" t="s">
        <v>11</v>
      </c>
      <c r="G97" s="52"/>
      <c r="O97" s="73"/>
      <c r="P97" s="73"/>
      <c r="Q97" s="73"/>
    </row>
    <row r="98" spans="1:17" x14ac:dyDescent="0.3">
      <c r="A98" s="5" t="s">
        <v>260</v>
      </c>
      <c r="B98" s="7" t="s">
        <v>261</v>
      </c>
      <c r="C98" s="55">
        <v>0.52352743838862559</v>
      </c>
      <c r="D98" s="55">
        <v>-7.28634</v>
      </c>
      <c r="E98" s="55">
        <v>0.69505649999999997</v>
      </c>
      <c r="F98" s="6" t="s">
        <v>16</v>
      </c>
      <c r="G98" s="52"/>
      <c r="O98" s="73"/>
      <c r="P98" s="73"/>
      <c r="Q98" s="73"/>
    </row>
    <row r="99" spans="1:17" x14ac:dyDescent="0.3">
      <c r="A99" s="21" t="s">
        <v>237</v>
      </c>
      <c r="B99" s="22" t="s">
        <v>136</v>
      </c>
      <c r="C99" s="54">
        <v>0.50992924739336498</v>
      </c>
      <c r="D99" s="54">
        <v>-10.285085499999999</v>
      </c>
      <c r="E99" s="54">
        <v>0.1293385</v>
      </c>
      <c r="F99" s="8" t="s">
        <v>11</v>
      </c>
      <c r="G99" s="52"/>
      <c r="O99" s="73"/>
      <c r="P99" s="73"/>
      <c r="Q99" s="73"/>
    </row>
    <row r="100" spans="1:17" x14ac:dyDescent="0.3">
      <c r="A100" s="5" t="s">
        <v>232</v>
      </c>
      <c r="B100" s="7" t="s">
        <v>152</v>
      </c>
      <c r="C100" s="55">
        <v>0.46973825260663499</v>
      </c>
      <c r="D100" s="55">
        <v>-1.041499</v>
      </c>
      <c r="E100" s="55">
        <v>0.13501099999999999</v>
      </c>
      <c r="F100" s="6" t="s">
        <v>14</v>
      </c>
      <c r="G100" s="52"/>
      <c r="O100" s="73"/>
      <c r="P100" s="73"/>
      <c r="Q100" s="73"/>
    </row>
    <row r="101" spans="1:17" x14ac:dyDescent="0.3">
      <c r="A101" s="75" t="s">
        <v>253</v>
      </c>
      <c r="B101" s="76" t="s">
        <v>252</v>
      </c>
      <c r="C101" s="77">
        <v>0.44151966445497626</v>
      </c>
      <c r="D101" s="77">
        <v>-1.2712329</v>
      </c>
      <c r="E101" s="77">
        <v>-3.4963000000000004E-3</v>
      </c>
      <c r="F101" s="9" t="s">
        <v>14</v>
      </c>
      <c r="G101" s="52"/>
      <c r="O101" s="73"/>
      <c r="P101" s="73"/>
      <c r="Q101" s="73"/>
    </row>
    <row r="102" spans="1:17" x14ac:dyDescent="0.3">
      <c r="A102" s="45"/>
      <c r="B102" s="10"/>
      <c r="C102" s="10"/>
      <c r="D102" s="10"/>
      <c r="E102" s="10"/>
      <c r="F102" s="46"/>
    </row>
    <row r="105" spans="1:17" x14ac:dyDescent="0.3">
      <c r="A105" s="11" t="s">
        <v>80</v>
      </c>
    </row>
    <row r="106" spans="1:17" x14ac:dyDescent="0.3">
      <c r="A106" s="11" t="s">
        <v>140</v>
      </c>
    </row>
    <row r="107" spans="1:17" x14ac:dyDescent="0.3">
      <c r="A107" s="11" t="s">
        <v>139</v>
      </c>
    </row>
    <row r="108" spans="1:17" x14ac:dyDescent="0.3">
      <c r="A108" s="11" t="s">
        <v>145</v>
      </c>
    </row>
    <row r="109" spans="1:17" x14ac:dyDescent="0.3">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Terence Wong</cp:lastModifiedBy>
  <cp:lastPrinted>2024-07-01T01:26:22Z</cp:lastPrinted>
  <dcterms:created xsi:type="dcterms:W3CDTF">2020-01-13T01:31:10Z</dcterms:created>
  <dcterms:modified xsi:type="dcterms:W3CDTF">2024-11-04T06:35:26Z</dcterms:modified>
</cp:coreProperties>
</file>