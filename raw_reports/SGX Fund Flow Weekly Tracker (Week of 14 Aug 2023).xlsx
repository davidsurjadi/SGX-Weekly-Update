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38EE80E6-B423-48BA-A7C6-EF06E41DA950}"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6" i="3"/>
  <c r="A1" i="5" l="1"/>
  <c r="C32" i="4" l="1"/>
  <c r="D32" i="4"/>
  <c r="A1" i="4" l="1"/>
  <c r="C18" i="1" l="1"/>
  <c r="F18" i="1" s="1"/>
  <c r="F5" i="1"/>
</calcChain>
</file>

<file path=xl/sharedStrings.xml><?xml version="1.0" encoding="utf-8"?>
<sst xmlns="http://schemas.openxmlformats.org/spreadsheetml/2006/main" count="520" uniqueCount="285">
  <si>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</si>
  <si>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</si>
  <si>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</si>
  <si>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</si>
  <si>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</si>
  <si>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</si>
  <si>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</si>
  <si>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</si>
  <si>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</si>
  <si>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</si>
  <si>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</si>
  <si>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</si>
  <si>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</si>
  <si>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</si>
  <si>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</si>
  <si>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</si>
  <si>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</si>
  <si>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</si>
  <si>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</si>
  <si>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</si>
  <si>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</si>
  <si>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</si>
  <si>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</si>
  <si>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</si>
  <si>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</si>
  <si>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</si>
  <si>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</si>
  <si>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</si>
  <si>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</si>
  <si>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</si>
  <si>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</si>
  <si>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</si>
  <si>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</si>
  <si>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</si>
  <si>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</si>
  <si>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</si>
  <si>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</si>
  <si>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</si>
  <si>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</si>
  <si>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</si>
  <si>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</si>
  <si>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</si>
  <si>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</si>
  <si>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</si>
  <si>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</si>
  <si>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</si>
  <si>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</si>
  <si>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</si>
  <si>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</si>
  <si>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</si>
  <si>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</si>
  <si>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</si>
  <si>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</si>
  <si>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</si>
  <si>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</si>
  <si>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</si>
  <si>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</si>
  <si>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</si>
  <si>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</si>
  <si>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</si>
  <si>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</si>
  <si>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</si>
  <si>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</si>
  <si>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</si>
  <si>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</si>
  <si>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</si>
  <si>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</si>
  <si>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</si>
  <si>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</si>
  <si>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</si>
  <si>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</si>
  <si>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</si>
  <si>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</si>
  <si>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</si>
  <si>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</si>
  <si>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</si>
  <si>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</si>
  <si>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</si>
  <si>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</si>
  <si>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</si>
  <si>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</si>
  <si>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</si>
  <si>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</si>
  <si>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</si>
  <si>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</si>
  <si>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</si>
  <si>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</si>
  <si>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</si>
  <si>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</si>
  <si>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</si>
  <si>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</si>
  <si>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</si>
  <si>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</si>
  <si>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</si>
  <si>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</si>
  <si>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</si>
  <si>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</si>
  <si>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</si>
  <si>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</si>
  <si>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</si>
  <si>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</si>
  <si>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</si>
  <si>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</si>
  <si>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</si>
  <si>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</si>
  <si>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</si>
  <si>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</si>
  <si>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</si>
  <si>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</si>
  <si>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</si>
  <si>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</si>
  <si>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</si>
  <si>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</si>
  <si>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</si>
  <si>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</si>
  <si>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</si>
  <si>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</si>
  <si>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</si>
  <si>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</si>
  <si>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</si>
  <si>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</si>
  <si>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</si>
  <si>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</si>
  <si>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</si>
  <si>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</si>
  <si>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</si>
  <si>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</si>
  <si>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</si>
  <si>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</si>
  <si>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</si>
  <si>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</si>
  <si>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</si>
  <si>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</si>
  <si>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</si>
  <si>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</si>
  <si>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</si>
  <si>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</si>
  <si>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</si>
  <si>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</si>
  <si>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</si>
  <si>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</si>
  <si>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</si>
  <si>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</si>
  <si>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</si>
  <si>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</si>
  <si>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</si>
  <si>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</si>
  <si>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</si>
  <si>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</si>
  <si>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</si>
  <si>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</si>
  <si>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</si>
  <si>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</si>
  <si>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</si>
  <si>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</si>
  <si>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</si>
  <si>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</si>
  <si>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</si>
  <si>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</si>
  <si>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</si>
  <si>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</si>
  <si>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</si>
  <si>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</si>
  <si>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</si>
  <si>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</si>
  <si>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</si>
  <si>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</si>
  <si>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</si>
  <si>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</si>
  <si>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</si>
  <si>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</si>
  <si>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</si>
  <si>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</si>
  <si>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</si>
  <si>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</si>
  <si>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</si>
  <si>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</si>
  <si>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</si>
  <si>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</si>
  <si>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</si>
  <si>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</si>
  <si>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</si>
  <si>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</si>
  <si>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</si>
  <si>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</si>
  <si>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</si>
  <si>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</si>
  <si>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</si>
  <si>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</si>
  <si>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</si>
  <si>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</si>
  <si>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</si>
  <si>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</si>
  <si>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</si>
  <si>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</si>
  <si>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</si>
  <si>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</si>
  <si>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</si>
  <si>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</si>
  <si>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</si>
  <si>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</si>
  <si>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</si>
  <si>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</si>
  <si>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</si>
  <si>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</si>
  <si>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</si>
  <si>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</si>
  <si>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</si>
  <si>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</si>
  <si>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</si>
  <si>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</si>
  <si>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</si>
  <si>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</si>
  <si>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</si>
  <si>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</si>
  <si>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</si>
  <si>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</si>
  <si>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</si>
  <si>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</si>
  <si>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</si>
  <si>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</si>
  <si>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</si>
  <si>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</si>
  <si>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</si>
  <si>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</si>
  <si>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</si>
  <si>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</si>
  <si>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</si>
  <si>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</si>
  <si>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</si>
  <si>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</si>
  <si>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</si>
  <si>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</si>
  <si>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</si>
  <si>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</si>
  <si>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</si>
  <si>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</si>
  <si>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</si>
  <si>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</si>
  <si>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</si>
  <si>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</si>
  <si>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</si>
  <si>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</si>
  <si>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</si>
  <si>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</si>
  <si>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</si>
  <si>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</si>
  <si>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</si>
  <si>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</si>
  <si>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</si>
  <si>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</si>
  <si>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</si>
  <si>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</si>
  <si>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</si>
  <si>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</si>
  <si>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</si>
  <si>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</si>
  <si>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</si>
  <si>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</si>
  <si>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</si>
  <si>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</si>
  <si>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</si>
  <si>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</si>
  <si>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</si>
  <si>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</si>
  <si>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</si>
  <si>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</si>
  <si>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Venture Corporation </t>
  </si>
  <si>
    <t>Suntec REIT</t>
  </si>
  <si>
    <t xml:space="preserve">City Developments </t>
  </si>
  <si>
    <t xml:space="preserve">Seatrium </t>
  </si>
  <si>
    <t xml:space="preserve">ST Engineering </t>
  </si>
  <si>
    <r>
      <t>Retail investors net</t>
    </r>
    <r>
      <rPr>
        <b/>
        <sz val="11"/>
        <rFont val="Arial"/>
        <family val="2"/>
      </rPr>
      <t xml:space="preserve"> buy</t>
    </r>
    <r>
      <rPr>
        <sz val="11"/>
        <rFont val="Arial"/>
        <family val="2"/>
      </rPr>
      <t xml:space="preserve"> (+S$350.9m) vs. (-S$20.6m) a week ago</t>
    </r>
  </si>
  <si>
    <t xml:space="preserve">Sembcorp Industries </t>
  </si>
  <si>
    <t xml:space="preserve">Keppel Corporation </t>
  </si>
  <si>
    <t xml:space="preserve">Jardine Matheson Holdings </t>
  </si>
  <si>
    <t xml:space="preserve">Wilmar International </t>
  </si>
  <si>
    <t xml:space="preserve">Frencken Group </t>
  </si>
  <si>
    <t>CapitaLand India Trust</t>
  </si>
  <si>
    <t xml:space="preserve">Yangzijiang Financial </t>
  </si>
  <si>
    <t>Week of 14 August 2023</t>
  </si>
  <si>
    <t>UMS Holdings</t>
  </si>
  <si>
    <r>
      <t>Institutional investors net</t>
    </r>
    <r>
      <rPr>
        <b/>
        <sz val="11"/>
        <rFont val="Arial"/>
        <family val="2"/>
      </rPr>
      <t xml:space="preserve"> buy</t>
    </r>
    <r>
      <rPr>
        <sz val="11"/>
        <rFont val="Arial"/>
        <family val="2"/>
      </rPr>
      <t xml:space="preserve"> (+S$240.8m) vs. (+S$140.1m) a week ago</t>
    </r>
  </si>
  <si>
    <t>Halcyon Agri</t>
  </si>
  <si>
    <t xml:space="preserve">Note that the above list of 100 most traded stocks is on a year-to-date basis and may include stocks that are currently suspended for trading.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</si>
</sst>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280</v>
      </c>
    </row>
    <row r="2" spans="1:13" x14ac:dyDescent="0.25">
      <c r="A2" s="56" t="s">
        <v>282</v>
      </c>
    </row>
    <row r="3" spans="1:13" x14ac:dyDescent="0.25">
      <c r="A3" s="56" t="s">
        <v>272</v>
      </c>
    </row>
    <row r="5" spans="1:13" ht="29.25" customHeight="1" x14ac:dyDescent="0.25">
      <c r="A5" s="3" t="s">
        <v>0</v>
      </c>
      <c r="B5" s="3" t="s">
        <v>1</v>
      </c>
      <c r="C5" s="4" t="s">
        <v>280</v>
      </c>
      <c r="D5" s="45" t="s">
        <v>2</v>
      </c>
      <c r="E5" s="45" t="s">
        <v>1</v>
      </c>
      <c r="F5" s="57" t="str">
        <f>+C5</f>
        <v>Week of 14 August 2023</v>
      </c>
    </row>
    <row r="6" spans="1:13" ht="14.4" x14ac:dyDescent="0.3">
      <c r="A6" s="41" t="s">
        <v>27</v>
      </c>
      <c r="B6" s="39" t="s">
        <v>22</v>
      </c>
      <c r="C6" s="7">
        <v>143.66216</v>
      </c>
      <c r="D6" s="41" t="s">
        <v>51</v>
      </c>
      <c r="E6" s="39" t="s">
        <v>49</v>
      </c>
      <c r="F6" s="7">
        <v>-38.866098100000002</v>
      </c>
      <c r="K6" s="53"/>
      <c r="L6"/>
      <c r="M6"/>
    </row>
    <row r="7" spans="1:13" ht="14.4" x14ac:dyDescent="0.3">
      <c r="A7" s="42" t="s">
        <v>29</v>
      </c>
      <c r="B7" s="11" t="s">
        <v>24</v>
      </c>
      <c r="C7" s="9">
        <v>53.588473</v>
      </c>
      <c r="D7" s="42" t="s">
        <v>34</v>
      </c>
      <c r="E7" s="11" t="s">
        <v>32</v>
      </c>
      <c r="F7" s="9">
        <v>-34.612777000000001</v>
      </c>
      <c r="K7" s="53"/>
      <c r="L7"/>
      <c r="M7"/>
    </row>
    <row r="8" spans="1:13" ht="14.4" x14ac:dyDescent="0.3">
      <c r="A8" s="43" t="s">
        <v>28</v>
      </c>
      <c r="B8" s="39" t="s">
        <v>23</v>
      </c>
      <c r="C8" s="7">
        <v>48.167977</v>
      </c>
      <c r="D8" s="43" t="s">
        <v>267</v>
      </c>
      <c r="E8" s="39" t="s">
        <v>45</v>
      </c>
      <c r="F8" s="7">
        <v>-24.077273000000002</v>
      </c>
      <c r="K8" s="53"/>
      <c r="L8"/>
      <c r="M8"/>
    </row>
    <row r="9" spans="1:13" ht="14.4" x14ac:dyDescent="0.3">
      <c r="A9" s="42" t="s">
        <v>271</v>
      </c>
      <c r="B9" s="11" t="s">
        <v>39</v>
      </c>
      <c r="C9" s="9">
        <v>43.238619999999997</v>
      </c>
      <c r="D9" s="42" t="s">
        <v>273</v>
      </c>
      <c r="E9" s="11" t="s">
        <v>44</v>
      </c>
      <c r="F9" s="9">
        <v>-21.612100999999999</v>
      </c>
      <c r="K9" s="53"/>
      <c r="L9"/>
      <c r="M9"/>
    </row>
    <row r="10" spans="1:13" ht="14.4" x14ac:dyDescent="0.3">
      <c r="A10" s="43" t="s">
        <v>270</v>
      </c>
      <c r="B10" s="39" t="s">
        <v>93</v>
      </c>
      <c r="C10" s="7">
        <v>27.5588795</v>
      </c>
      <c r="D10" s="43" t="s">
        <v>83</v>
      </c>
      <c r="E10" s="39" t="s">
        <v>82</v>
      </c>
      <c r="F10" s="7">
        <v>-16.867379</v>
      </c>
      <c r="K10" s="53"/>
      <c r="L10"/>
      <c r="M10"/>
    </row>
    <row r="11" spans="1:13" ht="14.4" x14ac:dyDescent="0.3">
      <c r="A11" s="42" t="s">
        <v>30</v>
      </c>
      <c r="B11" s="11" t="s">
        <v>25</v>
      </c>
      <c r="C11" s="9">
        <v>19.193372</v>
      </c>
      <c r="D11" s="42" t="s">
        <v>36</v>
      </c>
      <c r="E11" s="11" t="s">
        <v>31</v>
      </c>
      <c r="F11" s="9">
        <v>-14.28492</v>
      </c>
      <c r="K11" s="53"/>
      <c r="L11"/>
      <c r="M11"/>
    </row>
    <row r="12" spans="1:13" ht="14.4" x14ac:dyDescent="0.3">
      <c r="A12" s="43" t="s">
        <v>184</v>
      </c>
      <c r="B12" s="39" t="s">
        <v>115</v>
      </c>
      <c r="C12" s="7">
        <v>17.125983999999999</v>
      </c>
      <c r="D12" s="43" t="s">
        <v>274</v>
      </c>
      <c r="E12" s="39" t="s">
        <v>33</v>
      </c>
      <c r="F12" s="7">
        <v>-14.042014</v>
      </c>
      <c r="K12" s="53"/>
      <c r="L12"/>
      <c r="M12"/>
    </row>
    <row r="13" spans="1:13" ht="14.4" x14ac:dyDescent="0.3">
      <c r="A13" s="42" t="s">
        <v>42</v>
      </c>
      <c r="B13" s="11" t="s">
        <v>40</v>
      </c>
      <c r="C13" s="9">
        <v>16.573266</v>
      </c>
      <c r="D13" s="42" t="s">
        <v>275</v>
      </c>
      <c r="E13" s="11" t="s">
        <v>54</v>
      </c>
      <c r="F13" s="9">
        <v>-11.2711544971</v>
      </c>
      <c r="K13" s="53"/>
      <c r="L13"/>
      <c r="M13"/>
    </row>
    <row r="14" spans="1:13" ht="14.4" x14ac:dyDescent="0.3">
      <c r="A14" s="43" t="s">
        <v>63</v>
      </c>
      <c r="B14" s="39" t="s">
        <v>55</v>
      </c>
      <c r="C14" s="7">
        <v>13.326233999999999</v>
      </c>
      <c r="D14" s="43" t="s">
        <v>269</v>
      </c>
      <c r="E14" s="39" t="s">
        <v>56</v>
      </c>
      <c r="F14" s="7">
        <v>-8.4984929999999999</v>
      </c>
      <c r="K14" s="53"/>
      <c r="L14"/>
      <c r="M14"/>
    </row>
    <row r="15" spans="1:13" ht="14.4" x14ac:dyDescent="0.3">
      <c r="A15" s="44" t="s">
        <v>81</v>
      </c>
      <c r="B15" s="40" t="s">
        <v>58</v>
      </c>
      <c r="C15" s="10">
        <v>11.539941000000001</v>
      </c>
      <c r="D15" s="44" t="s">
        <v>268</v>
      </c>
      <c r="E15" s="40" t="s">
        <v>94</v>
      </c>
      <c r="F15" s="10">
        <v>-6.4242049999999997</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14 August 2023</v>
      </c>
      <c r="D18" s="5" t="s">
        <v>4</v>
      </c>
      <c r="E18" s="45" t="s">
        <v>1</v>
      </c>
      <c r="F18" s="57" t="str">
        <f>+C18</f>
        <v>Week of 14 August 2023</v>
      </c>
    </row>
    <row r="19" spans="1:13" ht="14.4" x14ac:dyDescent="0.3">
      <c r="A19" s="41" t="s">
        <v>34</v>
      </c>
      <c r="B19" s="39" t="s">
        <v>32</v>
      </c>
      <c r="C19" s="7">
        <v>64.490729999999999</v>
      </c>
      <c r="D19" s="41" t="s">
        <v>41</v>
      </c>
      <c r="E19" s="39" t="s">
        <v>39</v>
      </c>
      <c r="F19" s="7">
        <v>-33.024836999999998</v>
      </c>
      <c r="H19"/>
      <c r="I19" s="46"/>
      <c r="K19" s="53"/>
      <c r="L19"/>
      <c r="M19"/>
    </row>
    <row r="20" spans="1:13" ht="14.4" x14ac:dyDescent="0.3">
      <c r="A20" s="42" t="s">
        <v>51</v>
      </c>
      <c r="B20" s="11" t="s">
        <v>49</v>
      </c>
      <c r="C20" s="9">
        <v>62.675947299999997</v>
      </c>
      <c r="D20" s="42" t="s">
        <v>184</v>
      </c>
      <c r="E20" s="11" t="s">
        <v>115</v>
      </c>
      <c r="F20" s="9">
        <v>-16.090368000000002</v>
      </c>
      <c r="H20"/>
      <c r="I20" s="46"/>
      <c r="K20" s="53"/>
      <c r="L20"/>
      <c r="M20"/>
    </row>
    <row r="21" spans="1:13" ht="14.4" x14ac:dyDescent="0.3">
      <c r="A21" s="43" t="s">
        <v>28</v>
      </c>
      <c r="B21" s="39" t="s">
        <v>23</v>
      </c>
      <c r="C21" s="7">
        <v>51.787588</v>
      </c>
      <c r="D21" s="43" t="s">
        <v>270</v>
      </c>
      <c r="E21" s="39" t="s">
        <v>93</v>
      </c>
      <c r="F21" s="7">
        <v>-14.535069099999999</v>
      </c>
      <c r="H21"/>
      <c r="I21" s="46"/>
      <c r="K21" s="53"/>
      <c r="L21"/>
      <c r="M21"/>
    </row>
    <row r="22" spans="1:13" ht="14.4" x14ac:dyDescent="0.3">
      <c r="A22" s="42" t="s">
        <v>274</v>
      </c>
      <c r="B22" s="11" t="s">
        <v>33</v>
      </c>
      <c r="C22" s="9">
        <v>34.000886999999999</v>
      </c>
      <c r="D22" s="42" t="s">
        <v>281</v>
      </c>
      <c r="E22" s="11" t="s">
        <v>258</v>
      </c>
      <c r="F22" s="9">
        <v>-13.750626</v>
      </c>
      <c r="H22"/>
      <c r="I22" s="46"/>
      <c r="K22" s="53"/>
      <c r="L22"/>
      <c r="M22"/>
    </row>
    <row r="23" spans="1:13" ht="14.4" x14ac:dyDescent="0.3">
      <c r="A23" s="43" t="s">
        <v>29</v>
      </c>
      <c r="B23" s="39" t="s">
        <v>24</v>
      </c>
      <c r="C23" s="7">
        <v>25.410301</v>
      </c>
      <c r="D23" s="43" t="s">
        <v>277</v>
      </c>
      <c r="E23" s="39" t="s">
        <v>119</v>
      </c>
      <c r="F23" s="7">
        <v>-13.024041499999999</v>
      </c>
      <c r="H23"/>
      <c r="I23" s="58"/>
      <c r="K23" s="53"/>
      <c r="L23"/>
      <c r="M23"/>
    </row>
    <row r="24" spans="1:13" ht="14.4" x14ac:dyDescent="0.3">
      <c r="A24" s="42" t="s">
        <v>273</v>
      </c>
      <c r="B24" s="11" t="s">
        <v>44</v>
      </c>
      <c r="C24" s="9">
        <v>25.311743</v>
      </c>
      <c r="D24" s="42" t="s">
        <v>63</v>
      </c>
      <c r="E24" s="11" t="s">
        <v>55</v>
      </c>
      <c r="F24" s="9">
        <v>-8.8649740000000001</v>
      </c>
      <c r="H24"/>
      <c r="I24" s="46"/>
      <c r="K24" s="53"/>
      <c r="L24"/>
      <c r="M24"/>
    </row>
    <row r="25" spans="1:13" ht="14.4" x14ac:dyDescent="0.3">
      <c r="A25" s="43" t="s">
        <v>36</v>
      </c>
      <c r="B25" s="39" t="s">
        <v>31</v>
      </c>
      <c r="C25" s="7">
        <v>21.221342</v>
      </c>
      <c r="D25" s="43" t="s">
        <v>279</v>
      </c>
      <c r="E25" s="39" t="s">
        <v>121</v>
      </c>
      <c r="F25" s="7">
        <v>-6.4603475000000001</v>
      </c>
      <c r="H25"/>
      <c r="I25" s="46"/>
      <c r="K25" s="53"/>
      <c r="L25"/>
      <c r="M25"/>
    </row>
    <row r="26" spans="1:13" ht="14.4" x14ac:dyDescent="0.3">
      <c r="A26" s="42" t="s">
        <v>48</v>
      </c>
      <c r="B26" s="11" t="s">
        <v>45</v>
      </c>
      <c r="C26" s="9">
        <v>21.021664000000001</v>
      </c>
      <c r="D26" s="42" t="s">
        <v>278</v>
      </c>
      <c r="E26" s="11" t="s">
        <v>129</v>
      </c>
      <c r="F26" s="9">
        <v>-4.7954340000000002</v>
      </c>
      <c r="H26"/>
      <c r="I26" s="46"/>
      <c r="K26" s="53"/>
      <c r="L26"/>
      <c r="M26"/>
    </row>
    <row r="27" spans="1:13" ht="14.4" x14ac:dyDescent="0.3">
      <c r="A27" s="43" t="s">
        <v>269</v>
      </c>
      <c r="B27" s="39" t="s">
        <v>56</v>
      </c>
      <c r="C27" s="7">
        <v>20.313101</v>
      </c>
      <c r="D27" s="43" t="s">
        <v>66</v>
      </c>
      <c r="E27" s="39" t="s">
        <v>57</v>
      </c>
      <c r="F27" s="7">
        <v>-3.1328200525000001</v>
      </c>
      <c r="H27"/>
      <c r="I27" s="46"/>
      <c r="K27" s="53"/>
      <c r="L27"/>
      <c r="M27"/>
    </row>
    <row r="28" spans="1:13" ht="14.4" x14ac:dyDescent="0.3">
      <c r="A28" s="44" t="s">
        <v>276</v>
      </c>
      <c r="B28" s="40" t="s">
        <v>43</v>
      </c>
      <c r="C28" s="10">
        <v>14.527552999999999</v>
      </c>
      <c r="D28" s="44" t="s">
        <v>103</v>
      </c>
      <c r="E28" s="40" t="s">
        <v>102</v>
      </c>
      <c r="F28" s="10">
        <v>-3.0879639999999999</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5" t="s">
        <v>251</v>
      </c>
      <c r="B40" s="65"/>
      <c r="C40" s="65"/>
      <c r="D40" s="65"/>
      <c r="E40" s="65"/>
      <c r="F40" s="65"/>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6" t="s">
        <v>7</v>
      </c>
      <c r="B1" s="14" t="s">
        <v>8</v>
      </c>
      <c r="C1" s="68" t="s">
        <v>9</v>
      </c>
      <c r="D1" s="69"/>
      <c r="E1" s="69"/>
      <c r="F1" s="69"/>
      <c r="G1" s="69"/>
      <c r="H1" s="69"/>
      <c r="I1" s="69"/>
      <c r="J1" s="69"/>
      <c r="K1" s="69"/>
      <c r="L1" s="69"/>
      <c r="M1" s="69"/>
      <c r="N1" s="70"/>
    </row>
    <row r="2" spans="1:15" ht="65.849999999999994" customHeight="1" x14ac:dyDescent="0.25">
      <c r="A2" s="67"/>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142.15104882665997</v>
      </c>
      <c r="B3" s="17">
        <v>45131</v>
      </c>
      <c r="C3" s="18">
        <v>-7.6179008635000018</v>
      </c>
      <c r="D3" s="18">
        <v>-10.376908201099999</v>
      </c>
      <c r="E3" s="18">
        <v>1.6714511000000001</v>
      </c>
      <c r="F3" s="18">
        <v>130.47016339999999</v>
      </c>
      <c r="G3" s="18">
        <v>0.6165283141000002</v>
      </c>
      <c r="H3" s="18">
        <v>27.607961964240001</v>
      </c>
      <c r="I3" s="18">
        <v>-0.27245520000000001</v>
      </c>
      <c r="J3" s="18">
        <v>-5.2682587692000018</v>
      </c>
      <c r="K3" s="18">
        <v>-9.5065254178799989</v>
      </c>
      <c r="L3" s="18">
        <v>-7.4188592</v>
      </c>
      <c r="M3" s="18">
        <v>26.356942</v>
      </c>
      <c r="N3" s="18">
        <v>-4.1110902999999999</v>
      </c>
      <c r="O3" s="16"/>
    </row>
    <row r="4" spans="1:15" x14ac:dyDescent="0.25">
      <c r="A4" s="55">
        <v>-204.80351971825993</v>
      </c>
      <c r="B4" s="13">
        <v>45138</v>
      </c>
      <c r="C4" s="15">
        <v>-21.118483244089994</v>
      </c>
      <c r="D4" s="15">
        <v>-5.3321153192000015</v>
      </c>
      <c r="E4" s="15">
        <v>1.4653372999999998</v>
      </c>
      <c r="F4" s="15">
        <v>6.9847296000000059</v>
      </c>
      <c r="G4" s="15">
        <v>3.0625613893999999</v>
      </c>
      <c r="H4" s="15">
        <v>-17.884975279599999</v>
      </c>
      <c r="I4" s="15">
        <v>-8.9527599999999985E-2</v>
      </c>
      <c r="J4" s="15">
        <v>-3.322906113799998</v>
      </c>
      <c r="K4" s="15">
        <v>-76.682035150969995</v>
      </c>
      <c r="L4" s="15">
        <v>-22.334147299999998</v>
      </c>
      <c r="M4" s="15">
        <v>-69.2325479</v>
      </c>
      <c r="N4" s="15">
        <v>-0.31941010000000064</v>
      </c>
      <c r="O4" s="16"/>
    </row>
    <row r="5" spans="1:15" x14ac:dyDescent="0.25">
      <c r="A5" s="55">
        <v>140.09762439936006</v>
      </c>
      <c r="B5" s="17">
        <v>45145</v>
      </c>
      <c r="C5" s="18">
        <v>2.9188070659400034</v>
      </c>
      <c r="D5" s="18">
        <v>-5.1107610018000003</v>
      </c>
      <c r="E5" s="18">
        <v>1.2411536999999999</v>
      </c>
      <c r="F5" s="18">
        <v>149.48033730000003</v>
      </c>
      <c r="G5" s="18">
        <v>-1.7530234689999999</v>
      </c>
      <c r="H5" s="18">
        <v>42.787627658159998</v>
      </c>
      <c r="I5" s="18">
        <v>-1.5440600000000002E-2</v>
      </c>
      <c r="J5" s="18">
        <v>-1.6093414557999997</v>
      </c>
      <c r="K5" s="18">
        <v>-21.669603098140001</v>
      </c>
      <c r="L5" s="18">
        <v>-32.992355199999999</v>
      </c>
      <c r="M5" s="18">
        <v>7.3407589000000009</v>
      </c>
      <c r="N5" s="18">
        <v>-0.52053540000000031</v>
      </c>
      <c r="O5" s="16"/>
    </row>
    <row r="6" spans="1:15" x14ac:dyDescent="0.25">
      <c r="A6" s="55">
        <f>SUM(C6:N6)</f>
        <v>240.83292966281005</v>
      </c>
      <c r="B6" s="13">
        <v>45152</v>
      </c>
      <c r="C6" s="15">
        <v>12.038425483249998</v>
      </c>
      <c r="D6" s="15">
        <v>12.3889463763</v>
      </c>
      <c r="E6" s="15">
        <v>-6.8341304000000012</v>
      </c>
      <c r="F6" s="15">
        <v>280.96470879999998</v>
      </c>
      <c r="G6" s="15">
        <v>1.9033294329999999</v>
      </c>
      <c r="H6" s="15">
        <v>25.161703420329989</v>
      </c>
      <c r="I6" s="15">
        <v>-7.7335999999999919E-2</v>
      </c>
      <c r="J6" s="15">
        <v>1.6941424870999984</v>
      </c>
      <c r="K6" s="15">
        <v>-9.994611725169996</v>
      </c>
      <c r="L6" s="15">
        <v>-15.672619012000006</v>
      </c>
      <c r="M6" s="15">
        <v>-37.321566000000004</v>
      </c>
      <c r="N6" s="15">
        <v>-23.418063199999999</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886718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6" t="s">
        <v>7</v>
      </c>
      <c r="B1" s="14" t="s">
        <v>8</v>
      </c>
      <c r="C1" s="68" t="s">
        <v>9</v>
      </c>
      <c r="D1" s="69"/>
      <c r="E1" s="69"/>
      <c r="F1" s="69"/>
      <c r="G1" s="69"/>
      <c r="H1" s="69"/>
      <c r="I1" s="69"/>
      <c r="J1" s="69"/>
      <c r="K1" s="69"/>
      <c r="L1" s="69"/>
      <c r="M1" s="69"/>
      <c r="N1" s="70"/>
    </row>
    <row r="2" spans="1:18" ht="55.2" x14ac:dyDescent="0.25">
      <c r="A2" s="67"/>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-376.49230600407998</v>
      </c>
      <c r="B3" s="17">
        <v>45131</v>
      </c>
      <c r="C3" s="18">
        <v>-8.2595727547299997</v>
      </c>
      <c r="D3" s="18">
        <v>1.0282721746000001</v>
      </c>
      <c r="E3" s="18">
        <v>-2.0248747000000011</v>
      </c>
      <c r="F3" s="18">
        <v>-278.14037459999997</v>
      </c>
      <c r="G3" s="18">
        <v>0.1154207009999999</v>
      </c>
      <c r="H3" s="18">
        <v>-50.995810622489998</v>
      </c>
      <c r="I3" s="18">
        <v>0.22413489999999989</v>
      </c>
      <c r="J3" s="18">
        <v>-14.417863067800001</v>
      </c>
      <c r="K3" s="18">
        <v>-2.4484347346599988</v>
      </c>
      <c r="L3" s="18">
        <v>6.1879997000000007</v>
      </c>
      <c r="M3" s="18">
        <v>-31.578759300000002</v>
      </c>
      <c r="N3" s="18">
        <v>3.8175563000000001</v>
      </c>
      <c r="O3" s="16"/>
    </row>
    <row r="4" spans="1:18" x14ac:dyDescent="0.25">
      <c r="A4" s="55">
        <v>131.52253203907998</v>
      </c>
      <c r="B4" s="13">
        <v>45138</v>
      </c>
      <c r="C4" s="15">
        <v>22.738540748819997</v>
      </c>
      <c r="D4" s="15">
        <v>8.2711306969000002</v>
      </c>
      <c r="E4" s="15">
        <v>-1.0568925</v>
      </c>
      <c r="F4" s="15">
        <v>-56.629668500000001</v>
      </c>
      <c r="G4" s="15">
        <v>-2.4718924462000005</v>
      </c>
      <c r="H4" s="15">
        <v>43.158527055429985</v>
      </c>
      <c r="I4" s="15">
        <v>0.25895489999999993</v>
      </c>
      <c r="J4" s="15">
        <v>-2.5527610192999997</v>
      </c>
      <c r="K4" s="15">
        <v>54.27569790343</v>
      </c>
      <c r="L4" s="15">
        <v>21.124208899999999</v>
      </c>
      <c r="M4" s="15">
        <v>54.049045700000008</v>
      </c>
      <c r="N4" s="15">
        <v>-9.6423594000000001</v>
      </c>
      <c r="O4" s="16"/>
    </row>
    <row r="5" spans="1:18" x14ac:dyDescent="0.25">
      <c r="A5" s="55">
        <v>-20.590224478850011</v>
      </c>
      <c r="B5" s="17">
        <v>45145</v>
      </c>
      <c r="C5" s="18">
        <v>-9.1573853984900015</v>
      </c>
      <c r="D5" s="18">
        <v>7.9284845241000008</v>
      </c>
      <c r="E5" s="18">
        <v>-1.7103661999999999</v>
      </c>
      <c r="F5" s="18">
        <v>-40.845655499999999</v>
      </c>
      <c r="G5" s="18">
        <v>2.3287246124999998</v>
      </c>
      <c r="H5" s="18">
        <v>-54.609837557649996</v>
      </c>
      <c r="I5" s="18">
        <v>-0.23555520000000021</v>
      </c>
      <c r="J5" s="18">
        <v>15.269877142100002</v>
      </c>
      <c r="K5" s="18">
        <v>40.114985898589993</v>
      </c>
      <c r="L5" s="18">
        <v>42.392905199999994</v>
      </c>
      <c r="M5" s="18">
        <v>2.7041176</v>
      </c>
      <c r="N5" s="18">
        <v>-24.770519599999997</v>
      </c>
      <c r="O5" s="16"/>
    </row>
    <row r="6" spans="1:18" x14ac:dyDescent="0.25">
      <c r="A6" s="55">
        <f>SUM(C6:N6)</f>
        <v>350.8991239079599</v>
      </c>
      <c r="B6" s="13">
        <v>45152</v>
      </c>
      <c r="C6" s="15">
        <v>13.851474095059995</v>
      </c>
      <c r="D6" s="15">
        <v>12.057675195500003</v>
      </c>
      <c r="E6" s="15">
        <v>8.4728357999999986</v>
      </c>
      <c r="F6" s="15">
        <v>90.433184199999985</v>
      </c>
      <c r="G6" s="15">
        <v>-1.3584992435000001</v>
      </c>
      <c r="H6" s="15">
        <v>55.857251286779992</v>
      </c>
      <c r="I6" s="15">
        <v>0.20029639999999996</v>
      </c>
      <c r="J6" s="15">
        <v>23.341709947499993</v>
      </c>
      <c r="K6" s="15">
        <v>58.920605750619984</v>
      </c>
      <c r="L6" s="15">
        <v>-2.0155676240000027</v>
      </c>
      <c r="M6" s="15">
        <v>62.025764499999994</v>
      </c>
      <c r="N6" s="15">
        <v>29.112393600000001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88671875" customWidth="1"/>
  </cols>
  <sheetData>
    <row r="1" spans="1:8" ht="55.2" x14ac:dyDescent="0.3">
      <c r="A1" s="38" t="str">
        <f>CONCATENATE("STI Constituents - ",'Weekly Top 10'!$C$5)</f>
        <v>STI Constituents - Week of 14 August 2023</v>
      </c>
      <c r="B1" s="21" t="s">
        <v>1</v>
      </c>
      <c r="C1" s="22" t="s">
        <v>75</v>
      </c>
      <c r="D1" s="22" t="s">
        <v>76</v>
      </c>
    </row>
    <row r="2" spans="1:8" x14ac:dyDescent="0.3">
      <c r="A2" s="23" t="s">
        <v>92</v>
      </c>
      <c r="B2" s="24" t="s">
        <v>26</v>
      </c>
      <c r="C2" s="25">
        <v>10.153551</v>
      </c>
      <c r="D2" s="25">
        <v>4.5953520000000001</v>
      </c>
      <c r="E2" s="46"/>
      <c r="F2" s="50"/>
      <c r="H2" s="51"/>
    </row>
    <row r="3" spans="1:8" x14ac:dyDescent="0.3">
      <c r="A3" s="26" t="s">
        <v>81</v>
      </c>
      <c r="B3" s="27" t="s">
        <v>58</v>
      </c>
      <c r="C3" s="9">
        <v>11.539941000000001</v>
      </c>
      <c r="D3" s="9">
        <v>5.5379839999999998</v>
      </c>
      <c r="E3" s="46"/>
      <c r="F3" s="50"/>
      <c r="H3" s="51"/>
    </row>
    <row r="4" spans="1:8" x14ac:dyDescent="0.3">
      <c r="A4" s="6" t="s">
        <v>88</v>
      </c>
      <c r="B4" s="8" t="s">
        <v>87</v>
      </c>
      <c r="C4" s="7">
        <v>11.183325999999999</v>
      </c>
      <c r="D4" s="7">
        <v>14.445698</v>
      </c>
      <c r="E4" s="46"/>
      <c r="F4" s="50"/>
      <c r="H4" s="51"/>
    </row>
    <row r="5" spans="1:8" x14ac:dyDescent="0.3">
      <c r="A5" s="26" t="s">
        <v>65</v>
      </c>
      <c r="B5" s="27" t="s">
        <v>56</v>
      </c>
      <c r="C5" s="9">
        <v>-8.4984929999999999</v>
      </c>
      <c r="D5" s="9">
        <v>20.313101</v>
      </c>
      <c r="E5" s="46"/>
      <c r="F5" s="50"/>
      <c r="H5" s="51"/>
    </row>
    <row r="6" spans="1:8" x14ac:dyDescent="0.3">
      <c r="A6" s="6" t="s">
        <v>89</v>
      </c>
      <c r="B6" s="8" t="s">
        <v>59</v>
      </c>
      <c r="C6" s="7">
        <v>-0.36837082370000029</v>
      </c>
      <c r="D6" s="7">
        <v>0.26426249550000003</v>
      </c>
      <c r="E6" s="46"/>
      <c r="F6" s="50"/>
      <c r="H6" s="51"/>
    </row>
    <row r="7" spans="1:8" x14ac:dyDescent="0.3">
      <c r="A7" s="26" t="s">
        <v>27</v>
      </c>
      <c r="B7" s="27" t="s">
        <v>22</v>
      </c>
      <c r="C7" s="9">
        <v>143.66216</v>
      </c>
      <c r="D7" s="9">
        <v>9.2939439999999998</v>
      </c>
      <c r="E7" s="46"/>
      <c r="F7" s="50"/>
      <c r="H7" s="51"/>
    </row>
    <row r="8" spans="1:8" x14ac:dyDescent="0.3">
      <c r="A8" s="6" t="s">
        <v>90</v>
      </c>
      <c r="B8" s="8" t="s">
        <v>91</v>
      </c>
      <c r="C8" s="54">
        <v>-0.37523200000000001</v>
      </c>
      <c r="D8" s="54">
        <v>0.35456399999999999</v>
      </c>
      <c r="E8" s="46"/>
      <c r="F8" s="50"/>
      <c r="H8" s="51"/>
    </row>
    <row r="9" spans="1:8" x14ac:dyDescent="0.3">
      <c r="A9" s="26" t="s">
        <v>83</v>
      </c>
      <c r="B9" s="27" t="s">
        <v>82</v>
      </c>
      <c r="C9" s="9">
        <v>-16.867379</v>
      </c>
      <c r="D9" s="9">
        <v>8.035914</v>
      </c>
      <c r="E9" s="46"/>
      <c r="F9" s="50"/>
      <c r="H9" s="51"/>
    </row>
    <row r="10" spans="1:8" x14ac:dyDescent="0.3">
      <c r="A10" s="6" t="s">
        <v>38</v>
      </c>
      <c r="B10" s="8" t="s">
        <v>37</v>
      </c>
      <c r="C10" s="7">
        <v>10.019275</v>
      </c>
      <c r="D10" s="7">
        <v>7.0942119999999997</v>
      </c>
      <c r="E10" s="46"/>
      <c r="F10" s="50"/>
      <c r="H10" s="51"/>
    </row>
    <row r="11" spans="1:8" x14ac:dyDescent="0.3">
      <c r="A11" s="26" t="s">
        <v>66</v>
      </c>
      <c r="B11" s="27" t="s">
        <v>57</v>
      </c>
      <c r="C11" s="9">
        <v>10.6506320871</v>
      </c>
      <c r="D11" s="9">
        <v>-3.1328200525000001</v>
      </c>
      <c r="E11" s="46"/>
      <c r="F11" s="50"/>
      <c r="H11" s="51"/>
    </row>
    <row r="12" spans="1:8" x14ac:dyDescent="0.3">
      <c r="A12" s="6" t="s">
        <v>52</v>
      </c>
      <c r="B12" s="8" t="s">
        <v>50</v>
      </c>
      <c r="C12" s="7">
        <v>1.784807</v>
      </c>
      <c r="D12" s="7">
        <v>5.7878850000000002</v>
      </c>
      <c r="E12" s="46"/>
      <c r="F12" s="50"/>
      <c r="H12" s="51"/>
    </row>
    <row r="13" spans="1:8" x14ac:dyDescent="0.3">
      <c r="A13" s="26" t="s">
        <v>64</v>
      </c>
      <c r="B13" s="27" t="s">
        <v>54</v>
      </c>
      <c r="C13" s="9">
        <v>-11.2711544971</v>
      </c>
      <c r="D13" s="9">
        <v>5.1406729480000006</v>
      </c>
      <c r="E13" s="46"/>
      <c r="F13" s="50"/>
      <c r="H13" s="51"/>
    </row>
    <row r="14" spans="1:8" x14ac:dyDescent="0.3">
      <c r="A14" s="6" t="s">
        <v>35</v>
      </c>
      <c r="B14" s="8" t="s">
        <v>33</v>
      </c>
      <c r="C14" s="7">
        <v>-14.042014</v>
      </c>
      <c r="D14" s="7">
        <v>34.000886999999999</v>
      </c>
      <c r="E14" s="46"/>
      <c r="F14" s="50"/>
      <c r="H14" s="51"/>
    </row>
    <row r="15" spans="1:8" x14ac:dyDescent="0.3">
      <c r="A15" s="26" t="s">
        <v>262</v>
      </c>
      <c r="B15" s="27" t="s">
        <v>60</v>
      </c>
      <c r="C15" s="9">
        <v>-1.6976169999999999</v>
      </c>
      <c r="D15" s="9">
        <v>6.4785469999999998</v>
      </c>
      <c r="E15" s="46"/>
      <c r="F15" s="50"/>
      <c r="H15" s="51"/>
    </row>
    <row r="16" spans="1:8" x14ac:dyDescent="0.3">
      <c r="A16" s="6" t="s">
        <v>79</v>
      </c>
      <c r="B16" s="8" t="s">
        <v>78</v>
      </c>
      <c r="C16" s="7">
        <v>-2.6687129999999999</v>
      </c>
      <c r="D16" s="7">
        <v>1.6039330000000001</v>
      </c>
      <c r="E16" s="46"/>
      <c r="F16" s="50"/>
      <c r="H16" s="51"/>
    </row>
    <row r="17" spans="1:8" x14ac:dyDescent="0.3">
      <c r="A17" s="26" t="s">
        <v>42</v>
      </c>
      <c r="B17" s="27" t="s">
        <v>40</v>
      </c>
      <c r="C17" s="9">
        <v>16.573266</v>
      </c>
      <c r="D17" s="9">
        <v>1.186493</v>
      </c>
      <c r="E17" s="46"/>
      <c r="F17" s="50"/>
      <c r="H17" s="51"/>
    </row>
    <row r="18" spans="1:8" x14ac:dyDescent="0.3">
      <c r="A18" s="6" t="s">
        <v>28</v>
      </c>
      <c r="B18" s="8" t="s">
        <v>23</v>
      </c>
      <c r="C18" s="7">
        <v>48.167977</v>
      </c>
      <c r="D18" s="7">
        <v>51.787588</v>
      </c>
      <c r="E18" s="46"/>
      <c r="F18" s="50"/>
      <c r="H18" s="51"/>
    </row>
    <row r="19" spans="1:8" x14ac:dyDescent="0.3">
      <c r="A19" s="26" t="s">
        <v>36</v>
      </c>
      <c r="B19" s="27" t="s">
        <v>31</v>
      </c>
      <c r="C19" s="9">
        <v>-14.28492</v>
      </c>
      <c r="D19" s="9">
        <v>21.221342</v>
      </c>
      <c r="E19" s="46"/>
      <c r="F19" s="50"/>
      <c r="H19" s="51"/>
    </row>
    <row r="20" spans="1:8" x14ac:dyDescent="0.3">
      <c r="A20" s="6" t="s">
        <v>257</v>
      </c>
      <c r="B20" s="8" t="s">
        <v>93</v>
      </c>
      <c r="C20" s="7">
        <v>27.5588795</v>
      </c>
      <c r="D20" s="7">
        <v>-14.535069099999999</v>
      </c>
      <c r="E20" s="46"/>
      <c r="F20" s="50"/>
      <c r="H20" s="51"/>
    </row>
    <row r="21" spans="1:8" x14ac:dyDescent="0.3">
      <c r="A21" s="26" t="s">
        <v>47</v>
      </c>
      <c r="B21" s="27" t="s">
        <v>44</v>
      </c>
      <c r="C21" s="9">
        <v>-21.612100999999999</v>
      </c>
      <c r="D21" s="9">
        <v>25.311743</v>
      </c>
      <c r="E21" s="46"/>
      <c r="F21" s="50"/>
      <c r="H21" s="51"/>
    </row>
    <row r="22" spans="1:8" x14ac:dyDescent="0.3">
      <c r="A22" s="6" t="s">
        <v>30</v>
      </c>
      <c r="B22" s="8" t="s">
        <v>25</v>
      </c>
      <c r="C22" s="7">
        <v>19.193372</v>
      </c>
      <c r="D22" s="7">
        <v>-2.7413249999999998</v>
      </c>
      <c r="E22" s="46"/>
      <c r="F22" s="50"/>
      <c r="H22" s="51"/>
    </row>
    <row r="23" spans="1:8" x14ac:dyDescent="0.3">
      <c r="A23" s="26" t="s">
        <v>34</v>
      </c>
      <c r="B23" s="27" t="s">
        <v>32</v>
      </c>
      <c r="C23" s="9">
        <v>-34.612777000000001</v>
      </c>
      <c r="D23" s="9">
        <v>64.490729999999999</v>
      </c>
      <c r="E23" s="46"/>
      <c r="F23" s="50"/>
      <c r="H23" s="51"/>
    </row>
    <row r="24" spans="1:8" x14ac:dyDescent="0.3">
      <c r="A24" s="6" t="s">
        <v>51</v>
      </c>
      <c r="B24" s="8" t="s">
        <v>49</v>
      </c>
      <c r="C24" s="7">
        <v>-38.866098100000002</v>
      </c>
      <c r="D24" s="7">
        <v>62.675947299999997</v>
      </c>
      <c r="E24" s="46"/>
      <c r="F24" s="50"/>
      <c r="H24" s="51"/>
    </row>
    <row r="25" spans="1:8" x14ac:dyDescent="0.3">
      <c r="A25" s="26" t="s">
        <v>41</v>
      </c>
      <c r="B25" s="27" t="s">
        <v>39</v>
      </c>
      <c r="C25" s="9">
        <v>43.238619999999997</v>
      </c>
      <c r="D25" s="9">
        <v>-33.024836999999998</v>
      </c>
      <c r="E25" s="46"/>
      <c r="F25" s="50"/>
      <c r="H25" s="51"/>
    </row>
    <row r="26" spans="1:8" x14ac:dyDescent="0.3">
      <c r="A26" s="6" t="s">
        <v>62</v>
      </c>
      <c r="B26" s="8" t="s">
        <v>53</v>
      </c>
      <c r="C26" s="7">
        <v>-1.3158265</v>
      </c>
      <c r="D26" s="7">
        <v>-0.85716049999999988</v>
      </c>
      <c r="E26" s="46"/>
      <c r="F26" s="50"/>
      <c r="H26" s="51"/>
    </row>
    <row r="27" spans="1:8" x14ac:dyDescent="0.3">
      <c r="A27" s="26" t="s">
        <v>29</v>
      </c>
      <c r="B27" s="27" t="s">
        <v>24</v>
      </c>
      <c r="C27" s="9">
        <v>53.588473</v>
      </c>
      <c r="D27" s="9">
        <v>25.410301</v>
      </c>
      <c r="E27" s="46"/>
      <c r="F27" s="50"/>
      <c r="H27" s="51"/>
    </row>
    <row r="28" spans="1:8" x14ac:dyDescent="0.3">
      <c r="A28" s="6" t="s">
        <v>67</v>
      </c>
      <c r="B28" s="8" t="s">
        <v>61</v>
      </c>
      <c r="C28" s="7">
        <v>1.058343</v>
      </c>
      <c r="D28" s="7">
        <v>1.811518</v>
      </c>
      <c r="E28" s="46"/>
      <c r="F28" s="50"/>
      <c r="H28" s="51"/>
    </row>
    <row r="29" spans="1:8" x14ac:dyDescent="0.3">
      <c r="A29" s="26" t="s">
        <v>48</v>
      </c>
      <c r="B29" s="27" t="s">
        <v>45</v>
      </c>
      <c r="C29" s="9">
        <v>-24.077273000000002</v>
      </c>
      <c r="D29" s="9">
        <v>21.021664000000001</v>
      </c>
      <c r="E29" s="46"/>
      <c r="F29" s="50"/>
      <c r="H29" s="51"/>
    </row>
    <row r="30" spans="1:8" x14ac:dyDescent="0.3">
      <c r="A30" s="6" t="s">
        <v>46</v>
      </c>
      <c r="B30" s="8" t="s">
        <v>43</v>
      </c>
      <c r="C30" s="7">
        <v>9.4728790000000007</v>
      </c>
      <c r="D30" s="7">
        <v>14.527552999999999</v>
      </c>
      <c r="E30" s="46"/>
      <c r="F30" s="50"/>
      <c r="H30" s="51"/>
    </row>
    <row r="31" spans="1:8" ht="15" thickBot="1" x14ac:dyDescent="0.35">
      <c r="A31" s="26" t="s">
        <v>63</v>
      </c>
      <c r="B31" s="27" t="s">
        <v>55</v>
      </c>
      <c r="C31" s="9">
        <v>13.326233999999999</v>
      </c>
      <c r="D31" s="9">
        <v>-8.8649740000000001</v>
      </c>
      <c r="E31" s="46"/>
      <c r="F31" s="50"/>
      <c r="H31" s="51"/>
    </row>
    <row r="32" spans="1:8" ht="21" customHeight="1" thickBot="1" x14ac:dyDescent="0.35">
      <c r="A32" s="71" t="s">
        <v>68</v>
      </c>
      <c r="B32" s="72"/>
      <c r="C32" s="28">
        <f>SUM(C2:C31)</f>
        <v>240.61376666630005</v>
      </c>
      <c r="D32" s="28">
        <f>SUM(D2:D31)</f>
        <v>349.23565009099997</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88671875" customWidth="1"/>
    <col min="2" max="2" width="8.5546875" customWidth="1"/>
    <col min="3" max="3" width="14.5546875" customWidth="1"/>
    <col min="4" max="4" width="17.44140625" customWidth="1"/>
    <col min="5" max="5" width="22.5546875" customWidth="1"/>
    <col min="6" max="6" width="31.5546875" bestFit="1" customWidth="1"/>
    <col min="7" max="7" width="16.109375" bestFit="1" customWidth="1"/>
    <col min="8" max="8" width="12.5546875" bestFit="1" customWidth="1"/>
  </cols>
  <sheetData>
    <row r="1" spans="1:10" ht="55.2" x14ac:dyDescent="0.3">
      <c r="A1" s="38" t="str">
        <f>CONCATENATE("100 Most Traded Stocks YTD - ",'Weekly Top 10'!$C$5)</f>
        <v>100 Most Traded Stocks YTD - Week of 14 August 2023</v>
      </c>
      <c r="B1" s="21" t="s">
        <v>1</v>
      </c>
      <c r="C1" s="61" t="s">
        <v>105</v>
      </c>
      <c r="D1" s="22" t="s">
        <v>104</v>
      </c>
      <c r="E1" s="22" t="s">
        <v>106</v>
      </c>
      <c r="F1" s="22" t="s">
        <v>107</v>
      </c>
      <c r="H1" s="50"/>
    </row>
    <row r="2" spans="1:10" x14ac:dyDescent="0.3">
      <c r="A2" s="23" t="s">
        <v>27</v>
      </c>
      <c r="B2" s="24" t="s">
        <v>22</v>
      </c>
      <c r="C2" s="25">
        <v>132.40585947242039</v>
      </c>
      <c r="D2" s="25">
        <v>-1067.06699</v>
      </c>
      <c r="E2" s="25">
        <v>143.66216</v>
      </c>
      <c r="F2" s="25" t="s">
        <v>14</v>
      </c>
      <c r="H2" s="51"/>
      <c r="J2" s="51"/>
    </row>
    <row r="3" spans="1:10" x14ac:dyDescent="0.3">
      <c r="A3" s="26" t="s">
        <v>29</v>
      </c>
      <c r="B3" s="27" t="s">
        <v>24</v>
      </c>
      <c r="C3" s="9">
        <v>87.923484689076417</v>
      </c>
      <c r="D3" s="9">
        <v>-691.130492</v>
      </c>
      <c r="E3" s="9">
        <v>53.588473</v>
      </c>
      <c r="F3" s="9" t="s">
        <v>14</v>
      </c>
      <c r="H3" s="51"/>
      <c r="J3" s="51"/>
    </row>
    <row r="4" spans="1:10" x14ac:dyDescent="0.3">
      <c r="A4" s="6" t="s">
        <v>254</v>
      </c>
      <c r="B4" s="8" t="s">
        <v>23</v>
      </c>
      <c r="C4" s="7">
        <v>63.32496733401274</v>
      </c>
      <c r="D4" s="7">
        <v>-55.151198999999998</v>
      </c>
      <c r="E4" s="7">
        <v>48.167977</v>
      </c>
      <c r="F4" s="7" t="s">
        <v>14</v>
      </c>
      <c r="H4" s="51"/>
      <c r="J4" s="51"/>
    </row>
    <row r="5" spans="1:10" x14ac:dyDescent="0.3">
      <c r="A5" s="26" t="s">
        <v>51</v>
      </c>
      <c r="B5" s="27" t="s">
        <v>49</v>
      </c>
      <c r="C5" s="9">
        <v>51.027244410636946</v>
      </c>
      <c r="D5" s="9">
        <v>-261.87422040000001</v>
      </c>
      <c r="E5" s="9">
        <v>-38.866098100000002</v>
      </c>
      <c r="F5" s="9" t="s">
        <v>247</v>
      </c>
      <c r="H5" s="51"/>
      <c r="J5" s="51"/>
    </row>
    <row r="6" spans="1:10" x14ac:dyDescent="0.3">
      <c r="A6" s="6" t="s">
        <v>34</v>
      </c>
      <c r="B6" s="8" t="s">
        <v>32</v>
      </c>
      <c r="C6" s="7">
        <v>48.25314536751592</v>
      </c>
      <c r="D6" s="7">
        <v>67.937988000000004</v>
      </c>
      <c r="E6" s="7">
        <v>-34.612777000000001</v>
      </c>
      <c r="F6" s="7" t="s">
        <v>15</v>
      </c>
      <c r="H6" s="51"/>
      <c r="J6" s="51"/>
    </row>
    <row r="7" spans="1:10" x14ac:dyDescent="0.3">
      <c r="A7" s="26" t="s">
        <v>257</v>
      </c>
      <c r="B7" s="27" t="s">
        <v>93</v>
      </c>
      <c r="C7" s="9">
        <v>42.662934691146503</v>
      </c>
      <c r="D7" s="9">
        <v>150.45606080000002</v>
      </c>
      <c r="E7" s="9">
        <v>27.5588795</v>
      </c>
      <c r="F7" s="9" t="s">
        <v>15</v>
      </c>
      <c r="H7" s="51"/>
      <c r="J7" s="51"/>
    </row>
    <row r="8" spans="1:10" x14ac:dyDescent="0.3">
      <c r="A8" s="6" t="s">
        <v>164</v>
      </c>
      <c r="B8" s="8" t="s">
        <v>58</v>
      </c>
      <c r="C8" s="7">
        <v>36.179219963949045</v>
      </c>
      <c r="D8" s="7">
        <v>-85.29486</v>
      </c>
      <c r="E8" s="7">
        <v>11.539941000000001</v>
      </c>
      <c r="F8" s="54" t="s">
        <v>18</v>
      </c>
      <c r="H8" s="51"/>
      <c r="J8" s="51"/>
    </row>
    <row r="9" spans="1:10" x14ac:dyDescent="0.3">
      <c r="A9" s="26" t="s">
        <v>165</v>
      </c>
      <c r="B9" s="27" t="s">
        <v>55</v>
      </c>
      <c r="C9" s="9">
        <v>34.358200006828021</v>
      </c>
      <c r="D9" s="9">
        <v>32.249071999999998</v>
      </c>
      <c r="E9" s="9">
        <v>13.326233999999999</v>
      </c>
      <c r="F9" s="9" t="s">
        <v>15</v>
      </c>
      <c r="H9" s="51"/>
      <c r="J9" s="51"/>
    </row>
    <row r="10" spans="1:10" x14ac:dyDescent="0.3">
      <c r="A10" s="6" t="s">
        <v>166</v>
      </c>
      <c r="B10" s="8" t="s">
        <v>37</v>
      </c>
      <c r="C10" s="7">
        <v>32.615071044649682</v>
      </c>
      <c r="D10" s="7">
        <v>97.241337999999999</v>
      </c>
      <c r="E10" s="7">
        <v>10.019275</v>
      </c>
      <c r="F10" s="7" t="s">
        <v>11</v>
      </c>
      <c r="H10" s="51"/>
      <c r="J10" s="51"/>
    </row>
    <row r="11" spans="1:10" x14ac:dyDescent="0.3">
      <c r="A11" s="26" t="s">
        <v>167</v>
      </c>
      <c r="B11" s="27" t="s">
        <v>26</v>
      </c>
      <c r="C11" s="9">
        <v>31.71019838949044</v>
      </c>
      <c r="D11" s="9">
        <v>-27.186982</v>
      </c>
      <c r="E11" s="9">
        <v>10.153551</v>
      </c>
      <c r="F11" s="9" t="s">
        <v>18</v>
      </c>
      <c r="H11" s="51"/>
      <c r="J11" s="51"/>
    </row>
    <row r="12" spans="1:10" x14ac:dyDescent="0.3">
      <c r="A12" s="6" t="s">
        <v>168</v>
      </c>
      <c r="B12" s="8" t="s">
        <v>33</v>
      </c>
      <c r="C12" s="7">
        <v>29.054033998726112</v>
      </c>
      <c r="D12" s="7">
        <v>-184.838202</v>
      </c>
      <c r="E12" s="7">
        <v>-14.042014</v>
      </c>
      <c r="F12" s="7" t="s">
        <v>15</v>
      </c>
      <c r="H12" s="51"/>
      <c r="J12" s="51"/>
    </row>
    <row r="13" spans="1:10" x14ac:dyDescent="0.3">
      <c r="A13" s="26" t="s">
        <v>171</v>
      </c>
      <c r="B13" s="27" t="s">
        <v>87</v>
      </c>
      <c r="C13" s="9">
        <v>24.59012266783439</v>
      </c>
      <c r="D13" s="9">
        <v>-102.003888</v>
      </c>
      <c r="E13" s="9">
        <v>11.183325999999999</v>
      </c>
      <c r="F13" s="9" t="s">
        <v>14</v>
      </c>
      <c r="H13" s="51"/>
      <c r="J13" s="51"/>
    </row>
    <row r="14" spans="1:10" x14ac:dyDescent="0.3">
      <c r="A14" s="6" t="s">
        <v>169</v>
      </c>
      <c r="B14" s="8" t="s">
        <v>40</v>
      </c>
      <c r="C14" s="7">
        <v>23.804454343821661</v>
      </c>
      <c r="D14" s="7">
        <v>5.2054970000000003</v>
      </c>
      <c r="E14" s="7">
        <v>16.573266</v>
      </c>
      <c r="F14" s="7" t="s">
        <v>18</v>
      </c>
      <c r="H14" s="51"/>
      <c r="J14" s="51"/>
    </row>
    <row r="15" spans="1:10" x14ac:dyDescent="0.3">
      <c r="A15" s="26" t="s">
        <v>175</v>
      </c>
      <c r="B15" s="27" t="s">
        <v>44</v>
      </c>
      <c r="C15" s="9">
        <v>23.403226786942678</v>
      </c>
      <c r="D15" s="9">
        <v>140.26522399999999</v>
      </c>
      <c r="E15" s="9">
        <v>-21.612100999999999</v>
      </c>
      <c r="F15" s="9" t="s">
        <v>20</v>
      </c>
      <c r="H15" s="51"/>
      <c r="J15" s="51"/>
    </row>
    <row r="16" spans="1:10" x14ac:dyDescent="0.3">
      <c r="A16" s="6" t="s">
        <v>170</v>
      </c>
      <c r="B16" s="8" t="s">
        <v>43</v>
      </c>
      <c r="C16" s="7">
        <v>23.060438626433118</v>
      </c>
      <c r="D16" s="7">
        <v>31.356041999999999</v>
      </c>
      <c r="E16" s="7">
        <v>9.4728790000000007</v>
      </c>
      <c r="F16" s="7" t="s">
        <v>12</v>
      </c>
      <c r="H16" s="51"/>
      <c r="J16" s="51"/>
    </row>
    <row r="17" spans="1:10" x14ac:dyDescent="0.3">
      <c r="A17" s="26" t="s">
        <v>173</v>
      </c>
      <c r="B17" s="27" t="s">
        <v>54</v>
      </c>
      <c r="C17" s="9">
        <v>17.850299979171218</v>
      </c>
      <c r="D17" s="9">
        <v>-30.062056394799999</v>
      </c>
      <c r="E17" s="9">
        <v>-11.2711544971</v>
      </c>
      <c r="F17" s="9" t="s">
        <v>15</v>
      </c>
      <c r="H17" s="51"/>
      <c r="J17" s="51"/>
    </row>
    <row r="18" spans="1:10" x14ac:dyDescent="0.3">
      <c r="A18" s="6" t="s">
        <v>30</v>
      </c>
      <c r="B18" s="8" t="s">
        <v>25</v>
      </c>
      <c r="C18" s="7">
        <v>16.76810499133758</v>
      </c>
      <c r="D18" s="7">
        <v>98.490368000000004</v>
      </c>
      <c r="E18" s="7">
        <v>19.193372</v>
      </c>
      <c r="F18" s="7" t="s">
        <v>14</v>
      </c>
      <c r="H18" s="51"/>
      <c r="J18" s="51"/>
    </row>
    <row r="19" spans="1:10" x14ac:dyDescent="0.3">
      <c r="A19" s="26" t="s">
        <v>179</v>
      </c>
      <c r="B19" s="27" t="s">
        <v>45</v>
      </c>
      <c r="C19" s="9">
        <v>16.26937508808917</v>
      </c>
      <c r="D19" s="9">
        <v>-164.57704899999999</v>
      </c>
      <c r="E19" s="9">
        <v>-24.077273000000002</v>
      </c>
      <c r="F19" s="9" t="s">
        <v>248</v>
      </c>
      <c r="H19" s="51"/>
      <c r="J19" s="51"/>
    </row>
    <row r="20" spans="1:10" x14ac:dyDescent="0.3">
      <c r="A20" s="6" t="s">
        <v>174</v>
      </c>
      <c r="B20" s="8" t="s">
        <v>53</v>
      </c>
      <c r="C20" s="7">
        <v>16.15742085949045</v>
      </c>
      <c r="D20" s="7">
        <v>-51.322674499999998</v>
      </c>
      <c r="E20" s="7">
        <v>-1.3158265</v>
      </c>
      <c r="F20" s="7" t="s">
        <v>12</v>
      </c>
      <c r="H20" s="51"/>
      <c r="J20" s="51"/>
    </row>
    <row r="21" spans="1:10" x14ac:dyDescent="0.3">
      <c r="A21" s="26" t="s">
        <v>36</v>
      </c>
      <c r="B21" s="27" t="s">
        <v>31</v>
      </c>
      <c r="C21" s="9">
        <v>16.120588033503189</v>
      </c>
      <c r="D21" s="9">
        <v>-75.649868999999995</v>
      </c>
      <c r="E21" s="9">
        <v>-14.28492</v>
      </c>
      <c r="F21" s="9" t="s">
        <v>15</v>
      </c>
      <c r="H21" s="51"/>
      <c r="J21" s="51"/>
    </row>
    <row r="22" spans="1:10" x14ac:dyDescent="0.3">
      <c r="A22" s="6" t="s">
        <v>41</v>
      </c>
      <c r="B22" s="8" t="s">
        <v>39</v>
      </c>
      <c r="C22" s="7">
        <v>15.903392206815289</v>
      </c>
      <c r="D22" s="7">
        <v>88.782230999999996</v>
      </c>
      <c r="E22" s="7">
        <v>43.238619999999997</v>
      </c>
      <c r="F22" s="7" t="s">
        <v>15</v>
      </c>
      <c r="H22" s="51"/>
      <c r="J22" s="51"/>
    </row>
    <row r="23" spans="1:10" x14ac:dyDescent="0.3">
      <c r="A23" s="26" t="s">
        <v>172</v>
      </c>
      <c r="B23" s="27" t="s">
        <v>60</v>
      </c>
      <c r="C23" s="9">
        <v>15.366508020509551</v>
      </c>
      <c r="D23" s="9">
        <v>-73.578001999999998</v>
      </c>
      <c r="E23" s="9">
        <v>-1.6976169999999999</v>
      </c>
      <c r="F23" s="9" t="s">
        <v>18</v>
      </c>
      <c r="H23" s="51"/>
      <c r="J23" s="51"/>
    </row>
    <row r="24" spans="1:10" x14ac:dyDescent="0.3">
      <c r="A24" s="6" t="s">
        <v>177</v>
      </c>
      <c r="B24" s="8" t="s">
        <v>56</v>
      </c>
      <c r="C24" s="7">
        <v>13.38894897968153</v>
      </c>
      <c r="D24" s="7">
        <v>-146.238429</v>
      </c>
      <c r="E24" s="7">
        <v>-8.4984929999999999</v>
      </c>
      <c r="F24" s="7" t="s">
        <v>17</v>
      </c>
      <c r="H24" s="51"/>
      <c r="J24" s="51"/>
    </row>
    <row r="25" spans="1:10" x14ac:dyDescent="0.3">
      <c r="A25" s="26" t="s">
        <v>176</v>
      </c>
      <c r="B25" s="27" t="s">
        <v>50</v>
      </c>
      <c r="C25" s="9">
        <v>12.855360748649678</v>
      </c>
      <c r="D25" s="9">
        <v>11.742433999999999</v>
      </c>
      <c r="E25" s="9">
        <v>1.784807</v>
      </c>
      <c r="F25" s="9" t="s">
        <v>11</v>
      </c>
      <c r="H25" s="51"/>
      <c r="J25" s="51"/>
    </row>
    <row r="26" spans="1:10" x14ac:dyDescent="0.3">
      <c r="A26" s="6" t="s">
        <v>178</v>
      </c>
      <c r="B26" s="8" t="s">
        <v>82</v>
      </c>
      <c r="C26" s="7">
        <v>11.68893792987261</v>
      </c>
      <c r="D26" s="7">
        <v>-39.084389999999999</v>
      </c>
      <c r="E26" s="7">
        <v>-16.867379</v>
      </c>
      <c r="F26" s="7" t="s">
        <v>18</v>
      </c>
      <c r="H26" s="51"/>
      <c r="J26" s="51"/>
    </row>
    <row r="27" spans="1:10" x14ac:dyDescent="0.3">
      <c r="A27" s="26" t="s">
        <v>183</v>
      </c>
      <c r="B27" s="27" t="s">
        <v>57</v>
      </c>
      <c r="C27" s="9">
        <v>10.544368339204119</v>
      </c>
      <c r="D27" s="9">
        <v>-26.9955014351</v>
      </c>
      <c r="E27" s="9">
        <v>10.6506320871</v>
      </c>
      <c r="F27" s="9" t="s">
        <v>17</v>
      </c>
      <c r="H27" s="51"/>
      <c r="J27" s="51"/>
    </row>
    <row r="28" spans="1:10" x14ac:dyDescent="0.3">
      <c r="A28" s="6" t="s">
        <v>181</v>
      </c>
      <c r="B28" s="8" t="s">
        <v>80</v>
      </c>
      <c r="C28" s="7">
        <v>10.49293485203822</v>
      </c>
      <c r="D28" s="7">
        <v>45.634954</v>
      </c>
      <c r="E28" s="7">
        <v>-2.4184649999999999</v>
      </c>
      <c r="F28" s="7" t="s">
        <v>18</v>
      </c>
      <c r="H28" s="51"/>
      <c r="J28" s="51"/>
    </row>
    <row r="29" spans="1:10" x14ac:dyDescent="0.3">
      <c r="A29" s="26" t="s">
        <v>180</v>
      </c>
      <c r="B29" s="27" t="s">
        <v>94</v>
      </c>
      <c r="C29" s="9">
        <v>10.030686879554139</v>
      </c>
      <c r="D29" s="9">
        <v>-163.63479100000001</v>
      </c>
      <c r="E29" s="9">
        <v>-6.4242049999999997</v>
      </c>
      <c r="F29" s="9" t="s">
        <v>18</v>
      </c>
      <c r="H29" s="51"/>
      <c r="J29" s="51"/>
    </row>
    <row r="30" spans="1:10" x14ac:dyDescent="0.3">
      <c r="A30" s="6" t="s">
        <v>182</v>
      </c>
      <c r="B30" s="8" t="s">
        <v>78</v>
      </c>
      <c r="C30" s="7">
        <v>9.9963589473885346</v>
      </c>
      <c r="D30" s="7">
        <v>-31.032083</v>
      </c>
      <c r="E30" s="7">
        <v>-2.6687129999999999</v>
      </c>
      <c r="F30" s="7" t="s">
        <v>18</v>
      </c>
      <c r="H30" s="51"/>
      <c r="J30" s="51"/>
    </row>
    <row r="31" spans="1:10" x14ac:dyDescent="0.3">
      <c r="A31" s="26" t="s">
        <v>184</v>
      </c>
      <c r="B31" s="27" t="s">
        <v>115</v>
      </c>
      <c r="C31" s="9">
        <v>8.8736868044585968</v>
      </c>
      <c r="D31" s="9">
        <v>1.522911000000001</v>
      </c>
      <c r="E31" s="9">
        <v>17.125983999999999</v>
      </c>
      <c r="F31" s="9" t="s">
        <v>15</v>
      </c>
      <c r="H31" s="51"/>
      <c r="J31" s="51"/>
    </row>
    <row r="32" spans="1:10" x14ac:dyDescent="0.3">
      <c r="A32" s="6" t="s">
        <v>114</v>
      </c>
      <c r="B32" s="8" t="s">
        <v>109</v>
      </c>
      <c r="C32" s="7">
        <v>7.8786456742038213</v>
      </c>
      <c r="D32" s="7">
        <v>-32.122244000000002</v>
      </c>
      <c r="E32" s="7">
        <v>-1.962008</v>
      </c>
      <c r="F32" s="7" t="s">
        <v>18</v>
      </c>
      <c r="H32" s="51"/>
      <c r="J32" s="51"/>
    </row>
    <row r="33" spans="1:10" x14ac:dyDescent="0.3">
      <c r="A33" s="26" t="s">
        <v>186</v>
      </c>
      <c r="B33" s="27" t="s">
        <v>61</v>
      </c>
      <c r="C33" s="9">
        <v>7.3888722236942668</v>
      </c>
      <c r="D33" s="9">
        <v>17.274867</v>
      </c>
      <c r="E33" s="9">
        <v>1.058343</v>
      </c>
      <c r="F33" s="9" t="s">
        <v>17</v>
      </c>
      <c r="H33" s="51"/>
      <c r="J33" s="51"/>
    </row>
    <row r="34" spans="1:10" x14ac:dyDescent="0.3">
      <c r="A34" s="6" t="s">
        <v>187</v>
      </c>
      <c r="B34" s="8" t="s">
        <v>97</v>
      </c>
      <c r="C34" s="7">
        <v>6.9282629246496823</v>
      </c>
      <c r="D34" s="7">
        <v>1.239235000000003</v>
      </c>
      <c r="E34" s="7">
        <v>-2.3511044999999999</v>
      </c>
      <c r="F34" s="7" t="s">
        <v>18</v>
      </c>
      <c r="H34" s="51"/>
      <c r="J34" s="51"/>
    </row>
    <row r="35" spans="1:10" x14ac:dyDescent="0.3">
      <c r="A35" s="26" t="s">
        <v>190</v>
      </c>
      <c r="B35" s="27" t="s">
        <v>95</v>
      </c>
      <c r="C35" s="9">
        <v>6.2463095571885354</v>
      </c>
      <c r="D35" s="9">
        <v>30.529795094200001</v>
      </c>
      <c r="E35" s="9">
        <v>-5.3548411119999999</v>
      </c>
      <c r="F35" s="9" t="s">
        <v>248</v>
      </c>
      <c r="H35" s="51"/>
      <c r="J35" s="51"/>
    </row>
    <row r="36" spans="1:10" x14ac:dyDescent="0.3">
      <c r="A36" s="6" t="s">
        <v>185</v>
      </c>
      <c r="B36" s="8" t="s">
        <v>258</v>
      </c>
      <c r="C36" s="7">
        <v>6.2047271646496824</v>
      </c>
      <c r="D36" s="7">
        <v>5.8648790000000002</v>
      </c>
      <c r="E36" s="7">
        <v>6.1821599999999997</v>
      </c>
      <c r="F36" s="7" t="s">
        <v>248</v>
      </c>
      <c r="H36" s="51"/>
      <c r="J36" s="51"/>
    </row>
    <row r="37" spans="1:10" x14ac:dyDescent="0.3">
      <c r="A37" s="26" t="s">
        <v>192</v>
      </c>
      <c r="B37" s="27" t="s">
        <v>118</v>
      </c>
      <c r="C37" s="9">
        <v>5.8794259970700642</v>
      </c>
      <c r="D37" s="9">
        <v>-2.4581879999999989</v>
      </c>
      <c r="E37" s="9">
        <v>1.8524130000000001</v>
      </c>
      <c r="F37" s="9" t="s">
        <v>18</v>
      </c>
      <c r="H37" s="51"/>
      <c r="J37" s="51"/>
    </row>
    <row r="38" spans="1:10" x14ac:dyDescent="0.3">
      <c r="A38" s="6" t="s">
        <v>188</v>
      </c>
      <c r="B38" s="8" t="s">
        <v>116</v>
      </c>
      <c r="C38" s="7">
        <v>5.067560532649682</v>
      </c>
      <c r="D38" s="7">
        <v>-70.821911</v>
      </c>
      <c r="E38" s="7">
        <v>-6.0746454999999999</v>
      </c>
      <c r="F38" s="7" t="s">
        <v>18</v>
      </c>
      <c r="H38" s="51"/>
      <c r="J38" s="51"/>
    </row>
    <row r="39" spans="1:10" x14ac:dyDescent="0.3">
      <c r="A39" s="26" t="s">
        <v>189</v>
      </c>
      <c r="B39" s="27" t="s">
        <v>117</v>
      </c>
      <c r="C39" s="9">
        <v>4.6583137694267513</v>
      </c>
      <c r="D39" s="9">
        <v>24.416916000000001</v>
      </c>
      <c r="E39" s="9">
        <v>2.4845744999999999</v>
      </c>
      <c r="F39" s="9" t="s">
        <v>12</v>
      </c>
      <c r="H39" s="51"/>
      <c r="J39" s="51"/>
    </row>
    <row r="40" spans="1:10" x14ac:dyDescent="0.3">
      <c r="A40" s="6" t="s">
        <v>193</v>
      </c>
      <c r="B40" s="8" t="s">
        <v>119</v>
      </c>
      <c r="C40" s="7">
        <v>4.6018482515923571</v>
      </c>
      <c r="D40" s="7">
        <v>1.6971959999999999</v>
      </c>
      <c r="E40" s="7">
        <v>9.3052054999999996</v>
      </c>
      <c r="F40" s="7" t="s">
        <v>248</v>
      </c>
      <c r="H40" s="51"/>
      <c r="J40" s="51"/>
    </row>
    <row r="41" spans="1:10" x14ac:dyDescent="0.3">
      <c r="A41" s="26" t="s">
        <v>194</v>
      </c>
      <c r="B41" s="27" t="s">
        <v>120</v>
      </c>
      <c r="C41" s="9">
        <v>4.1327291070063694</v>
      </c>
      <c r="D41" s="9">
        <v>-15.410584500000001</v>
      </c>
      <c r="E41" s="9">
        <v>-3.6292035</v>
      </c>
      <c r="F41" s="9" t="s">
        <v>248</v>
      </c>
      <c r="H41" s="51"/>
      <c r="J41" s="51"/>
    </row>
    <row r="42" spans="1:10" x14ac:dyDescent="0.3">
      <c r="A42" s="6" t="s">
        <v>191</v>
      </c>
      <c r="B42" s="8" t="s">
        <v>100</v>
      </c>
      <c r="C42" s="7">
        <v>4.0682348407643314</v>
      </c>
      <c r="D42" s="7">
        <v>-5.3814954999999998</v>
      </c>
      <c r="E42" s="7">
        <v>-0.13699349999999999</v>
      </c>
      <c r="F42" s="7" t="s">
        <v>15</v>
      </c>
      <c r="H42" s="51"/>
      <c r="J42" s="51"/>
    </row>
    <row r="43" spans="1:10" x14ac:dyDescent="0.3">
      <c r="A43" s="26" t="s">
        <v>197</v>
      </c>
      <c r="B43" s="27" t="s">
        <v>122</v>
      </c>
      <c r="C43" s="9">
        <v>3.8055844691719738</v>
      </c>
      <c r="D43" s="9">
        <v>-0.84868000000000043</v>
      </c>
      <c r="E43" s="9">
        <v>-0.210009</v>
      </c>
      <c r="F43" s="9" t="s">
        <v>12</v>
      </c>
      <c r="H43" s="51"/>
      <c r="J43" s="51"/>
    </row>
    <row r="44" spans="1:10" x14ac:dyDescent="0.3">
      <c r="A44" s="6" t="s">
        <v>110</v>
      </c>
      <c r="B44" s="8" t="s">
        <v>111</v>
      </c>
      <c r="C44" s="7">
        <v>3.466908052356688</v>
      </c>
      <c r="D44" s="7">
        <v>8.4651855000000005</v>
      </c>
      <c r="E44" s="7">
        <v>-0.58319750000000004</v>
      </c>
      <c r="F44" s="7" t="s">
        <v>18</v>
      </c>
      <c r="H44" s="51"/>
      <c r="J44" s="51"/>
    </row>
    <row r="45" spans="1:10" x14ac:dyDescent="0.3">
      <c r="A45" s="26" t="s">
        <v>195</v>
      </c>
      <c r="B45" s="27" t="s">
        <v>121</v>
      </c>
      <c r="C45" s="9">
        <v>3.4293986910828029</v>
      </c>
      <c r="D45" s="9">
        <v>16.266287500000001</v>
      </c>
      <c r="E45" s="9">
        <v>3.7207365000000001</v>
      </c>
      <c r="F45" s="9" t="s">
        <v>14</v>
      </c>
      <c r="H45" s="51"/>
      <c r="J45" s="51"/>
    </row>
    <row r="46" spans="1:10" x14ac:dyDescent="0.3">
      <c r="A46" s="6" t="s">
        <v>196</v>
      </c>
      <c r="B46" s="8" t="s">
        <v>101</v>
      </c>
      <c r="C46" s="7">
        <v>3.425792555414013</v>
      </c>
      <c r="D46" s="7">
        <v>-4.2958310000000024</v>
      </c>
      <c r="E46" s="7">
        <v>-4.4139385000000004</v>
      </c>
      <c r="F46" s="7" t="s">
        <v>18</v>
      </c>
      <c r="H46" s="51"/>
      <c r="J46" s="51"/>
    </row>
    <row r="47" spans="1:10" x14ac:dyDescent="0.3">
      <c r="A47" s="26" t="s">
        <v>205</v>
      </c>
      <c r="B47" s="27" t="s">
        <v>112</v>
      </c>
      <c r="C47" s="9">
        <v>3.3069955467515917</v>
      </c>
      <c r="D47" s="9">
        <v>-33.006596399999999</v>
      </c>
      <c r="E47" s="9">
        <v>-1.6588255000000001</v>
      </c>
      <c r="F47" s="9" t="s">
        <v>20</v>
      </c>
      <c r="H47" s="51"/>
      <c r="J47" s="51"/>
    </row>
    <row r="48" spans="1:10" x14ac:dyDescent="0.3">
      <c r="A48" s="6" t="s">
        <v>198</v>
      </c>
      <c r="B48" s="8" t="s">
        <v>96</v>
      </c>
      <c r="C48" s="7">
        <v>3.2336436006369427</v>
      </c>
      <c r="D48" s="7">
        <v>-7.9346009999999998</v>
      </c>
      <c r="E48" s="7">
        <v>-1.9828969999999999</v>
      </c>
      <c r="F48" s="7" t="s">
        <v>12</v>
      </c>
      <c r="H48" s="51"/>
      <c r="J48" s="51"/>
    </row>
    <row r="49" spans="1:10" x14ac:dyDescent="0.3">
      <c r="A49" s="26" t="s">
        <v>103</v>
      </c>
      <c r="B49" s="27" t="s">
        <v>102</v>
      </c>
      <c r="C49" s="9">
        <v>3.093195305095541</v>
      </c>
      <c r="D49" s="9">
        <v>-12.823537</v>
      </c>
      <c r="E49" s="9">
        <v>4.5544349999999998</v>
      </c>
      <c r="F49" s="9" t="s">
        <v>12</v>
      </c>
      <c r="H49" s="51"/>
      <c r="J49" s="51"/>
    </row>
    <row r="50" spans="1:10" x14ac:dyDescent="0.3">
      <c r="A50" s="6" t="s">
        <v>202</v>
      </c>
      <c r="B50" s="8" t="s">
        <v>126</v>
      </c>
      <c r="C50" s="7">
        <v>2.9176615578343954</v>
      </c>
      <c r="D50" s="7">
        <v>-15.714480999999999</v>
      </c>
      <c r="E50" s="7">
        <v>1.389084</v>
      </c>
      <c r="F50" s="7" t="s">
        <v>247</v>
      </c>
      <c r="H50" s="51"/>
      <c r="J50" s="51"/>
    </row>
    <row r="51" spans="1:10" x14ac:dyDescent="0.3">
      <c r="A51" s="26" t="s">
        <v>203</v>
      </c>
      <c r="B51" s="27" t="s">
        <v>127</v>
      </c>
      <c r="C51" s="9">
        <v>2.7970310259223572</v>
      </c>
      <c r="D51" s="9">
        <v>4.21160091503</v>
      </c>
      <c r="E51" s="9">
        <v>-1.11026555705</v>
      </c>
      <c r="F51" s="9" t="s">
        <v>11</v>
      </c>
      <c r="H51" s="51"/>
      <c r="J51" s="51"/>
    </row>
    <row r="52" spans="1:10" x14ac:dyDescent="0.3">
      <c r="A52" s="6" t="s">
        <v>207</v>
      </c>
      <c r="B52" s="8" t="s">
        <v>129</v>
      </c>
      <c r="C52" s="7">
        <v>2.4419438389808921</v>
      </c>
      <c r="D52" s="7">
        <v>4.4210000000000471E-2</v>
      </c>
      <c r="E52" s="7">
        <v>4.7219100000000003</v>
      </c>
      <c r="F52" s="7" t="s">
        <v>18</v>
      </c>
      <c r="H52" s="51"/>
      <c r="J52" s="51"/>
    </row>
    <row r="53" spans="1:10" x14ac:dyDescent="0.3">
      <c r="A53" s="26" t="s">
        <v>209</v>
      </c>
      <c r="B53" s="27" t="s">
        <v>113</v>
      </c>
      <c r="C53" s="9">
        <v>2.416991905732484</v>
      </c>
      <c r="D53" s="9">
        <v>-3.5350440000000001</v>
      </c>
      <c r="E53" s="9">
        <v>-1.6026372</v>
      </c>
      <c r="F53" s="9" t="s">
        <v>250</v>
      </c>
      <c r="H53" s="51"/>
      <c r="J53" s="51"/>
    </row>
    <row r="54" spans="1:10" x14ac:dyDescent="0.3">
      <c r="A54" s="6" t="s">
        <v>200</v>
      </c>
      <c r="B54" s="8" t="s">
        <v>124</v>
      </c>
      <c r="C54" s="7">
        <v>2.3537442160509552</v>
      </c>
      <c r="D54" s="7">
        <v>14.814465999999999</v>
      </c>
      <c r="E54" s="7">
        <v>1.046918</v>
      </c>
      <c r="F54" s="7" t="s">
        <v>249</v>
      </c>
      <c r="H54" s="51"/>
      <c r="J54" s="51"/>
    </row>
    <row r="55" spans="1:10" x14ac:dyDescent="0.3">
      <c r="A55" s="26" t="s">
        <v>221</v>
      </c>
      <c r="B55" s="27" t="s">
        <v>141</v>
      </c>
      <c r="C55" s="9">
        <v>2.0458651184713381</v>
      </c>
      <c r="D55" s="9">
        <v>15.6995605</v>
      </c>
      <c r="E55" s="9">
        <v>-1.117977</v>
      </c>
      <c r="F55" s="9" t="s">
        <v>15</v>
      </c>
      <c r="H55" s="51"/>
      <c r="J55" s="51"/>
    </row>
    <row r="56" spans="1:10" x14ac:dyDescent="0.3">
      <c r="A56" s="6" t="s">
        <v>210</v>
      </c>
      <c r="B56" s="8" t="s">
        <v>131</v>
      </c>
      <c r="C56" s="7">
        <v>1.988124270254777</v>
      </c>
      <c r="D56" s="7">
        <v>-13.150734</v>
      </c>
      <c r="E56" s="7">
        <v>-3.0527700000000002</v>
      </c>
      <c r="F56" s="7" t="s">
        <v>18</v>
      </c>
      <c r="H56" s="51"/>
      <c r="J56" s="51"/>
    </row>
    <row r="57" spans="1:10" x14ac:dyDescent="0.3">
      <c r="A57" s="26" t="s">
        <v>199</v>
      </c>
      <c r="B57" s="27" t="s">
        <v>123</v>
      </c>
      <c r="C57" s="9">
        <v>1.957360764968153</v>
      </c>
      <c r="D57" s="9">
        <v>-26.405773</v>
      </c>
      <c r="E57" s="9">
        <v>0.203512</v>
      </c>
      <c r="F57" s="9" t="s">
        <v>249</v>
      </c>
      <c r="H57" s="51"/>
      <c r="J57" s="51"/>
    </row>
    <row r="58" spans="1:10" x14ac:dyDescent="0.3">
      <c r="A58" s="6" t="s">
        <v>201</v>
      </c>
      <c r="B58" s="8" t="s">
        <v>125</v>
      </c>
      <c r="C58" s="7">
        <v>1.8272626559872611</v>
      </c>
      <c r="D58" s="7">
        <v>20.906005</v>
      </c>
      <c r="E58" s="7">
        <v>0.88573100000000005</v>
      </c>
      <c r="F58" s="7" t="s">
        <v>11</v>
      </c>
      <c r="H58" s="51"/>
      <c r="J58" s="51"/>
    </row>
    <row r="59" spans="1:10" x14ac:dyDescent="0.3">
      <c r="A59" s="26" t="s">
        <v>206</v>
      </c>
      <c r="B59" s="27" t="s">
        <v>59</v>
      </c>
      <c r="C59" s="9">
        <v>1.8069359236817522</v>
      </c>
      <c r="D59" s="9">
        <v>11.1620725183</v>
      </c>
      <c r="E59" s="9">
        <v>-0.36837082370000013</v>
      </c>
      <c r="F59" s="9" t="s">
        <v>12</v>
      </c>
      <c r="H59" s="51"/>
      <c r="J59" s="51"/>
    </row>
    <row r="60" spans="1:10" x14ac:dyDescent="0.3">
      <c r="A60" s="6" t="s">
        <v>208</v>
      </c>
      <c r="B60" s="8" t="s">
        <v>130</v>
      </c>
      <c r="C60" s="7">
        <v>1.7998846242708919</v>
      </c>
      <c r="D60" s="7">
        <v>-8.6564994698500008</v>
      </c>
      <c r="E60" s="7">
        <v>-2.0750798300000078E-2</v>
      </c>
      <c r="F60" s="7" t="s">
        <v>18</v>
      </c>
      <c r="H60" s="51"/>
      <c r="J60" s="51"/>
    </row>
    <row r="61" spans="1:10" x14ac:dyDescent="0.3">
      <c r="A61" s="26" t="s">
        <v>204</v>
      </c>
      <c r="B61" s="27" t="s">
        <v>128</v>
      </c>
      <c r="C61" s="9">
        <v>1.7517227598726122</v>
      </c>
      <c r="D61" s="9">
        <v>27.8130612</v>
      </c>
      <c r="E61" s="9">
        <v>-4.2339999999999999E-3</v>
      </c>
      <c r="F61" s="9" t="s">
        <v>250</v>
      </c>
      <c r="H61" s="51"/>
      <c r="J61" s="51"/>
    </row>
    <row r="62" spans="1:10" x14ac:dyDescent="0.3">
      <c r="A62" s="6" t="s">
        <v>220</v>
      </c>
      <c r="B62" s="8" t="s">
        <v>140</v>
      </c>
      <c r="C62" s="7">
        <v>1.7097327993630569</v>
      </c>
      <c r="D62" s="7">
        <v>-7.4771599999999996</v>
      </c>
      <c r="E62" s="7">
        <v>-0.71824699999999997</v>
      </c>
      <c r="F62" s="7" t="s">
        <v>18</v>
      </c>
      <c r="H62" s="51"/>
      <c r="J62" s="51"/>
    </row>
    <row r="63" spans="1:10" x14ac:dyDescent="0.3">
      <c r="A63" s="26" t="s">
        <v>212</v>
      </c>
      <c r="B63" s="27" t="s">
        <v>133</v>
      </c>
      <c r="C63" s="9">
        <v>1.6690003993630569</v>
      </c>
      <c r="D63" s="9">
        <v>-14.976728</v>
      </c>
      <c r="E63" s="9">
        <v>1.170069</v>
      </c>
      <c r="F63" s="9" t="s">
        <v>18</v>
      </c>
      <c r="H63" s="51"/>
      <c r="J63" s="51"/>
    </row>
    <row r="64" spans="1:10" x14ac:dyDescent="0.3">
      <c r="A64" s="6" t="s">
        <v>211</v>
      </c>
      <c r="B64" s="8" t="s">
        <v>132</v>
      </c>
      <c r="C64" s="7">
        <v>1.5052749350318471</v>
      </c>
      <c r="D64" s="7">
        <v>-15.889358</v>
      </c>
      <c r="E64" s="7">
        <v>0.28360350000000001</v>
      </c>
      <c r="F64" s="7" t="s">
        <v>250</v>
      </c>
      <c r="H64" s="51"/>
      <c r="J64" s="51"/>
    </row>
    <row r="65" spans="1:10" x14ac:dyDescent="0.3">
      <c r="A65" s="26" t="s">
        <v>216</v>
      </c>
      <c r="B65" s="27" t="s">
        <v>136</v>
      </c>
      <c r="C65" s="9">
        <v>1.5029721181005748</v>
      </c>
      <c r="D65" s="9">
        <v>-24.0029531709</v>
      </c>
      <c r="E65" s="9">
        <v>-0.70958381227</v>
      </c>
      <c r="F65" s="9" t="s">
        <v>18</v>
      </c>
      <c r="H65" s="51"/>
      <c r="J65" s="51"/>
    </row>
    <row r="66" spans="1:10" x14ac:dyDescent="0.3">
      <c r="A66" s="6" t="s">
        <v>215</v>
      </c>
      <c r="B66" s="8" t="s">
        <v>135</v>
      </c>
      <c r="C66" s="7">
        <v>1.440989796178344</v>
      </c>
      <c r="D66" s="7">
        <v>7.3250770000000003</v>
      </c>
      <c r="E66" s="7">
        <v>0.83428100000000005</v>
      </c>
      <c r="F66" s="7" t="s">
        <v>248</v>
      </c>
      <c r="H66" s="51"/>
      <c r="J66" s="51"/>
    </row>
    <row r="67" spans="1:10" x14ac:dyDescent="0.3">
      <c r="A67" s="26" t="s">
        <v>217</v>
      </c>
      <c r="B67" s="27" t="s">
        <v>137</v>
      </c>
      <c r="C67" s="9">
        <v>1.4266084076433119</v>
      </c>
      <c r="D67" s="9">
        <v>10.286758000000001</v>
      </c>
      <c r="E67" s="9">
        <v>4.02215E-2</v>
      </c>
      <c r="F67" s="9" t="s">
        <v>249</v>
      </c>
      <c r="H67" s="51"/>
      <c r="J67" s="51"/>
    </row>
    <row r="68" spans="1:10" x14ac:dyDescent="0.3">
      <c r="A68" s="6" t="s">
        <v>213</v>
      </c>
      <c r="B68" s="8" t="s">
        <v>98</v>
      </c>
      <c r="C68" s="7">
        <v>1.350834867646006</v>
      </c>
      <c r="D68" s="7">
        <v>-0.85106246746000058</v>
      </c>
      <c r="E68" s="7">
        <v>-0.28643632757000004</v>
      </c>
      <c r="F68" s="7" t="s">
        <v>15</v>
      </c>
      <c r="H68" s="51"/>
      <c r="J68" s="51"/>
    </row>
    <row r="69" spans="1:10" x14ac:dyDescent="0.3">
      <c r="A69" s="26" t="s">
        <v>214</v>
      </c>
      <c r="B69" s="27" t="s">
        <v>134</v>
      </c>
      <c r="C69" s="9">
        <v>1.311297685350318</v>
      </c>
      <c r="D69" s="9">
        <v>2.8045858999999997</v>
      </c>
      <c r="E69" s="9">
        <v>-0.78398460000000003</v>
      </c>
      <c r="F69" s="9" t="s">
        <v>250</v>
      </c>
      <c r="H69" s="51"/>
      <c r="J69" s="51"/>
    </row>
    <row r="70" spans="1:10" x14ac:dyDescent="0.3">
      <c r="A70" s="6" t="s">
        <v>225</v>
      </c>
      <c r="B70" s="8" t="s">
        <v>144</v>
      </c>
      <c r="C70" s="7">
        <v>1.132652353547531</v>
      </c>
      <c r="D70" s="7">
        <v>-40.960487560429996</v>
      </c>
      <c r="E70" s="7">
        <v>-0.65475745109999994</v>
      </c>
      <c r="F70" s="7" t="s">
        <v>18</v>
      </c>
      <c r="H70" s="51"/>
      <c r="J70" s="51"/>
    </row>
    <row r="71" spans="1:10" x14ac:dyDescent="0.3">
      <c r="A71" s="26" t="s">
        <v>229</v>
      </c>
      <c r="B71" s="27" t="s">
        <v>149</v>
      </c>
      <c r="C71" s="9">
        <v>1.1203079236942681</v>
      </c>
      <c r="D71" s="9">
        <v>10.034311499999999</v>
      </c>
      <c r="E71" s="9">
        <v>0.22391900000000001</v>
      </c>
      <c r="F71" s="9" t="s">
        <v>15</v>
      </c>
      <c r="H71" s="51"/>
      <c r="J71" s="51"/>
    </row>
    <row r="72" spans="1:10" x14ac:dyDescent="0.3">
      <c r="A72" s="6" t="s">
        <v>227</v>
      </c>
      <c r="B72" s="8" t="s">
        <v>147</v>
      </c>
      <c r="C72" s="7">
        <v>1.107171322292994</v>
      </c>
      <c r="D72" s="7">
        <v>-8.0453130000000002</v>
      </c>
      <c r="E72" s="7">
        <v>0.10324849999999999</v>
      </c>
      <c r="F72" s="7" t="s">
        <v>17</v>
      </c>
      <c r="H72" s="51"/>
      <c r="J72" s="51"/>
    </row>
    <row r="73" spans="1:10" x14ac:dyDescent="0.3">
      <c r="A73" s="26" t="s">
        <v>239</v>
      </c>
      <c r="B73" s="27" t="s">
        <v>259</v>
      </c>
      <c r="C73" s="9">
        <v>1.0989676898089169</v>
      </c>
      <c r="D73" s="9">
        <v>-2.6526955999999999</v>
      </c>
      <c r="E73" s="9">
        <v>-4.5698900000000001E-2</v>
      </c>
      <c r="F73" s="9" t="s">
        <v>249</v>
      </c>
      <c r="H73" s="51"/>
      <c r="J73" s="51"/>
    </row>
    <row r="74" spans="1:10" x14ac:dyDescent="0.3">
      <c r="A74" s="6" t="s">
        <v>222</v>
      </c>
      <c r="B74" s="8" t="s">
        <v>142</v>
      </c>
      <c r="C74" s="7">
        <v>1.0696885573248409</v>
      </c>
      <c r="D74" s="7">
        <v>5.633305</v>
      </c>
      <c r="E74" s="7">
        <v>0.50088999999999995</v>
      </c>
      <c r="F74" s="7" t="s">
        <v>247</v>
      </c>
      <c r="H74" s="51"/>
      <c r="J74" s="51"/>
    </row>
    <row r="75" spans="1:10" x14ac:dyDescent="0.3">
      <c r="A75" s="26" t="s">
        <v>219</v>
      </c>
      <c r="B75" s="27" t="s">
        <v>139</v>
      </c>
      <c r="C75" s="9">
        <v>1.039657047770701</v>
      </c>
      <c r="D75" s="9">
        <v>20.799261000000001</v>
      </c>
      <c r="E75" s="9">
        <v>-0.1034105</v>
      </c>
      <c r="F75" s="9" t="s">
        <v>18</v>
      </c>
      <c r="H75" s="51"/>
      <c r="J75" s="51"/>
    </row>
    <row r="76" spans="1:10" x14ac:dyDescent="0.3">
      <c r="A76" s="6" t="s">
        <v>218</v>
      </c>
      <c r="B76" s="8" t="s">
        <v>138</v>
      </c>
      <c r="C76" s="7">
        <v>1.000297961146497</v>
      </c>
      <c r="D76" s="7">
        <v>0.551871</v>
      </c>
      <c r="E76" s="7">
        <v>-2.2457000000000001E-2</v>
      </c>
      <c r="F76" s="7" t="s">
        <v>248</v>
      </c>
      <c r="H76" s="51"/>
      <c r="J76" s="51"/>
    </row>
    <row r="77" spans="1:10" x14ac:dyDescent="0.3">
      <c r="A77" s="26" t="s">
        <v>242</v>
      </c>
      <c r="B77" s="27" t="s">
        <v>160</v>
      </c>
      <c r="C77" s="9">
        <v>0.9948124611464968</v>
      </c>
      <c r="D77" s="9">
        <v>-5.7102975000000002</v>
      </c>
      <c r="E77" s="9">
        <v>0.32352300000000001</v>
      </c>
      <c r="F77" s="9" t="s">
        <v>12</v>
      </c>
      <c r="H77" s="51"/>
      <c r="J77" s="51"/>
    </row>
    <row r="78" spans="1:10" x14ac:dyDescent="0.3">
      <c r="A78" s="6" t="s">
        <v>226</v>
      </c>
      <c r="B78" s="8" t="s">
        <v>146</v>
      </c>
      <c r="C78" s="7">
        <v>0.95213375477707007</v>
      </c>
      <c r="D78" s="7">
        <v>-18.392295499999999</v>
      </c>
      <c r="E78" s="7">
        <v>-0.56538100000000002</v>
      </c>
      <c r="F78" s="7" t="s">
        <v>18</v>
      </c>
      <c r="H78" s="51"/>
      <c r="J78" s="51"/>
    </row>
    <row r="79" spans="1:10" x14ac:dyDescent="0.3">
      <c r="A79" s="26" t="s">
        <v>223</v>
      </c>
      <c r="B79" s="27" t="s">
        <v>108</v>
      </c>
      <c r="C79" s="9">
        <v>0.94183238321910823</v>
      </c>
      <c r="D79" s="9">
        <v>40.730444483699998</v>
      </c>
      <c r="E79" s="9">
        <v>0.295552333</v>
      </c>
      <c r="F79" s="9" t="s">
        <v>249</v>
      </c>
      <c r="H79" s="51"/>
      <c r="J79" s="51"/>
    </row>
    <row r="80" spans="1:10" x14ac:dyDescent="0.3">
      <c r="A80" s="6" t="s">
        <v>245</v>
      </c>
      <c r="B80" s="8" t="s">
        <v>162</v>
      </c>
      <c r="C80" s="7">
        <v>0.92950595286624205</v>
      </c>
      <c r="D80" s="7">
        <v>3.3768349999999998</v>
      </c>
      <c r="E80" s="7">
        <v>-0.28461199999999987</v>
      </c>
      <c r="F80" s="7" t="s">
        <v>15</v>
      </c>
      <c r="H80" s="51"/>
      <c r="J80" s="51"/>
    </row>
    <row r="81" spans="1:10" x14ac:dyDescent="0.3">
      <c r="A81" s="26" t="s">
        <v>224</v>
      </c>
      <c r="B81" s="27" t="s">
        <v>143</v>
      </c>
      <c r="C81" s="9">
        <v>0.90315428152866228</v>
      </c>
      <c r="D81" s="9">
        <v>6.8667065000000003</v>
      </c>
      <c r="E81" s="9">
        <v>0.24963650000000001</v>
      </c>
      <c r="F81" s="9" t="s">
        <v>249</v>
      </c>
      <c r="H81" s="51"/>
      <c r="J81" s="51"/>
    </row>
    <row r="82" spans="1:10" x14ac:dyDescent="0.3">
      <c r="A82" s="6" t="s">
        <v>235</v>
      </c>
      <c r="B82" s="8" t="s">
        <v>155</v>
      </c>
      <c r="C82" s="7">
        <v>0.84037318471337574</v>
      </c>
      <c r="D82" s="7">
        <v>7.8181944999999997</v>
      </c>
      <c r="E82" s="7">
        <v>0.10085</v>
      </c>
      <c r="F82" s="7" t="s">
        <v>18</v>
      </c>
      <c r="H82" s="51"/>
      <c r="J82" s="51"/>
    </row>
    <row r="83" spans="1:10" x14ac:dyDescent="0.3">
      <c r="A83" s="26" t="s">
        <v>234</v>
      </c>
      <c r="B83" s="27" t="s">
        <v>154</v>
      </c>
      <c r="C83" s="9">
        <v>0.8348164777070064</v>
      </c>
      <c r="D83" s="9">
        <v>5.7361630000000003</v>
      </c>
      <c r="E83" s="9">
        <v>8.2809999999999995E-2</v>
      </c>
      <c r="F83" s="9" t="s">
        <v>15</v>
      </c>
      <c r="H83" s="51"/>
      <c r="J83" s="51"/>
    </row>
    <row r="84" spans="1:10" x14ac:dyDescent="0.3">
      <c r="A84" s="6" t="s">
        <v>236</v>
      </c>
      <c r="B84" s="8" t="s">
        <v>91</v>
      </c>
      <c r="C84" s="7">
        <v>0.81589612101910836</v>
      </c>
      <c r="D84" s="7">
        <v>1.1887805</v>
      </c>
      <c r="E84" s="7">
        <v>-0.37523200000000001</v>
      </c>
      <c r="F84" s="7" t="s">
        <v>12</v>
      </c>
      <c r="H84" s="51"/>
      <c r="J84" s="51"/>
    </row>
    <row r="85" spans="1:10" x14ac:dyDescent="0.3">
      <c r="A85" s="26" t="s">
        <v>232</v>
      </c>
      <c r="B85" s="27" t="s">
        <v>152</v>
      </c>
      <c r="C85" s="9">
        <v>0.77210286624203817</v>
      </c>
      <c r="D85" s="9">
        <v>6.3405019999999999</v>
      </c>
      <c r="E85" s="9">
        <v>5.2929499999999997E-2</v>
      </c>
      <c r="F85" s="9" t="s">
        <v>17</v>
      </c>
      <c r="H85" s="51"/>
      <c r="J85" s="51"/>
    </row>
    <row r="86" spans="1:10" x14ac:dyDescent="0.3">
      <c r="A86" s="6" t="s">
        <v>241</v>
      </c>
      <c r="B86" s="8" t="s">
        <v>159</v>
      </c>
      <c r="C86" s="7">
        <v>0.77201534713375797</v>
      </c>
      <c r="D86" s="7">
        <v>11.59732</v>
      </c>
      <c r="E86" s="7">
        <v>0.54394100000000001</v>
      </c>
      <c r="F86" s="7" t="s">
        <v>12</v>
      </c>
      <c r="H86" s="51"/>
      <c r="J86" s="51"/>
    </row>
    <row r="87" spans="1:10" x14ac:dyDescent="0.3">
      <c r="A87" s="26" t="s">
        <v>231</v>
      </c>
      <c r="B87" s="27" t="s">
        <v>151</v>
      </c>
      <c r="C87" s="9">
        <v>0.76974357452229303</v>
      </c>
      <c r="D87" s="9">
        <v>1.9088431000000001</v>
      </c>
      <c r="E87" s="9">
        <v>-0.16829239999999998</v>
      </c>
      <c r="F87" s="9" t="s">
        <v>11</v>
      </c>
      <c r="H87" s="51"/>
      <c r="J87" s="51"/>
    </row>
    <row r="88" spans="1:10" x14ac:dyDescent="0.3">
      <c r="A88" s="6" t="s">
        <v>237</v>
      </c>
      <c r="B88" s="8" t="s">
        <v>156</v>
      </c>
      <c r="C88" s="7">
        <v>0.74409475248407642</v>
      </c>
      <c r="D88" s="7">
        <v>-7.5780215000000002</v>
      </c>
      <c r="E88" s="7">
        <v>-1.1178499999999999E-2</v>
      </c>
      <c r="F88" s="7" t="s">
        <v>18</v>
      </c>
      <c r="H88" s="51"/>
      <c r="J88" s="51"/>
    </row>
    <row r="89" spans="1:10" x14ac:dyDescent="0.3">
      <c r="A89" s="26" t="s">
        <v>255</v>
      </c>
      <c r="B89" s="27" t="s">
        <v>256</v>
      </c>
      <c r="C89" s="9">
        <v>0.73171303503184715</v>
      </c>
      <c r="D89" s="9">
        <v>-3.1489704999999999</v>
      </c>
      <c r="E89" s="9">
        <v>-1.1726615</v>
      </c>
      <c r="F89" s="9" t="s">
        <v>17</v>
      </c>
      <c r="H89" s="51"/>
      <c r="J89" s="51"/>
    </row>
    <row r="90" spans="1:10" x14ac:dyDescent="0.3">
      <c r="A90" s="6" t="s">
        <v>228</v>
      </c>
      <c r="B90" s="8" t="s">
        <v>148</v>
      </c>
      <c r="C90" s="7">
        <v>0.71840968789808923</v>
      </c>
      <c r="D90" s="7">
        <v>-11.384796699999999</v>
      </c>
      <c r="E90" s="7">
        <v>-6.1580900000000001E-2</v>
      </c>
      <c r="F90" s="7" t="s">
        <v>249</v>
      </c>
      <c r="H90" s="51"/>
      <c r="J90" s="51"/>
    </row>
    <row r="91" spans="1:10" x14ac:dyDescent="0.3">
      <c r="A91" s="26" t="s">
        <v>261</v>
      </c>
      <c r="B91" s="27" t="s">
        <v>260</v>
      </c>
      <c r="C91" s="9">
        <v>0.64566888535031852</v>
      </c>
      <c r="D91" s="9">
        <v>27.74388699999999</v>
      </c>
      <c r="E91" s="9">
        <v>0.99866999999999995</v>
      </c>
      <c r="F91" s="9" t="s">
        <v>14</v>
      </c>
      <c r="H91" s="51"/>
      <c r="J91" s="51"/>
    </row>
    <row r="92" spans="1:10" x14ac:dyDescent="0.3">
      <c r="A92" s="6" t="s">
        <v>243</v>
      </c>
      <c r="B92" s="8" t="s">
        <v>99</v>
      </c>
      <c r="C92" s="7">
        <v>0.63880873339808919</v>
      </c>
      <c r="D92" s="7">
        <v>-17.246280958</v>
      </c>
      <c r="E92" s="7">
        <v>-0.29583070419999996</v>
      </c>
      <c r="F92" s="7" t="s">
        <v>18</v>
      </c>
      <c r="H92" s="51"/>
      <c r="J92" s="51"/>
    </row>
    <row r="93" spans="1:10" x14ac:dyDescent="0.3">
      <c r="A93" s="26" t="s">
        <v>230</v>
      </c>
      <c r="B93" s="27" t="s">
        <v>150</v>
      </c>
      <c r="C93" s="9">
        <v>0.62583493821656055</v>
      </c>
      <c r="D93" s="9">
        <v>3.1396519999999999</v>
      </c>
      <c r="E93" s="9">
        <v>-6.6656499999999994E-2</v>
      </c>
      <c r="F93" s="9" t="s">
        <v>15</v>
      </c>
      <c r="H93" s="51"/>
      <c r="J93" s="51"/>
    </row>
    <row r="94" spans="1:10" x14ac:dyDescent="0.3">
      <c r="A94" s="6" t="s">
        <v>246</v>
      </c>
      <c r="B94" s="8" t="s">
        <v>163</v>
      </c>
      <c r="C94" s="7">
        <v>0.59167083312101909</v>
      </c>
      <c r="D94" s="7">
        <v>-6.1455918</v>
      </c>
      <c r="E94" s="7">
        <v>1.6610799999999998E-2</v>
      </c>
      <c r="F94" s="7" t="s">
        <v>16</v>
      </c>
      <c r="H94" s="51"/>
      <c r="J94" s="51"/>
    </row>
    <row r="95" spans="1:10" x14ac:dyDescent="0.3">
      <c r="A95" s="26" t="s">
        <v>244</v>
      </c>
      <c r="B95" s="27" t="s">
        <v>161</v>
      </c>
      <c r="C95" s="9">
        <v>0.56973903001554771</v>
      </c>
      <c r="D95" s="9">
        <v>-11.247395211899999</v>
      </c>
      <c r="E95" s="9">
        <v>-1.2276422201000001</v>
      </c>
      <c r="F95" s="9" t="s">
        <v>18</v>
      </c>
      <c r="H95" s="51"/>
      <c r="J95" s="51"/>
    </row>
    <row r="96" spans="1:10" x14ac:dyDescent="0.3">
      <c r="A96" s="6" t="s">
        <v>263</v>
      </c>
      <c r="B96" s="8" t="s">
        <v>264</v>
      </c>
      <c r="C96" s="7">
        <v>0.54704549681528658</v>
      </c>
      <c r="D96" s="7">
        <v>-4.0888254999999996</v>
      </c>
      <c r="E96" s="7">
        <v>-1.4875535</v>
      </c>
      <c r="F96" s="7" t="s">
        <v>18</v>
      </c>
      <c r="H96" s="51"/>
      <c r="J96" s="51"/>
    </row>
    <row r="97" spans="1:10" x14ac:dyDescent="0.3">
      <c r="A97" s="26" t="s">
        <v>238</v>
      </c>
      <c r="B97" s="27" t="s">
        <v>157</v>
      </c>
      <c r="C97" s="9">
        <v>0.48705630070063688</v>
      </c>
      <c r="D97" s="9">
        <v>4.3494279999999996</v>
      </c>
      <c r="E97" s="9">
        <v>0.1294315</v>
      </c>
      <c r="F97" s="9" t="s">
        <v>18</v>
      </c>
      <c r="H97" s="51"/>
      <c r="J97" s="51"/>
    </row>
    <row r="98" spans="1:10" x14ac:dyDescent="0.3">
      <c r="A98" s="6" t="s">
        <v>233</v>
      </c>
      <c r="B98" s="8" t="s">
        <v>153</v>
      </c>
      <c r="C98" s="7">
        <v>0.4820635420382165</v>
      </c>
      <c r="D98" s="7">
        <v>-6.6902489999999997</v>
      </c>
      <c r="E98" s="7">
        <v>0.124107</v>
      </c>
      <c r="F98" s="7" t="s">
        <v>12</v>
      </c>
      <c r="H98" s="51"/>
      <c r="J98" s="51"/>
    </row>
    <row r="99" spans="1:10" x14ac:dyDescent="0.3">
      <c r="A99" s="26" t="s">
        <v>283</v>
      </c>
      <c r="B99" s="27" t="s">
        <v>145</v>
      </c>
      <c r="C99" s="9">
        <v>0.48030703885350312</v>
      </c>
      <c r="D99" s="9">
        <v>8.100956</v>
      </c>
      <c r="E99" s="9">
        <v>0</v>
      </c>
      <c r="F99" s="9" t="s">
        <v>11</v>
      </c>
      <c r="H99" s="51"/>
      <c r="J99" s="51"/>
    </row>
    <row r="100" spans="1:10" x14ac:dyDescent="0.3">
      <c r="A100" s="6" t="s">
        <v>240</v>
      </c>
      <c r="B100" s="8" t="s">
        <v>158</v>
      </c>
      <c r="C100" s="7">
        <v>0.4713345751592356</v>
      </c>
      <c r="D100" s="7">
        <v>0.69878549999999995</v>
      </c>
      <c r="E100" s="7">
        <v>4.4615699999999994E-2</v>
      </c>
      <c r="F100" s="7" t="s">
        <v>15</v>
      </c>
      <c r="H100" s="51"/>
      <c r="J100" s="51"/>
    </row>
    <row r="101" spans="1:10" x14ac:dyDescent="0.3">
      <c r="A101" s="62" t="s">
        <v>265</v>
      </c>
      <c r="B101" s="63" t="s">
        <v>266</v>
      </c>
      <c r="C101" s="10">
        <v>0.46729739426751599</v>
      </c>
      <c r="D101" s="10">
        <v>-8.2449639999999995</v>
      </c>
      <c r="E101" s="10">
        <v>0.2032225</v>
      </c>
      <c r="F101" s="10" t="s">
        <v>248</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253</v>
      </c>
    </row>
    <row r="107" spans="1:10" x14ac:dyDescent="0.3">
      <c r="A107" s="12" t="s">
        <v>252</v>
      </c>
    </row>
    <row r="108" spans="1:10" x14ac:dyDescent="0.3">
      <c r="A108" s="12" t="s">
        <v>284</v>
      </c>
    </row>
    <row r="109" spans="1:10" x14ac:dyDescent="0.3">
      <c r="A109" s="12" t="s">
        <v>77</v>
      </c>
    </row>
  </sheetData>
  <pageMargins left="0.7" right="0.7" top="0.75" bottom="0.75" header="0.3" footer="0.3"/>
  <pageSetup orientation="portrait" r:id="rId1"/>
  <ignoredErrors>
    <ignoredError sqref="B36 B7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2023-08-21T06:41:42Z</dcterms:modified>
</cp:coreProperties>
</file>