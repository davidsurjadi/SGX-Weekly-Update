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B784C93B-4E19-4BB1-A135-CCCEC8193B12}" xr6:coauthVersionLast="47" xr6:coauthVersionMax="47" xr10:uidLastSave="{00000000-0000-0000-0000-000000000000}"/>
  <bookViews>
    <workbookView xWindow="-120" yWindow="-120" windowWidth="25440" windowHeight="1527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<sst xmlns="http://schemas.openxmlformats.org/spreadsheetml/2006/main" count="139" uniqueCount="91">
  <si>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</si>
  <si>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</si>
  <si>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</si>
  <si>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</si>
  <si>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</si>
  <si>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</si>
  <si>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</si>
  <si>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</si>
  <si>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</si>
  <si>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</si>
  <si>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</si>
  <si>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</si>
  <si>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</si>
  <si>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</si>
  <si>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</si>
  <si>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</si>
  <si>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</si>
  <si>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</si>
  <si>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</si>
  <si>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</si>
  <si>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</si>
  <si>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</si>
  <si>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</si>
  <si>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</si>
  <si>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</si>
  <si>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</si>
  <si>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</si>
  <si>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</si>
  <si>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</si>
  <si>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</si>
  <si>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</si>
  <si>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</si>
  <si>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</si>
  <si>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</si>
  <si>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</si>
  <si>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</si>
  <si>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Singtel</t>
  </si>
  <si>
    <t>Z74</t>
  </si>
  <si>
    <t xml:space="preserve">AEM </t>
  </si>
  <si>
    <t>AWX</t>
  </si>
  <si>
    <t>Yangzijiang Shipbuilding</t>
  </si>
  <si>
    <t>BS6</t>
  </si>
  <si>
    <t>SIA</t>
  </si>
  <si>
    <t>C6L</t>
  </si>
  <si>
    <t>iFast Corporation</t>
  </si>
  <si>
    <t>AIY</t>
  </si>
  <si>
    <t>UOB</t>
  </si>
  <si>
    <t>U11</t>
  </si>
  <si>
    <t>CapitaLand Integrated Commercial Trust</t>
  </si>
  <si>
    <t>C38U</t>
  </si>
  <si>
    <t>Keppel</t>
  </si>
  <si>
    <t>BN4</t>
  </si>
  <si>
    <t>Wilmar International</t>
  </si>
  <si>
    <t>F34</t>
  </si>
  <si>
    <t>First Resources</t>
  </si>
  <si>
    <t>EB5</t>
  </si>
  <si>
    <t>CapitaLand Ascendas REIT</t>
  </si>
  <si>
    <t>A17U</t>
  </si>
  <si>
    <t>Hongkong Land</t>
  </si>
  <si>
    <t>H78</t>
  </si>
  <si>
    <t>ITS</t>
  </si>
  <si>
    <t xml:space="preserve">Frasers Centrepoint Trust </t>
  </si>
  <si>
    <t>J69U</t>
  </si>
  <si>
    <t>CSE Global</t>
  </si>
  <si>
    <t>544</t>
  </si>
  <si>
    <t>Suntec REIT</t>
  </si>
  <si>
    <t>T82U</t>
  </si>
  <si>
    <t>Aztech Global</t>
  </si>
  <si>
    <t>8AZ</t>
  </si>
  <si>
    <t>Jardine Matheson</t>
  </si>
  <si>
    <t>J36</t>
  </si>
  <si>
    <t>ST Engineering</t>
  </si>
  <si>
    <t>S63</t>
  </si>
  <si>
    <t>Mapletree Pan Asia Commercial Trust</t>
  </si>
  <si>
    <t>N2IU</t>
  </si>
  <si>
    <t>CapitaLand Investment</t>
  </si>
  <si>
    <t>9CI</t>
  </si>
  <si>
    <t>Mapletree Industrial Trust</t>
  </si>
  <si>
    <t>ME8U</t>
  </si>
  <si>
    <t>UOB Kay Hian</t>
  </si>
  <si>
    <t>U10</t>
  </si>
  <si>
    <t>Food Empire</t>
  </si>
  <si>
    <t>F03</t>
  </si>
  <si>
    <t>ISDN</t>
  </si>
  <si>
    <t>I07</t>
  </si>
  <si>
    <t>Week of 27 April 2026</t>
  </si>
  <si>
    <r>
      <t xml:space="preserve">Institutional investors net </t>
    </r>
    <r>
      <rPr>
        <b/>
        <sz val="11"/>
        <rFont val="Arial"/>
        <family val="2"/>
      </rPr>
      <t>sell</t>
    </r>
    <r>
      <rPr>
        <sz val="11"/>
        <rFont val="Arial"/>
        <family val="2"/>
      </rPr>
      <t xml:space="preserve"> (-S$379.4m) vs. (-S$551.8m) a week ago</t>
    </r>
  </si>
  <si>
    <r>
      <t xml:space="preserve">Retail investors net </t>
    </r>
    <r>
      <rPr>
        <b/>
        <sz val="11"/>
        <rFont val="Arial"/>
        <family val="2"/>
      </rPr>
      <t>buy</t>
    </r>
    <r>
      <rPr>
        <sz val="11"/>
        <rFont val="Arial"/>
        <family val="2"/>
      </rPr>
      <t xml:space="preserve"> (+S$298.6m) vs. (+S$721.7m) a week ago</t>
    </r>
  </si>
  <si>
    <t>Info-Tech</t>
  </si>
  <si>
    <t>Boustead</t>
  </si>
  <si>
    <t>F9D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</si>
</sst>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43" fontId="1" fillId="0" borderId="0" applyFont="0" applyFill="0" applyBorder="0" applyAlignment="0" applyProtection="0"/>
  </cellStyleXfs>
  <cellXfs count="82">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12" fillId="0" borderId="4" xfId="0" applyFont="1" applyFill="1" applyBorder="1" applyAlignment="1">
      <alignment vertical="center"/>
    </xf>
    <xf numFmtId="0" fontId="3" fillId="0" borderId="0" xfId="0" applyFont="1" applyFill="1" applyAlignment="1">
      <alignment horizontal="left"/>
    </xf>
    <xf numFmtId="164" fontId="3" fillId="0" borderId="4" xfId="0" applyNumberFormat="1" applyFont="1" applyFill="1" applyBorder="1" applyAlignment="1">
      <alignment horizontal="right"/>
    </xf>
    <xf numFmtId="0" fontId="3" fillId="5" borderId="0" xfId="0" applyFont="1" applyFill="1" applyAlignment="1">
      <alignment horizontal="left"/>
    </xf>
    <xf numFmtId="164"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4" fontId="3" fillId="7" borderId="4" xfId="0" applyNumberFormat="1" applyFont="1" applyFill="1" applyBorder="1" applyAlignment="1">
      <alignment horizontal="right"/>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115" zoomScaleNormal="115"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85</v>
      </c>
      <c r="C1" s="59"/>
    </row>
    <row r="2" spans="1:13" ht="15" x14ac:dyDescent="0.25">
      <c r="A2" s="52" t="s">
        <v>86</v>
      </c>
      <c r="I2" s="40"/>
    </row>
    <row r="3" spans="1:13" ht="15" x14ac:dyDescent="0.25">
      <c r="A3" s="52" t="s">
        <v>87</v>
      </c>
      <c r="I3" s="40"/>
    </row>
    <row r="5" spans="1:13" ht="29.25" customHeight="1" x14ac:dyDescent="0.2">
      <c r="A5" s="3" t="s">
        <v>0</v>
      </c>
      <c r="B5" s="3" t="s">
        <v>1</v>
      </c>
      <c r="C5" s="4" t="s">
        <v>85</v>
      </c>
      <c r="D5" s="43" t="s">
        <v>2</v>
      </c>
      <c r="E5" s="43" t="s">
        <v>1</v>
      </c>
      <c r="F5" s="44" t="str">
        <f>+C5</f>
        <v>Week of 27 April 2026</v>
      </c>
      <c r="I5" s="2"/>
    </row>
    <row r="6" spans="1:13" ht="15" x14ac:dyDescent="0.25">
      <c r="A6" s="28" t="s">
        <v>88</v>
      </c>
      <c r="B6" s="46" t="s">
        <v>60</v>
      </c>
      <c r="C6" s="5">
        <v>22.701389500000001</v>
      </c>
      <c r="D6" s="28" t="s">
        <v>22</v>
      </c>
      <c r="E6" s="46" t="s">
        <v>21</v>
      </c>
      <c r="F6" s="5">
        <v>-136.001712</v>
      </c>
      <c r="G6" s="61"/>
      <c r="H6"/>
      <c r="I6" s="2"/>
      <c r="M6"/>
    </row>
    <row r="7" spans="1:13" ht="15" x14ac:dyDescent="0.25">
      <c r="A7" s="29" t="s">
        <v>52</v>
      </c>
      <c r="B7" s="9" t="s">
        <v>53</v>
      </c>
      <c r="C7" s="7">
        <v>16.535530000000001</v>
      </c>
      <c r="D7" s="29" t="s">
        <v>36</v>
      </c>
      <c r="E7" s="9" t="s">
        <v>37</v>
      </c>
      <c r="F7" s="7">
        <v>-91.916972000000001</v>
      </c>
      <c r="G7" s="61"/>
      <c r="H7"/>
      <c r="I7" s="2"/>
      <c r="L7"/>
      <c r="M7"/>
    </row>
    <row r="8" spans="1:13" ht="15" x14ac:dyDescent="0.25">
      <c r="A8" s="30" t="s">
        <v>40</v>
      </c>
      <c r="B8" s="46" t="s">
        <v>41</v>
      </c>
      <c r="C8" s="5">
        <v>15.231843</v>
      </c>
      <c r="D8" s="30" t="s">
        <v>46</v>
      </c>
      <c r="E8" s="46" t="s">
        <v>47</v>
      </c>
      <c r="F8" s="5">
        <v>-39.234675000000003</v>
      </c>
      <c r="G8" s="61"/>
      <c r="H8"/>
      <c r="I8" s="2"/>
      <c r="L8"/>
      <c r="M8"/>
    </row>
    <row r="9" spans="1:13" ht="15" x14ac:dyDescent="0.25">
      <c r="A9" s="29" t="s">
        <v>58</v>
      </c>
      <c r="B9" s="9" t="s">
        <v>59</v>
      </c>
      <c r="C9" s="7">
        <v>12.941740126099999</v>
      </c>
      <c r="D9" s="29" t="s">
        <v>69</v>
      </c>
      <c r="E9" s="9" t="s">
        <v>70</v>
      </c>
      <c r="F9" s="7">
        <v>-33.520177818800001</v>
      </c>
      <c r="G9" s="61"/>
      <c r="H9"/>
      <c r="I9" s="2"/>
      <c r="L9"/>
      <c r="M9"/>
    </row>
    <row r="10" spans="1:13" ht="15" x14ac:dyDescent="0.25">
      <c r="A10" s="30" t="s">
        <v>34</v>
      </c>
      <c r="B10" s="46" t="s">
        <v>35</v>
      </c>
      <c r="C10" s="5">
        <v>10.684847</v>
      </c>
      <c r="D10" s="30" t="s">
        <v>42</v>
      </c>
      <c r="E10" s="46" t="s">
        <v>43</v>
      </c>
      <c r="F10" s="5">
        <v>-32.981974000000001</v>
      </c>
      <c r="G10" s="61"/>
      <c r="H10"/>
      <c r="I10" s="2"/>
      <c r="L10"/>
      <c r="M10"/>
    </row>
    <row r="11" spans="1:13" ht="15" x14ac:dyDescent="0.25">
      <c r="A11" s="29" t="s">
        <v>61</v>
      </c>
      <c r="B11" s="9" t="s">
        <v>62</v>
      </c>
      <c r="C11" s="7">
        <v>9.9049980000000009</v>
      </c>
      <c r="D11" s="29" t="s">
        <v>71</v>
      </c>
      <c r="E11" s="9" t="s">
        <v>72</v>
      </c>
      <c r="F11" s="7">
        <v>-23.386520999999998</v>
      </c>
      <c r="G11" s="61"/>
      <c r="H11"/>
      <c r="I11" s="2"/>
      <c r="L11"/>
      <c r="M11"/>
    </row>
    <row r="12" spans="1:13" ht="15" x14ac:dyDescent="0.25">
      <c r="A12" s="30" t="s">
        <v>54</v>
      </c>
      <c r="B12" s="46" t="s">
        <v>55</v>
      </c>
      <c r="C12" s="5">
        <v>7.6659480000000002</v>
      </c>
      <c r="D12" s="30" t="s">
        <v>50</v>
      </c>
      <c r="E12" s="46" t="s">
        <v>51</v>
      </c>
      <c r="F12" s="5">
        <v>-20.881146000000001</v>
      </c>
      <c r="G12" s="61"/>
      <c r="H12"/>
      <c r="I12" s="2"/>
      <c r="L12"/>
      <c r="M12"/>
    </row>
    <row r="13" spans="1:13" ht="15" x14ac:dyDescent="0.25">
      <c r="A13" s="29" t="s">
        <v>63</v>
      </c>
      <c r="B13" s="9" t="s">
        <v>64</v>
      </c>
      <c r="C13" s="7">
        <v>6.4709240000000001</v>
      </c>
      <c r="D13" s="29" t="s">
        <v>73</v>
      </c>
      <c r="E13" s="9" t="s">
        <v>74</v>
      </c>
      <c r="F13" s="7">
        <v>-18.690712000000001</v>
      </c>
      <c r="G13" s="61"/>
      <c r="H13"/>
      <c r="I13" s="2"/>
      <c r="L13"/>
      <c r="M13"/>
    </row>
    <row r="14" spans="1:13" ht="15" x14ac:dyDescent="0.25">
      <c r="A14" s="30" t="s">
        <v>65</v>
      </c>
      <c r="B14" s="46" t="s">
        <v>66</v>
      </c>
      <c r="C14" s="5">
        <v>6.1946529999999997</v>
      </c>
      <c r="D14" s="30" t="s">
        <v>48</v>
      </c>
      <c r="E14" s="46" t="s">
        <v>49</v>
      </c>
      <c r="F14" s="5">
        <v>-18.263008500000002</v>
      </c>
      <c r="G14" s="61"/>
      <c r="H14"/>
      <c r="I14" s="2"/>
      <c r="L14"/>
      <c r="M14"/>
    </row>
    <row r="15" spans="1:13" ht="15" x14ac:dyDescent="0.25">
      <c r="A15" s="31" t="s">
        <v>67</v>
      </c>
      <c r="B15" s="27" t="s">
        <v>68</v>
      </c>
      <c r="C15" s="8">
        <v>6.1727369999999997</v>
      </c>
      <c r="D15" s="31" t="s">
        <v>44</v>
      </c>
      <c r="E15" s="27" t="s">
        <v>45</v>
      </c>
      <c r="F15" s="8">
        <v>-15.109781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27 April 2026</v>
      </c>
      <c r="D18" s="45" t="s">
        <v>4</v>
      </c>
      <c r="E18" s="43" t="s">
        <v>1</v>
      </c>
      <c r="F18" s="44" t="str">
        <f>+C18</f>
        <v>Week of 27 April 2026</v>
      </c>
    </row>
    <row r="19" spans="1:9" x14ac:dyDescent="0.2">
      <c r="A19" s="30" t="s">
        <v>42</v>
      </c>
      <c r="B19" s="46" t="s">
        <v>43</v>
      </c>
      <c r="C19" s="16">
        <v>50.649721999999997</v>
      </c>
      <c r="D19" s="30" t="s">
        <v>22</v>
      </c>
      <c r="E19" s="15" t="s">
        <v>21</v>
      </c>
      <c r="F19" s="5">
        <v>-72.706614999999999</v>
      </c>
      <c r="I19" s="2"/>
    </row>
    <row r="20" spans="1:9" ht="15" x14ac:dyDescent="0.25">
      <c r="A20" s="29" t="s">
        <v>50</v>
      </c>
      <c r="B20" s="9" t="s">
        <v>51</v>
      </c>
      <c r="C20" s="7">
        <v>32.116410999999999</v>
      </c>
      <c r="D20" s="29" t="s">
        <v>88</v>
      </c>
      <c r="E20" s="17" t="s">
        <v>60</v>
      </c>
      <c r="F20" s="7">
        <v>-22.145888500000002</v>
      </c>
      <c r="G20" s="61"/>
      <c r="I20" s="2"/>
    </row>
    <row r="21" spans="1:9" ht="15" x14ac:dyDescent="0.25">
      <c r="A21" s="30" t="s">
        <v>38</v>
      </c>
      <c r="B21" s="46" t="s">
        <v>39</v>
      </c>
      <c r="C21" s="5">
        <v>31.917497999999998</v>
      </c>
      <c r="D21" s="30" t="s">
        <v>61</v>
      </c>
      <c r="E21" s="6" t="s">
        <v>62</v>
      </c>
      <c r="F21" s="5">
        <v>-10.312867000000001</v>
      </c>
      <c r="G21" s="61"/>
      <c r="I21" s="2"/>
    </row>
    <row r="22" spans="1:9" ht="15" x14ac:dyDescent="0.25">
      <c r="A22" s="74" t="s">
        <v>56</v>
      </c>
      <c r="B22" s="75" t="s">
        <v>57</v>
      </c>
      <c r="C22" s="76">
        <v>28.717101</v>
      </c>
      <c r="D22" s="29" t="s">
        <v>67</v>
      </c>
      <c r="E22" s="17" t="s">
        <v>68</v>
      </c>
      <c r="F22" s="7">
        <v>-9.4386779999999995</v>
      </c>
      <c r="G22" s="61"/>
      <c r="I22" s="2"/>
    </row>
    <row r="23" spans="1:9" ht="15" x14ac:dyDescent="0.25">
      <c r="A23" s="30" t="s">
        <v>71</v>
      </c>
      <c r="B23" s="77" t="s">
        <v>72</v>
      </c>
      <c r="C23" s="78">
        <v>24.850193000000001</v>
      </c>
      <c r="D23" s="30" t="s">
        <v>63</v>
      </c>
      <c r="E23" s="6" t="s">
        <v>64</v>
      </c>
      <c r="F23" s="5">
        <v>-8.2704450000000005</v>
      </c>
      <c r="G23" s="61"/>
      <c r="I23" s="2"/>
    </row>
    <row r="24" spans="1:9" ht="15" x14ac:dyDescent="0.25">
      <c r="A24" s="79" t="s">
        <v>75</v>
      </c>
      <c r="B24" s="80" t="s">
        <v>76</v>
      </c>
      <c r="C24" s="81">
        <v>22.541309999999999</v>
      </c>
      <c r="D24" s="29" t="s">
        <v>79</v>
      </c>
      <c r="E24" s="17" t="s">
        <v>80</v>
      </c>
      <c r="F24" s="7">
        <v>-7.2843840000000002</v>
      </c>
      <c r="G24" s="61"/>
      <c r="I24" s="2"/>
    </row>
    <row r="25" spans="1:9" ht="15" x14ac:dyDescent="0.25">
      <c r="A25" s="30" t="s">
        <v>73</v>
      </c>
      <c r="B25" s="77" t="s">
        <v>74</v>
      </c>
      <c r="C25" s="78">
        <v>22.053408999999998</v>
      </c>
      <c r="D25" s="30" t="s">
        <v>81</v>
      </c>
      <c r="E25" s="6" t="s">
        <v>82</v>
      </c>
      <c r="F25" s="5">
        <v>-5.3101529999999997</v>
      </c>
      <c r="G25" s="61"/>
      <c r="I25" s="2"/>
    </row>
    <row r="26" spans="1:9" ht="15" x14ac:dyDescent="0.25">
      <c r="A26" s="79" t="s">
        <v>77</v>
      </c>
      <c r="B26" s="80" t="s">
        <v>78</v>
      </c>
      <c r="C26" s="81">
        <v>17.722536999999999</v>
      </c>
      <c r="D26" s="29" t="s">
        <v>83</v>
      </c>
      <c r="E26" s="17" t="s">
        <v>84</v>
      </c>
      <c r="F26" s="7">
        <v>-4.3218765000000001</v>
      </c>
      <c r="G26" s="61"/>
      <c r="I26" s="2"/>
    </row>
    <row r="27" spans="1:9" ht="15" x14ac:dyDescent="0.25">
      <c r="A27" s="30" t="s">
        <v>36</v>
      </c>
      <c r="B27" s="46" t="s">
        <v>37</v>
      </c>
      <c r="C27" s="5">
        <v>17.5601029</v>
      </c>
      <c r="D27" s="30" t="s">
        <v>58</v>
      </c>
      <c r="E27" s="46" t="s">
        <v>59</v>
      </c>
      <c r="F27" s="5">
        <v>-4.2846825805000002</v>
      </c>
      <c r="G27" s="61"/>
      <c r="I27" s="2"/>
    </row>
    <row r="28" spans="1:9" ht="15" x14ac:dyDescent="0.25">
      <c r="A28" s="27" t="s">
        <v>46</v>
      </c>
      <c r="B28" s="56" t="s">
        <v>47</v>
      </c>
      <c r="C28" s="8">
        <v>17.493091</v>
      </c>
      <c r="D28" s="67" t="s">
        <v>89</v>
      </c>
      <c r="E28" s="56" t="s">
        <v>90</v>
      </c>
      <c r="F28" s="8">
        <v>-4.2632779999999997</v>
      </c>
      <c r="G28" s="61"/>
      <c r="I28" s="2"/>
    </row>
    <row r="29" spans="1:9" x14ac:dyDescent="0.2">
      <c r="A29" s="9"/>
      <c r="B29" s="9"/>
      <c r="C29" s="9"/>
      <c r="D29" s="9"/>
      <c r="E29" s="9"/>
      <c r="F29" s="9"/>
    </row>
    <row r="30" spans="1:9" x14ac:dyDescent="0.2">
      <c r="A30" s="10" t="s">
        <v>30</v>
      </c>
      <c r="B30" s="10"/>
      <c r="C30" s="9"/>
      <c r="D30" s="9"/>
      <c r="E30" s="9"/>
      <c r="F30" s="9"/>
    </row>
    <row r="31" spans="1:9" x14ac:dyDescent="0.2">
      <c r="A31" s="10" t="s">
        <v>27</v>
      </c>
      <c r="B31" s="10"/>
      <c r="C31" s="9"/>
      <c r="D31" s="9"/>
      <c r="E31" s="9"/>
      <c r="F31" s="9"/>
    </row>
    <row r="32" spans="1:9" x14ac:dyDescent="0.2">
      <c r="A32" s="10" t="s">
        <v>28</v>
      </c>
      <c r="B32" s="10"/>
      <c r="C32" s="9"/>
      <c r="D32" s="9"/>
      <c r="E32" s="9"/>
      <c r="F32" s="9"/>
    </row>
    <row r="33" spans="1:9" x14ac:dyDescent="0.2">
      <c r="A33" s="10" t="s">
        <v>6</v>
      </c>
      <c r="B33" s="10"/>
      <c r="C33" s="9"/>
      <c r="D33" s="9"/>
      <c r="E33" s="9"/>
      <c r="F33" s="9"/>
    </row>
    <row r="34" spans="1:9" x14ac:dyDescent="0.2">
      <c r="A34" s="57" t="s">
        <v>26</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23</v>
      </c>
      <c r="B37" s="19"/>
      <c r="C37" s="20"/>
      <c r="D37" s="20"/>
      <c r="E37" s="19"/>
      <c r="F37" s="19"/>
      <c r="I37" s="32"/>
    </row>
    <row r="38" spans="1:9" customFormat="1" ht="15" x14ac:dyDescent="0.25">
      <c r="A38" s="21" t="s">
        <v>32</v>
      </c>
      <c r="B38" s="19"/>
      <c r="C38" s="20"/>
      <c r="D38" s="20"/>
      <c r="E38" s="19"/>
      <c r="F38" s="19"/>
      <c r="I38" s="32"/>
    </row>
    <row r="39" spans="1:9" s="25" customFormat="1" ht="19.350000000000001" customHeight="1" x14ac:dyDescent="0.25">
      <c r="A39" s="22" t="s">
        <v>31</v>
      </c>
      <c r="B39" s="23"/>
      <c r="C39" s="24"/>
      <c r="D39" s="24"/>
      <c r="E39" s="23"/>
      <c r="F39" s="23"/>
      <c r="I39" s="35"/>
    </row>
    <row r="40" spans="1:9" ht="169.35" customHeight="1" x14ac:dyDescent="0.2">
      <c r="A40" s="68" t="s">
        <v>33</v>
      </c>
      <c r="B40" s="68"/>
      <c r="C40" s="68"/>
      <c r="D40" s="68"/>
      <c r="E40" s="68"/>
      <c r="F40" s="68"/>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3 E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2578125" defaultRowHeight="14.25" x14ac:dyDescent="0.2"/>
  <cols>
    <col min="1" max="1" width="8.42578125" style="2" bestFit="1" customWidth="1"/>
    <col min="2" max="2" width="15.28515625" style="2" bestFit="1"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0" width="7.42578125" style="2" bestFit="1" customWidth="1"/>
    <col min="11" max="11" width="8" style="2" bestFit="1" customWidth="1"/>
    <col min="12" max="12" width="12.85546875" style="2" bestFit="1" customWidth="1"/>
    <col min="13" max="13" width="8" style="2" bestFit="1" customWidth="1"/>
    <col min="14" max="14" width="8.7109375" style="2" bestFit="1" customWidth="1"/>
    <col min="15" max="16384" width="9.42578125" style="2"/>
  </cols>
  <sheetData>
    <row r="1" spans="1:15" ht="17.25" customHeight="1" x14ac:dyDescent="0.2">
      <c r="A1" s="69" t="s">
        <v>7</v>
      </c>
      <c r="B1" s="12"/>
      <c r="C1" s="71" t="s">
        <v>8</v>
      </c>
      <c r="D1" s="72"/>
      <c r="E1" s="72"/>
      <c r="F1" s="72"/>
      <c r="G1" s="72"/>
      <c r="H1" s="72"/>
      <c r="I1" s="72"/>
      <c r="J1" s="72"/>
      <c r="K1" s="72"/>
      <c r="L1" s="72"/>
      <c r="M1" s="72"/>
      <c r="N1" s="73"/>
    </row>
    <row r="2" spans="1:15" ht="75" x14ac:dyDescent="0.2">
      <c r="A2" s="70"/>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ht="15" x14ac:dyDescent="0.25">
      <c r="A3" s="38">
        <f>SUM(C3:N3)</f>
        <v>-162.72652362157004</v>
      </c>
      <c r="B3" s="54">
        <v>46118</v>
      </c>
      <c r="C3" s="14">
        <v>3.0254066735399996</v>
      </c>
      <c r="D3" s="14">
        <v>7.6585280450000015</v>
      </c>
      <c r="E3" s="14">
        <v>-7.9809181000000002</v>
      </c>
      <c r="F3" s="14">
        <v>-248.66741830000001</v>
      </c>
      <c r="G3" s="14">
        <v>7.3808060532000006</v>
      </c>
      <c r="H3" s="14">
        <v>42.485528601750005</v>
      </c>
      <c r="I3" s="14">
        <v>-1.5046863000000004</v>
      </c>
      <c r="J3" s="14">
        <v>15.541534539699997</v>
      </c>
      <c r="K3" s="14">
        <v>6.8530665652399936</v>
      </c>
      <c r="L3" s="14">
        <v>85.600479199999995</v>
      </c>
      <c r="M3" s="14">
        <v>-101.4428539</v>
      </c>
      <c r="N3" s="14">
        <v>28.324003300000001</v>
      </c>
    </row>
    <row r="4" spans="1:15" ht="15" x14ac:dyDescent="0.25">
      <c r="A4" s="38">
        <f>SUM(C4:N4)</f>
        <v>-357.44986196277006</v>
      </c>
      <c r="B4" s="42">
        <v>46125</v>
      </c>
      <c r="C4" s="53">
        <v>6.1141201936800016</v>
      </c>
      <c r="D4" s="53">
        <v>-26.696586815700002</v>
      </c>
      <c r="E4" s="53">
        <v>-3.2732348999999998</v>
      </c>
      <c r="F4" s="53">
        <v>-182.41578999999999</v>
      </c>
      <c r="G4" s="53">
        <v>-0.29985381449999987</v>
      </c>
      <c r="H4" s="53">
        <v>-46.182626853649992</v>
      </c>
      <c r="I4" s="53">
        <v>-1.0260273</v>
      </c>
      <c r="J4" s="53">
        <v>-10.624705756000001</v>
      </c>
      <c r="K4" s="53">
        <v>-10.038164932999999</v>
      </c>
      <c r="L4" s="53">
        <v>50.666613816399988</v>
      </c>
      <c r="M4" s="53">
        <v>-140.1813008</v>
      </c>
      <c r="N4" s="53">
        <v>6.5076951999999997</v>
      </c>
    </row>
    <row r="5" spans="1:15" ht="15" x14ac:dyDescent="0.25">
      <c r="A5" s="38">
        <f>SUM(C5:N5)</f>
        <v>-551.75180964167009</v>
      </c>
      <c r="B5" s="66">
        <v>46132</v>
      </c>
      <c r="C5" s="14">
        <v>-22.500601799199991</v>
      </c>
      <c r="D5" s="14">
        <v>15.882503576099996</v>
      </c>
      <c r="E5" s="14">
        <v>-2.5103825999999998</v>
      </c>
      <c r="F5" s="14">
        <v>-87.040505599999989</v>
      </c>
      <c r="G5" s="14">
        <v>-17.597595161400005</v>
      </c>
      <c r="H5" s="14">
        <v>-128.28490886090009</v>
      </c>
      <c r="I5" s="14">
        <v>-7.5182275000000045</v>
      </c>
      <c r="J5" s="14">
        <v>-13.372526303999996</v>
      </c>
      <c r="K5" s="14">
        <v>-82.052037107869978</v>
      </c>
      <c r="L5" s="14">
        <v>34.338305615599999</v>
      </c>
      <c r="M5" s="14">
        <v>-235.07882720000001</v>
      </c>
      <c r="N5" s="14">
        <v>-6.0170067000000005</v>
      </c>
    </row>
    <row r="6" spans="1:15" ht="15" x14ac:dyDescent="0.25">
      <c r="A6" s="38">
        <f>SUM(C6:N6)</f>
        <v>-379.37348722645993</v>
      </c>
      <c r="B6" s="58">
        <v>46139</v>
      </c>
      <c r="C6" s="53">
        <v>-7.8585814228999995</v>
      </c>
      <c r="D6" s="53">
        <v>35.979109767700002</v>
      </c>
      <c r="E6" s="53">
        <v>1.1019364999999999</v>
      </c>
      <c r="F6" s="53">
        <v>-175.10087210000003</v>
      </c>
      <c r="G6" s="53">
        <v>-6.3949651968999994</v>
      </c>
      <c r="H6" s="53">
        <v>-119.603255457</v>
      </c>
      <c r="I6" s="53">
        <v>-3.6055850000000005</v>
      </c>
      <c r="J6" s="53">
        <v>7.9158858260999985</v>
      </c>
      <c r="K6" s="53">
        <v>-30.601014143459988</v>
      </c>
      <c r="L6" s="53">
        <v>9.0207435000000089</v>
      </c>
      <c r="M6" s="53">
        <v>-90.162643400000007</v>
      </c>
      <c r="N6" s="53">
        <v>-6.4246099999999834E-2</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27</v>
      </c>
      <c r="C9" s="10"/>
      <c r="D9" s="10"/>
    </row>
    <row r="10" spans="1:15" x14ac:dyDescent="0.2">
      <c r="B10" s="10" t="s">
        <v>6</v>
      </c>
      <c r="C10" s="10"/>
      <c r="D10" s="10"/>
    </row>
    <row r="11" spans="1:15" x14ac:dyDescent="0.2">
      <c r="B11" s="10" t="s">
        <v>26</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2578125" defaultRowHeight="14.25" x14ac:dyDescent="0.2"/>
  <cols>
    <col min="1" max="1" width="8.42578125" style="2" bestFit="1" customWidth="1"/>
    <col min="2" max="2" width="15.5703125" style="2" bestFit="1" customWidth="1"/>
    <col min="3" max="4" width="11.42578125" style="2" bestFit="1" customWidth="1"/>
    <col min="5" max="5" width="10.5703125" style="2" bestFit="1" customWidth="1"/>
    <col min="6" max="6" width="10.140625" style="2" bestFit="1" customWidth="1"/>
    <col min="7" max="7" width="7.7109375" style="2" bestFit="1" customWidth="1"/>
    <col min="8" max="8" width="11.5703125" style="2" bestFit="1" customWidth="1"/>
    <col min="9" max="9" width="12.42578125" style="2" bestFit="1" customWidth="1"/>
    <col min="10" max="10" width="7.85546875" style="2" bestFit="1" customWidth="1"/>
    <col min="11" max="11" width="7.42578125" style="2" bestFit="1" customWidth="1"/>
    <col min="12" max="12" width="12.85546875" style="2" bestFit="1" customWidth="1"/>
    <col min="13" max="13" width="8" style="2" bestFit="1" customWidth="1"/>
    <col min="14" max="14" width="8.7109375" style="2" bestFit="1" customWidth="1"/>
    <col min="15" max="16384" width="9.42578125" style="2"/>
  </cols>
  <sheetData>
    <row r="1" spans="1:20" ht="17.25" customHeight="1" x14ac:dyDescent="0.2">
      <c r="A1" s="69" t="s">
        <v>7</v>
      </c>
      <c r="B1" s="12"/>
      <c r="C1" s="71" t="s">
        <v>8</v>
      </c>
      <c r="D1" s="72"/>
      <c r="E1" s="72"/>
      <c r="F1" s="72"/>
      <c r="G1" s="72"/>
      <c r="H1" s="72"/>
      <c r="I1" s="72"/>
      <c r="J1" s="72"/>
      <c r="K1" s="72"/>
      <c r="L1" s="72"/>
      <c r="M1" s="72"/>
      <c r="N1" s="73"/>
    </row>
    <row r="2" spans="1:20" ht="60" x14ac:dyDescent="0.2">
      <c r="A2" s="70"/>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ht="15" x14ac:dyDescent="0.25">
      <c r="A3" s="48">
        <f>SUM(C3:N3)</f>
        <v>-148.36424241341999</v>
      </c>
      <c r="B3" s="47">
        <v>46118</v>
      </c>
      <c r="C3" s="60">
        <v>-3.9537460244800005</v>
      </c>
      <c r="D3" s="60">
        <v>-28.450908786900001</v>
      </c>
      <c r="E3" s="60">
        <v>10.0688312</v>
      </c>
      <c r="F3" s="60">
        <v>101.97912909999999</v>
      </c>
      <c r="G3" s="60">
        <v>-23.420833841900009</v>
      </c>
      <c r="H3" s="60">
        <v>-63.713010307549993</v>
      </c>
      <c r="I3" s="60">
        <v>2.2575047000000006</v>
      </c>
      <c r="J3" s="60">
        <v>-15.907090697999998</v>
      </c>
      <c r="K3" s="60">
        <v>-18.482830138589996</v>
      </c>
      <c r="L3" s="60">
        <v>-142.107694216</v>
      </c>
      <c r="M3" s="60">
        <v>69.45226000000001</v>
      </c>
      <c r="N3" s="60">
        <v>-36.085853400000005</v>
      </c>
      <c r="P3" s="13"/>
    </row>
    <row r="4" spans="1:20" ht="15" x14ac:dyDescent="0.25">
      <c r="A4" s="48">
        <f>SUM(C4:N4)</f>
        <v>194.88145804061</v>
      </c>
      <c r="B4" s="58">
        <v>46125</v>
      </c>
      <c r="C4" s="55">
        <v>-2.8058384625999997</v>
      </c>
      <c r="D4" s="55">
        <v>43.871815760099999</v>
      </c>
      <c r="E4" s="55">
        <v>-7.2312048000000004</v>
      </c>
      <c r="F4" s="55">
        <v>89.517740000000003</v>
      </c>
      <c r="G4" s="55">
        <v>5.085898428800002</v>
      </c>
      <c r="H4" s="55">
        <v>127.46797113917999</v>
      </c>
      <c r="I4" s="55">
        <v>3.9820511000000005</v>
      </c>
      <c r="J4" s="55">
        <v>14.727465067300001</v>
      </c>
      <c r="K4" s="55">
        <v>-24.149271883769991</v>
      </c>
      <c r="L4" s="55">
        <v>-93.609490008399973</v>
      </c>
      <c r="M4" s="55">
        <v>51.781019699999995</v>
      </c>
      <c r="N4" s="55">
        <v>-13.756698</v>
      </c>
      <c r="P4" s="13"/>
    </row>
    <row r="5" spans="1:20" ht="15" x14ac:dyDescent="0.25">
      <c r="A5" s="48">
        <f>SUM(C5:N5)</f>
        <v>721.70845434967998</v>
      </c>
      <c r="B5" s="66">
        <v>46132</v>
      </c>
      <c r="C5" s="60">
        <v>32.160320297129999</v>
      </c>
      <c r="D5" s="60">
        <v>1.0988095139999983</v>
      </c>
      <c r="E5" s="60">
        <v>7.0185440000000003</v>
      </c>
      <c r="F5" s="60">
        <v>422.25299590000003</v>
      </c>
      <c r="G5" s="60">
        <v>26.225011665699995</v>
      </c>
      <c r="H5" s="60">
        <v>177.97119877949999</v>
      </c>
      <c r="I5" s="60">
        <v>8.259353400000002</v>
      </c>
      <c r="J5" s="60">
        <v>3.0209710779000001</v>
      </c>
      <c r="K5" s="60">
        <v>17.238329765450008</v>
      </c>
      <c r="L5" s="60">
        <v>-44.158908550000007</v>
      </c>
      <c r="M5" s="60">
        <v>64.55685489999999</v>
      </c>
      <c r="N5" s="60">
        <v>6.0649736000000001</v>
      </c>
      <c r="P5" s="13"/>
    </row>
    <row r="6" spans="1:20" ht="15" x14ac:dyDescent="0.25">
      <c r="A6" s="48">
        <f>SUM(C6:N6)</f>
        <v>298.62163700578003</v>
      </c>
      <c r="B6" s="58">
        <v>46139</v>
      </c>
      <c r="C6" s="55">
        <v>19.166126676810006</v>
      </c>
      <c r="D6" s="55">
        <v>-9.6497048102999994</v>
      </c>
      <c r="E6" s="55">
        <v>-1.2089656000000002</v>
      </c>
      <c r="F6" s="55">
        <v>-28.158516900000002</v>
      </c>
      <c r="G6" s="55">
        <v>7.0750317147000006</v>
      </c>
      <c r="H6" s="55">
        <v>165.37060647965004</v>
      </c>
      <c r="I6" s="55">
        <v>2.7251711999999997</v>
      </c>
      <c r="J6" s="55">
        <v>13.265931319500002</v>
      </c>
      <c r="K6" s="55">
        <v>68.738578575419965</v>
      </c>
      <c r="L6" s="55">
        <v>34.997628550000002</v>
      </c>
      <c r="M6" s="55">
        <v>16.936936299999999</v>
      </c>
      <c r="N6" s="55">
        <v>9.3628134999999997</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29</v>
      </c>
      <c r="C9" s="10"/>
      <c r="D9" s="10"/>
    </row>
    <row r="10" spans="1:20" x14ac:dyDescent="0.2">
      <c r="B10" s="10" t="s">
        <v>6</v>
      </c>
      <c r="C10" s="10"/>
      <c r="D10" s="10"/>
    </row>
    <row r="11" spans="1:20" x14ac:dyDescent="0.2">
      <c r="B11" s="10" t="s">
        <v>26</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2026-05-04T01:29:10Z</dcterms:modified>
</cp:coreProperties>
</file>