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codeName="ThisWorkbook"/>
  <mc:AlternateContent xmlns:mc="http://schemas.openxmlformats.org/markup-compatibility/2006">
    <mc:Choice Requires="x15">
      <x15ac:absPath xmlns:x15ac="http://schemas.microsoft.com/office/spreadsheetml/2010/11/ac" url="Z:\Research &amp; Retail &amp; Intermed\Research\Production\Insti fund flow tracker files\Draft reports\Final reports\Weekly excel files\"/>
    </mc:Choice>
  </mc:AlternateContent>
  <xr:revisionPtr revIDLastSave="0" documentId="13_ncr:1_{9AF2816E-63A9-4626-8667-2B68F0DA605F}" xr6:coauthVersionLast="47" xr6:coauthVersionMax="47" xr10:uidLastSave="{00000000-0000-0000-0000-000000000000}"/>
  <bookViews>
    <workbookView xWindow="28680" yWindow="-120" windowWidth="29040" windowHeight="15840" tabRatio="888"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1" i="5" l="1"/>
  <c r="D32" i="4" l="1"/>
  <c r="C32" i="4"/>
  <c r="A6" i="3"/>
  <c r="A5" i="3"/>
  <c r="A4" i="3"/>
  <c r="A3" i="3"/>
  <c r="A6" i="2"/>
  <c r="A5" i="2"/>
  <c r="A4" i="2"/>
  <c r="A3" i="2"/>
  <c r="A1" i="4" l="1"/>
  <c r="C18" i="1" l="1"/>
  <c r="F18" i="1" s="1"/>
  <c r="F5" i="1"/>
</calcChain>
</file>

<file path=xl/sharedStrings.xml><?xml version="1.0" encoding="utf-8"?>
<sst xmlns="http://schemas.openxmlformats.org/spreadsheetml/2006/main" count="517" uniqueCount="283">
  <si>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</si>
  <si>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</si>
  <si>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</si>
  <si>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</si>
  <si>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</si>
  <si>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</si>
  <si>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</si>
  <si>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</si>
  <si>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</si>
  <si>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</si>
  <si>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</si>
  <si>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</si>
  <si>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</si>
  <si>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</si>
  <si>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</si>
  <si>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</si>
  <si>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</si>
  <si>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</si>
  <si>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</si>
  <si>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</si>
  <si>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</si>
  <si>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</si>
  <si>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</si>
  <si>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</si>
  <si>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</si>
  <si>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</si>
  <si>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</si>
  <si>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</si>
  <si>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</si>
  <si>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</si>
  <si>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</si>
  <si>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</si>
  <si>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</si>
  <si>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</si>
  <si>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</si>
  <si>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</si>
  <si>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</si>
  <si>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</si>
  <si>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</si>
  <si>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</si>
  <si>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</si>
  <si>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</si>
  <si>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</si>
  <si>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</si>
  <si>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</si>
  <si>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</si>
  <si>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</si>
  <si>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</si>
  <si>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</si>
  <si>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</si>
  <si>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</si>
  <si>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</si>
  <si>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</si>
  <si>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</si>
  <si>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</si>
  <si>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</si>
  <si>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</si>
  <si>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</si>
  <si>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</si>
  <si>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</si>
  <si>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</si>
  <si>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</si>
  <si>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</si>
  <si>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</si>
  <si>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</si>
  <si>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</si>
  <si>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</si>
  <si>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</si>
  <si>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</si>
  <si>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</si>
  <si>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</si>
  <si>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</si>
  <si>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</si>
  <si>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</si>
  <si>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</si>
  <si>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</si>
  <si>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</si>
  <si>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</si>
  <si>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</si>
  <si>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</si>
  <si>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</si>
  <si>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</si>
  <si>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</si>
  <si>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</si>
  <si>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</si>
  <si>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</si>
  <si>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EMI</t>
  </si>
  <si>
    <t>CapitaLand Ascendas REIT</t>
  </si>
  <si>
    <t>T82U</t>
  </si>
  <si>
    <t>AWX</t>
  </si>
  <si>
    <t>OV8</t>
  </si>
  <si>
    <t>HMN</t>
  </si>
  <si>
    <t>NS8U</t>
  </si>
  <si>
    <t>CMOU</t>
  </si>
  <si>
    <t>S56</t>
  </si>
  <si>
    <t>AU8U</t>
  </si>
  <si>
    <t>VC2</t>
  </si>
  <si>
    <t>YTD Institution
Net Buy (+) / Net Sell (-) (S$M)</t>
  </si>
  <si>
    <t>YTD Avg Daily Turnover (S$M)</t>
  </si>
  <si>
    <t>Past 5 Sessions Institution Net Buy (+) / Net Sell (-) (S$M)</t>
  </si>
  <si>
    <t>Sector</t>
  </si>
  <si>
    <t>K71U</t>
  </si>
  <si>
    <t>J91U</t>
  </si>
  <si>
    <t>A7RU</t>
  </si>
  <si>
    <t>5WH</t>
  </si>
  <si>
    <t>C52</t>
  </si>
  <si>
    <t>JYEU</t>
  </si>
  <si>
    <t>E5H</t>
  </si>
  <si>
    <t>J69U</t>
  </si>
  <si>
    <t>E28</t>
  </si>
  <si>
    <t>MZH</t>
  </si>
  <si>
    <t>YF8</t>
  </si>
  <si>
    <t>EB5</t>
  </si>
  <si>
    <t>BSL</t>
  </si>
  <si>
    <t>CGN</t>
  </si>
  <si>
    <t>CJLU</t>
  </si>
  <si>
    <t>NIO</t>
  </si>
  <si>
    <t>CY6U</t>
  </si>
  <si>
    <t>DCRU</t>
  </si>
  <si>
    <t>J85</t>
  </si>
  <si>
    <t>RE4</t>
  </si>
  <si>
    <t>C2PU</t>
  </si>
  <si>
    <t>T13</t>
  </si>
  <si>
    <t>AIY</t>
  </si>
  <si>
    <t>BTOU</t>
  </si>
  <si>
    <t>BVA</t>
  </si>
  <si>
    <t>SK6U</t>
  </si>
  <si>
    <t>O5RU</t>
  </si>
  <si>
    <t>NO4</t>
  </si>
  <si>
    <t>CC3</t>
  </si>
  <si>
    <t>AP4</t>
  </si>
  <si>
    <t>OXMU</t>
  </si>
  <si>
    <t>Z25</t>
  </si>
  <si>
    <t>S08</t>
  </si>
  <si>
    <t>Q5T</t>
  </si>
  <si>
    <t>P40U</t>
  </si>
  <si>
    <t>F03</t>
  </si>
  <si>
    <t>P34</t>
  </si>
  <si>
    <t>CWBU</t>
  </si>
  <si>
    <t>ComfortDelGro</t>
  </si>
  <si>
    <t>Note ^ on SGX Watchlist</t>
  </si>
  <si>
    <t>All stocks tabled above consolidates counters relevant to the stock (e.g. fund flow for Singtel includes counters Z74 and Z77)</t>
  </si>
  <si>
    <t>Seatrium</t>
  </si>
  <si>
    <t>546</t>
  </si>
  <si>
    <t>TS0U</t>
  </si>
  <si>
    <t>8AZ</t>
  </si>
  <si>
    <t xml:space="preserve">Note that the above list of 100 most traded stocks is on a year-to-date basis and may include stocks that are currently suspended for trading. </t>
  </si>
  <si>
    <t>544</t>
  </si>
  <si>
    <t>Keppel</t>
  </si>
  <si>
    <t>F83</t>
  </si>
  <si>
    <t>5NV</t>
  </si>
  <si>
    <t>Z59</t>
  </si>
  <si>
    <t>BEZ</t>
  </si>
  <si>
    <t>G92</t>
  </si>
  <si>
    <t>H02</t>
  </si>
  <si>
    <t>S59</t>
  </si>
  <si>
    <t>5LY</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</si>
  <si>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</si>
  <si>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</si>
  <si>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</si>
  <si>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</si>
  <si>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</si>
  <si>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</si>
  <si>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</si>
  <si>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</si>
  <si>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</si>
  <si>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</si>
  <si>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</si>
  <si>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</si>
  <si>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</si>
  <si>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</si>
  <si>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</si>
  <si>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</si>
  <si>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</si>
  <si>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</si>
  <si>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</si>
  <si>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</si>
  <si>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</si>
  <si>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</si>
  <si>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</si>
  <si>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</si>
  <si>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</si>
  <si>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</si>
  <si>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</si>
  <si>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</si>
  <si>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</si>
  <si>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</si>
  <si>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</si>
  <si>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</si>
  <si>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</si>
  <si>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</si>
  <si>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</si>
  <si>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ESR-LOGOS REIT</t>
  </si>
  <si>
    <t>NetLink NBN Tr</t>
  </si>
  <si>
    <t>CapLand China T</t>
  </si>
  <si>
    <t>Rex Intl</t>
  </si>
  <si>
    <t>CapLand India T</t>
  </si>
  <si>
    <t>Lendlease Reit</t>
  </si>
  <si>
    <t>COSCO SHP SG</t>
  </si>
  <si>
    <t>CDL HTrust</t>
  </si>
  <si>
    <t>NIO Inc. USD OV</t>
  </si>
  <si>
    <t>ParkwayLife Reit</t>
  </si>
  <si>
    <t>DFIRG USD</t>
  </si>
  <si>
    <t>Kep Infra Tr</t>
  </si>
  <si>
    <t>Golden Agri-Res</t>
  </si>
  <si>
    <t>DigiCore Reit USD</t>
  </si>
  <si>
    <t>Sheng Siong</t>
  </si>
  <si>
    <t>Medtecs Intl</t>
  </si>
  <si>
    <t>YZJ Fin Hldg</t>
  </si>
  <si>
    <t>Dyna-Mac</t>
  </si>
  <si>
    <t>Food Empire</t>
  </si>
  <si>
    <t>First Resources</t>
  </si>
  <si>
    <t>StarHub</t>
  </si>
  <si>
    <t>Riverstone</t>
  </si>
  <si>
    <t>Yanlord Land</t>
  </si>
  <si>
    <t>Chasen</t>
  </si>
  <si>
    <t>HPH Trust USD</t>
  </si>
  <si>
    <t>AIMS APAC Reit</t>
  </si>
  <si>
    <t>Far East HTrust</t>
  </si>
  <si>
    <t>KepPacOakReitUSD</t>
  </si>
  <si>
    <t>Cromwell Reit EUR</t>
  </si>
  <si>
    <t>Raffles Medical</t>
  </si>
  <si>
    <t>Olam Group</t>
  </si>
  <si>
    <t>Top Glove</t>
  </si>
  <si>
    <t>SingPost</t>
  </si>
  <si>
    <t>ManulifeReit USD</t>
  </si>
  <si>
    <t>OUEREIT</t>
  </si>
  <si>
    <t>Prime US ReitUSD</t>
  </si>
  <si>
    <t>StarhillGbl Reit</t>
  </si>
  <si>
    <t>PARAGONREIT</t>
  </si>
  <si>
    <t>Emperador Inc.</t>
  </si>
  <si>
    <t>Aztech Gbl</t>
  </si>
  <si>
    <t>RH PetroGas</t>
  </si>
  <si>
    <t>China Aviation</t>
  </si>
  <si>
    <t>MarcoPolo Marine</t>
  </si>
  <si>
    <t>CSE Global</t>
  </si>
  <si>
    <t>Beng Kuang^</t>
  </si>
  <si>
    <t>Best World</t>
  </si>
  <si>
    <t>Haw Par</t>
  </si>
  <si>
    <t>Delfi</t>
  </si>
  <si>
    <t>Yoma Strategic</t>
  </si>
  <si>
    <t>SIA Engineering</t>
  </si>
  <si>
    <t>Source: SGX.</t>
  </si>
  <si>
    <t>Straits Trading</t>
  </si>
  <si>
    <t>S20</t>
  </si>
  <si>
    <t>Definition: Retail fund flow is derived by subtracting institutional Investmentestors account flow and MMAT flow from TOTAL ST markets flows. Net buy/sell amount is derived by subtracting total sell amount from total buy amount</t>
  </si>
  <si>
    <t>Frasers Centrepoint Trust</t>
  </si>
  <si>
    <t>Mermaid Maritime</t>
  </si>
  <si>
    <t>DU4</t>
  </si>
  <si>
    <t>Great Eastern</t>
  </si>
  <si>
    <t>G07</t>
  </si>
  <si>
    <t>5E2</t>
  </si>
  <si>
    <t>Japfa</t>
  </si>
  <si>
    <t>UD2</t>
  </si>
  <si>
    <t>558</t>
  </si>
  <si>
    <t>Valuetronics</t>
  </si>
  <si>
    <t>BN2</t>
  </si>
  <si>
    <t>Mapletree Pan Asia Commercial Trust</t>
  </si>
  <si>
    <t>1MZ</t>
  </si>
  <si>
    <t>NamCheong</t>
  </si>
  <si>
    <t>S7P</t>
  </si>
  <si>
    <t>Soilbuild Const</t>
  </si>
  <si>
    <t>sgx.com/research</t>
  </si>
  <si>
    <t>Seatrium (from 7 May 2024)</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</si>
  <si>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SGX Securities Trading Limited and SGX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</si>
  <si>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To sign up for daily market updates or for more information, please contact research@SGX.com.</t>
  </si>
  <si>
    <t>Suntec REIT</t>
  </si>
  <si>
    <t>5CP</t>
  </si>
  <si>
    <t>Frencken Group</t>
  </si>
  <si>
    <t>Silverlake Axis</t>
  </si>
  <si>
    <t>iFast Corporation</t>
  </si>
  <si>
    <t xml:space="preserve">Yangzijiang Shipbuilding </t>
  </si>
  <si>
    <t>Keppel Infrastructure Trust</t>
  </si>
  <si>
    <t>Sasseur Reit</t>
  </si>
  <si>
    <t>CRPU</t>
  </si>
  <si>
    <t>UMS Holdings</t>
  </si>
  <si>
    <t>Week of 2 September 2024</t>
  </si>
  <si>
    <t>Keppel DC REIT</t>
  </si>
  <si>
    <t>Best World International</t>
  </si>
  <si>
    <t>Golden Agri-Resources</t>
  </si>
  <si>
    <t>AEM</t>
  </si>
  <si>
    <r>
      <t xml:space="preserve">Institutional investors net </t>
    </r>
    <r>
      <rPr>
        <b/>
        <sz val="11"/>
        <rFont val="Arial"/>
        <family val="2"/>
      </rPr>
      <t>buy</t>
    </r>
    <r>
      <rPr>
        <sz val="11"/>
        <rFont val="Arial"/>
        <family val="2"/>
      </rPr>
      <t xml:space="preserve"> (+S$233.5m) vs. (+S$249.9m) a week ago</t>
    </r>
  </si>
  <si>
    <r>
      <t xml:space="preserve">Retail investors net </t>
    </r>
    <r>
      <rPr>
        <b/>
        <sz val="11"/>
        <rFont val="Arial"/>
        <family val="2"/>
      </rPr>
      <t>sell</t>
    </r>
    <r>
      <rPr>
        <sz val="11"/>
        <rFont val="Arial"/>
        <family val="2"/>
      </rPr>
      <t xml:space="preserve"> (-S$144.7m) vs. (-S$203.1m)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</si>
</sst>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_(* #,##0.00_);_(* \(#,##0.00\);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_-* #,##0.0_-;\-* #,##0.0_-;_-* &quot;-&quot;??_-;_-@_-"/>
  </numFmts>
  <fonts count="19"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164" fontId="1" fillId="0" borderId="0" applyFont="0" applyFill="0" applyBorder="0" applyAlignment="0" applyProtection="0"/>
  </cellStyleXfs>
  <cellXfs count="93">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70" fontId="3" fillId="0" borderId="0" xfId="0" applyNumberFormat="1" applyFont="1"/>
    <xf numFmtId="167" fontId="7" fillId="6" borderId="11" xfId="0" applyNumberFormat="1" applyFont="1" applyFill="1" applyBorder="1" applyAlignment="1">
      <alignment horizont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65" fontId="3" fillId="0" borderId="0" xfId="0" applyNumberFormat="1" applyFont="1" applyAlignment="1">
      <alignment horizontal="center" vertical="center"/>
    </xf>
    <xf numFmtId="15" fontId="3" fillId="0" borderId="0" xfId="0" applyNumberFormat="1" applyFont="1" applyAlignment="1">
      <alignment horizontal="left" vertical="center"/>
    </xf>
    <xf numFmtId="164"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0" fontId="14" fillId="4" borderId="4" xfId="0" applyFont="1" applyFill="1" applyBorder="1" applyAlignment="1">
      <alignment vertical="center"/>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15" fontId="3" fillId="0" borderId="13" xfId="0" applyNumberFormat="1" applyFont="1" applyBorder="1" applyAlignment="1">
      <alignment horizontal="left" vertic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72" fontId="0" fillId="0" borderId="0" xfId="0" applyNumberFormat="1"/>
    <xf numFmtId="43" fontId="0" fillId="0" borderId="0" xfId="0" applyNumberFormat="1"/>
    <xf numFmtId="165" fontId="3" fillId="4" borderId="4" xfId="0" quotePrefix="1" applyNumberFormat="1" applyFont="1" applyFill="1" applyBorder="1" applyAlignment="1">
      <alignment horizontal="right"/>
    </xf>
    <xf numFmtId="165" fontId="3" fillId="0" borderId="0" xfId="0" applyNumberFormat="1" applyFont="1" applyAlignment="1">
      <alignment horizontal="center"/>
    </xf>
    <xf numFmtId="165" fontId="3" fillId="0" borderId="5" xfId="0" applyNumberFormat="1" applyFont="1" applyBorder="1" applyAlignment="1">
      <alignment horizontal="left"/>
    </xf>
    <xf numFmtId="0" fontId="3" fillId="0" borderId="5" xfId="0" applyFont="1" applyBorder="1" applyAlignment="1">
      <alignment horizontal="left"/>
    </xf>
    <xf numFmtId="169" fontId="3" fillId="0" borderId="5" xfId="1" applyNumberFormat="1" applyFont="1" applyFill="1" applyBorder="1" applyAlignment="1">
      <alignment horizontal="right"/>
    </xf>
    <xf numFmtId="0" fontId="18" fillId="0" borderId="0" xfId="0" applyFont="1" applyAlignment="1">
      <alignment horizontal="center" vertical="top"/>
    </xf>
    <xf numFmtId="0" fontId="6" fillId="0" borderId="0" xfId="0" applyFont="1"/>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26.42578125" style="2" customWidth="1"/>
    <col min="8" max="8" width="13.7109375" style="2" customWidth="1"/>
    <col min="9" max="9" width="17" style="40" bestFit="1" customWidth="1"/>
    <col min="10" max="10" width="10.42578125" style="2" bestFit="1" customWidth="1"/>
    <col min="11" max="11" width="9.42578125" style="2"/>
    <col min="12" max="12" width="10.5703125" style="2" bestFit="1" customWidth="1"/>
    <col min="13" max="16384" width="9.42578125" style="2"/>
  </cols>
  <sheetData>
    <row r="1" spans="1:13" ht="15" x14ac:dyDescent="0.25">
      <c r="A1" s="1" t="s">
        <v>276</v>
      </c>
    </row>
    <row r="2" spans="1:13" ht="15" x14ac:dyDescent="0.25">
      <c r="A2" s="73" t="s">
        <v>281</v>
      </c>
      <c r="I2" s="51"/>
    </row>
    <row r="3" spans="1:13" ht="15" x14ac:dyDescent="0.25">
      <c r="A3" s="73" t="s">
        <v>282</v>
      </c>
      <c r="I3" s="51"/>
    </row>
    <row r="5" spans="1:13" ht="29.25" customHeight="1" x14ac:dyDescent="0.2">
      <c r="A5" s="3" t="s">
        <v>0</v>
      </c>
      <c r="B5" s="3" t="s">
        <v>1</v>
      </c>
      <c r="C5" s="4" t="s">
        <v>276</v>
      </c>
      <c r="D5" s="63" t="s">
        <v>2</v>
      </c>
      <c r="E5" s="63" t="s">
        <v>1</v>
      </c>
      <c r="F5" s="64" t="str">
        <f>+C5</f>
        <v>Week of 2 September 2024</v>
      </c>
    </row>
    <row r="6" spans="1:13" ht="15" x14ac:dyDescent="0.25">
      <c r="A6" s="34" t="s">
        <v>49</v>
      </c>
      <c r="B6" s="66" t="s">
        <v>47</v>
      </c>
      <c r="C6" s="78">
        <v>69.308383900000024</v>
      </c>
      <c r="D6" s="34" t="s">
        <v>34</v>
      </c>
      <c r="E6" s="66" t="s">
        <v>30</v>
      </c>
      <c r="F6" s="6">
        <v>-10.918013</v>
      </c>
      <c r="K6" s="44"/>
      <c r="L6"/>
      <c r="M6"/>
    </row>
    <row r="7" spans="1:13" ht="15" x14ac:dyDescent="0.25">
      <c r="A7" s="35" t="s">
        <v>26</v>
      </c>
      <c r="B7" s="10" t="s">
        <v>21</v>
      </c>
      <c r="C7" s="8">
        <v>46.991577999999997</v>
      </c>
      <c r="D7" s="35" t="s">
        <v>77</v>
      </c>
      <c r="E7" s="10" t="s">
        <v>56</v>
      </c>
      <c r="F7" s="8">
        <v>-8.6859889999999993</v>
      </c>
      <c r="K7" s="44"/>
      <c r="L7"/>
      <c r="M7"/>
    </row>
    <row r="8" spans="1:13" ht="15" x14ac:dyDescent="0.25">
      <c r="A8" s="36" t="s">
        <v>28</v>
      </c>
      <c r="B8" s="66" t="s">
        <v>23</v>
      </c>
      <c r="C8" s="6">
        <v>45.271808999999998</v>
      </c>
      <c r="D8" s="36" t="s">
        <v>275</v>
      </c>
      <c r="E8" s="66" t="s">
        <v>254</v>
      </c>
      <c r="F8" s="6">
        <v>-6.2983285000000002</v>
      </c>
      <c r="K8" s="44"/>
      <c r="L8"/>
      <c r="M8"/>
    </row>
    <row r="9" spans="1:13" ht="15" x14ac:dyDescent="0.25">
      <c r="A9" s="35" t="s">
        <v>142</v>
      </c>
      <c r="B9" s="10" t="s">
        <v>251</v>
      </c>
      <c r="C9" s="8">
        <v>24.375594</v>
      </c>
      <c r="D9" s="35" t="s">
        <v>278</v>
      </c>
      <c r="E9" s="10" t="s">
        <v>114</v>
      </c>
      <c r="F9" s="8">
        <v>-5.6698180000000011</v>
      </c>
      <c r="K9" s="44"/>
      <c r="L9"/>
      <c r="M9"/>
    </row>
    <row r="10" spans="1:13" ht="15" x14ac:dyDescent="0.25">
      <c r="A10" s="36" t="s">
        <v>27</v>
      </c>
      <c r="B10" s="66" t="s">
        <v>22</v>
      </c>
      <c r="C10" s="6">
        <v>21.514408</v>
      </c>
      <c r="D10" s="36" t="s">
        <v>268</v>
      </c>
      <c r="E10" s="66" t="s">
        <v>109</v>
      </c>
      <c r="F10" s="6">
        <v>-5.3492249999999997</v>
      </c>
      <c r="K10" s="44"/>
      <c r="L10"/>
      <c r="M10"/>
    </row>
    <row r="11" spans="1:13" ht="15" x14ac:dyDescent="0.25">
      <c r="A11" s="35" t="s">
        <v>36</v>
      </c>
      <c r="B11" s="10" t="s">
        <v>35</v>
      </c>
      <c r="C11" s="8">
        <v>14.009164</v>
      </c>
      <c r="D11" s="35" t="s">
        <v>280</v>
      </c>
      <c r="E11" s="10" t="s">
        <v>89</v>
      </c>
      <c r="F11" s="8">
        <v>-4.9781649999999997</v>
      </c>
      <c r="K11" s="44"/>
      <c r="L11"/>
      <c r="M11"/>
    </row>
    <row r="12" spans="1:13" ht="15" x14ac:dyDescent="0.25">
      <c r="A12" s="36" t="s">
        <v>257</v>
      </c>
      <c r="B12" s="66" t="s">
        <v>58</v>
      </c>
      <c r="C12" s="6">
        <v>11.36998</v>
      </c>
      <c r="D12" s="36" t="s">
        <v>46</v>
      </c>
      <c r="E12" s="66" t="s">
        <v>43</v>
      </c>
      <c r="F12" s="6">
        <v>-4.7884419999999999</v>
      </c>
      <c r="K12" s="44"/>
      <c r="L12"/>
      <c r="M12"/>
    </row>
    <row r="13" spans="1:13" ht="15" x14ac:dyDescent="0.25">
      <c r="A13" s="35" t="s">
        <v>84</v>
      </c>
      <c r="B13" s="10" t="s">
        <v>83</v>
      </c>
      <c r="C13" s="8">
        <v>10.834745</v>
      </c>
      <c r="D13" s="35" t="s">
        <v>271</v>
      </c>
      <c r="E13" s="10" t="s">
        <v>53</v>
      </c>
      <c r="F13" s="8">
        <v>-3.7588050000000002</v>
      </c>
      <c r="K13" s="44"/>
      <c r="L13"/>
      <c r="M13"/>
    </row>
    <row r="14" spans="1:13" ht="15" x14ac:dyDescent="0.25">
      <c r="A14" s="36" t="s">
        <v>29</v>
      </c>
      <c r="B14" s="66" t="s">
        <v>24</v>
      </c>
      <c r="C14" s="6">
        <v>8.2542139999999993</v>
      </c>
      <c r="D14" s="36" t="s">
        <v>279</v>
      </c>
      <c r="E14" s="66" t="s">
        <v>107</v>
      </c>
      <c r="F14" s="6">
        <v>-3.350314</v>
      </c>
      <c r="K14" s="44"/>
      <c r="L14"/>
      <c r="M14"/>
    </row>
    <row r="15" spans="1:13" ht="15" x14ac:dyDescent="0.25">
      <c r="A15" s="37" t="s">
        <v>266</v>
      </c>
      <c r="B15" s="33" t="s">
        <v>88</v>
      </c>
      <c r="C15" s="9">
        <v>8.1919719999999998</v>
      </c>
      <c r="D15" s="37" t="s">
        <v>272</v>
      </c>
      <c r="E15" s="33" t="s">
        <v>103</v>
      </c>
      <c r="F15" s="9">
        <v>-2.8847255000000001</v>
      </c>
      <c r="K15" s="44"/>
      <c r="L15"/>
      <c r="M15"/>
    </row>
    <row r="16" spans="1:13" ht="15" x14ac:dyDescent="0.2">
      <c r="A16" s="10"/>
      <c r="B16" s="10"/>
      <c r="C16" s="10"/>
      <c r="D16" s="31"/>
      <c r="E16" s="10"/>
      <c r="F16" s="10"/>
    </row>
    <row r="17" spans="1:9" x14ac:dyDescent="0.2">
      <c r="A17" s="10"/>
      <c r="B17" s="10"/>
      <c r="C17" s="10"/>
      <c r="D17" s="10"/>
      <c r="E17" s="10"/>
      <c r="F17" s="10"/>
    </row>
    <row r="18" spans="1:9" ht="28.5" customHeight="1" x14ac:dyDescent="0.2">
      <c r="A18" s="39" t="s">
        <v>3</v>
      </c>
      <c r="B18" s="3" t="s">
        <v>1</v>
      </c>
      <c r="C18" s="4" t="str">
        <f>C5</f>
        <v>Week of 2 September 2024</v>
      </c>
      <c r="D18" s="65" t="s">
        <v>4</v>
      </c>
      <c r="E18" s="63" t="s">
        <v>1</v>
      </c>
      <c r="F18" s="64" t="str">
        <f>+C18</f>
        <v>Week of 2 September 2024</v>
      </c>
    </row>
    <row r="19" spans="1:9" x14ac:dyDescent="0.2">
      <c r="A19" s="60" t="s">
        <v>148</v>
      </c>
      <c r="B19" s="66" t="s">
        <v>32</v>
      </c>
      <c r="C19" s="6">
        <v>12.70513</v>
      </c>
      <c r="D19" s="34" t="s">
        <v>26</v>
      </c>
      <c r="E19" s="66" t="s">
        <v>21</v>
      </c>
      <c r="F19" s="6">
        <v>-65.513559000000001</v>
      </c>
      <c r="I19" s="2"/>
    </row>
    <row r="20" spans="1:9" x14ac:dyDescent="0.2">
      <c r="A20" s="35" t="s">
        <v>271</v>
      </c>
      <c r="B20" s="10" t="s">
        <v>53</v>
      </c>
      <c r="C20" s="8">
        <v>12.598839</v>
      </c>
      <c r="D20" s="35" t="s">
        <v>49</v>
      </c>
      <c r="E20" s="10" t="s">
        <v>47</v>
      </c>
      <c r="F20" s="8">
        <v>-34.688539300000002</v>
      </c>
      <c r="I20" s="2"/>
    </row>
    <row r="21" spans="1:9" x14ac:dyDescent="0.2">
      <c r="A21" s="36" t="s">
        <v>275</v>
      </c>
      <c r="B21" s="66" t="s">
        <v>254</v>
      </c>
      <c r="C21" s="6">
        <v>9.1895255000000002</v>
      </c>
      <c r="D21" s="36" t="s">
        <v>28</v>
      </c>
      <c r="E21" s="66" t="s">
        <v>23</v>
      </c>
      <c r="F21" s="6">
        <v>-26.818539000000001</v>
      </c>
      <c r="I21" s="2"/>
    </row>
    <row r="22" spans="1:9" x14ac:dyDescent="0.2">
      <c r="A22" s="35" t="s">
        <v>46</v>
      </c>
      <c r="B22" s="10" t="s">
        <v>43</v>
      </c>
      <c r="C22" s="8">
        <v>8.7466919999999995</v>
      </c>
      <c r="D22" s="35" t="s">
        <v>142</v>
      </c>
      <c r="E22" s="10" t="s">
        <v>251</v>
      </c>
      <c r="F22" s="8">
        <v>-20.282440999999999</v>
      </c>
      <c r="I22" s="2"/>
    </row>
    <row r="23" spans="1:9" x14ac:dyDescent="0.2">
      <c r="A23" s="36" t="s">
        <v>280</v>
      </c>
      <c r="B23" s="66" t="s">
        <v>89</v>
      </c>
      <c r="C23" s="6">
        <v>6.7721830000000001</v>
      </c>
      <c r="D23" s="36" t="s">
        <v>29</v>
      </c>
      <c r="E23" s="66" t="s">
        <v>24</v>
      </c>
      <c r="F23" s="6">
        <v>-15.982502</v>
      </c>
      <c r="I23" s="2"/>
    </row>
    <row r="24" spans="1:9" x14ac:dyDescent="0.2">
      <c r="A24" s="35" t="s">
        <v>268</v>
      </c>
      <c r="B24" s="10" t="s">
        <v>109</v>
      </c>
      <c r="C24" s="8">
        <v>6.6098270000000001</v>
      </c>
      <c r="D24" s="35" t="s">
        <v>27</v>
      </c>
      <c r="E24" s="10" t="s">
        <v>22</v>
      </c>
      <c r="F24" s="8">
        <v>-12.445789</v>
      </c>
      <c r="I24" s="2"/>
    </row>
    <row r="25" spans="1:9" x14ac:dyDescent="0.2">
      <c r="A25" s="36" t="s">
        <v>270</v>
      </c>
      <c r="B25" s="66" t="s">
        <v>123</v>
      </c>
      <c r="C25" s="6">
        <v>5.9883959999999998</v>
      </c>
      <c r="D25" s="36" t="s">
        <v>84</v>
      </c>
      <c r="E25" s="66" t="s">
        <v>83</v>
      </c>
      <c r="F25" s="6">
        <v>-11.756805</v>
      </c>
      <c r="I25" s="2"/>
    </row>
    <row r="26" spans="1:9" x14ac:dyDescent="0.2">
      <c r="A26" s="35" t="s">
        <v>278</v>
      </c>
      <c r="B26" s="10" t="s">
        <v>114</v>
      </c>
      <c r="C26" s="8">
        <v>5.2284230000000003</v>
      </c>
      <c r="D26" s="35" t="s">
        <v>266</v>
      </c>
      <c r="E26" s="10" t="s">
        <v>88</v>
      </c>
      <c r="F26" s="8">
        <v>-10.67038</v>
      </c>
      <c r="I26" s="2"/>
    </row>
    <row r="27" spans="1:9" x14ac:dyDescent="0.2">
      <c r="A27" s="36" t="s">
        <v>279</v>
      </c>
      <c r="B27" s="66" t="s">
        <v>107</v>
      </c>
      <c r="C27" s="6">
        <v>5.1922030000000001</v>
      </c>
      <c r="D27" s="36" t="s">
        <v>36</v>
      </c>
      <c r="E27" s="66" t="s">
        <v>35</v>
      </c>
      <c r="F27" s="6">
        <v>-10.499174500000001</v>
      </c>
      <c r="I27" s="2"/>
    </row>
    <row r="28" spans="1:9" x14ac:dyDescent="0.2">
      <c r="A28" s="37" t="s">
        <v>39</v>
      </c>
      <c r="B28" s="33" t="s">
        <v>37</v>
      </c>
      <c r="C28" s="9">
        <v>5.0176360000000004</v>
      </c>
      <c r="D28" s="37" t="s">
        <v>277</v>
      </c>
      <c r="E28" s="33" t="s">
        <v>76</v>
      </c>
      <c r="F28" s="9">
        <v>-6.1553290000000001</v>
      </c>
      <c r="I28" s="2"/>
    </row>
    <row r="29" spans="1:9" x14ac:dyDescent="0.2">
      <c r="A29" s="10"/>
      <c r="B29" s="10"/>
      <c r="C29" s="10"/>
      <c r="D29" s="10"/>
      <c r="E29" s="10"/>
      <c r="F29" s="10"/>
    </row>
    <row r="30" spans="1:9" x14ac:dyDescent="0.2">
      <c r="A30" s="11" t="s">
        <v>242</v>
      </c>
      <c r="B30" s="11"/>
      <c r="C30" s="10"/>
      <c r="D30" s="10"/>
      <c r="E30" s="10"/>
      <c r="F30" s="10"/>
    </row>
    <row r="31" spans="1:9" x14ac:dyDescent="0.2">
      <c r="A31" s="11" t="s">
        <v>80</v>
      </c>
      <c r="B31" s="11"/>
      <c r="C31" s="10"/>
      <c r="D31" s="10"/>
      <c r="E31" s="10"/>
      <c r="F31" s="10"/>
    </row>
    <row r="32" spans="1:9" x14ac:dyDescent="0.2">
      <c r="A32" s="11" t="s">
        <v>245</v>
      </c>
      <c r="B32" s="11"/>
      <c r="C32" s="10"/>
      <c r="D32" s="10"/>
      <c r="E32" s="10"/>
      <c r="F32" s="10"/>
    </row>
    <row r="33" spans="1:9" x14ac:dyDescent="0.2">
      <c r="A33" s="11" t="s">
        <v>6</v>
      </c>
      <c r="B33" s="11"/>
      <c r="C33" s="10"/>
      <c r="D33" s="10"/>
      <c r="E33" s="10"/>
      <c r="F33" s="10"/>
    </row>
    <row r="34" spans="1:9" x14ac:dyDescent="0.2">
      <c r="A34" s="84" t="s">
        <v>73</v>
      </c>
      <c r="B34" s="11"/>
      <c r="C34" s="10"/>
      <c r="D34" s="10"/>
      <c r="E34" s="10"/>
      <c r="F34" s="10"/>
      <c r="G34" s="70"/>
    </row>
    <row r="35" spans="1:9" x14ac:dyDescent="0.2">
      <c r="A35" s="11"/>
      <c r="B35" s="11"/>
      <c r="C35" s="10"/>
      <c r="D35" s="10"/>
      <c r="E35" s="10"/>
      <c r="F35" s="10"/>
    </row>
    <row r="36" spans="1:9" x14ac:dyDescent="0.2">
      <c r="A36" s="11"/>
      <c r="B36" s="11"/>
      <c r="C36" s="10"/>
      <c r="D36" s="10"/>
      <c r="E36" s="10"/>
      <c r="F36" s="10"/>
    </row>
    <row r="37" spans="1:9" customFormat="1" ht="15.75" x14ac:dyDescent="0.25">
      <c r="A37" s="23" t="s">
        <v>68</v>
      </c>
      <c r="B37" s="24"/>
      <c r="C37" s="25"/>
      <c r="D37" s="25"/>
      <c r="E37" s="24"/>
      <c r="F37" s="24"/>
      <c r="I37" s="38"/>
    </row>
    <row r="38" spans="1:9" customFormat="1" ht="15" x14ac:dyDescent="0.25">
      <c r="A38" s="26" t="s">
        <v>265</v>
      </c>
      <c r="B38" s="24"/>
      <c r="C38" s="25"/>
      <c r="D38" s="25"/>
      <c r="E38" s="24"/>
      <c r="F38" s="24"/>
      <c r="I38" s="38"/>
    </row>
    <row r="39" spans="1:9" s="30" customFormat="1" ht="19.350000000000001" customHeight="1" x14ac:dyDescent="0.25">
      <c r="A39" s="27" t="s">
        <v>262</v>
      </c>
      <c r="B39" s="28"/>
      <c r="C39" s="29"/>
      <c r="D39" s="29"/>
      <c r="E39" s="28"/>
      <c r="F39" s="28"/>
      <c r="I39" s="41"/>
    </row>
    <row r="40" spans="1:9" ht="169.35" customHeight="1" x14ac:dyDescent="0.2">
      <c r="A40" s="85" t="s">
        <v>264</v>
      </c>
      <c r="B40" s="85"/>
      <c r="C40" s="85"/>
      <c r="D40" s="85"/>
      <c r="E40" s="85"/>
      <c r="F40" s="85"/>
    </row>
    <row r="41" spans="1:9" x14ac:dyDescent="0.2">
      <c r="A41" s="10"/>
      <c r="B41" s="10"/>
      <c r="C41" s="10"/>
      <c r="D41" s="10"/>
      <c r="E41" s="10"/>
      <c r="F41" s="10"/>
    </row>
    <row r="42" spans="1:9" x14ac:dyDescent="0.2">
      <c r="A42" s="10"/>
      <c r="B42" s="10"/>
      <c r="C42" s="10"/>
      <c r="D42" s="10"/>
      <c r="E42" s="10"/>
      <c r="F42" s="10"/>
    </row>
    <row r="43" spans="1:9" x14ac:dyDescent="0.2">
      <c r="A43" s="10"/>
      <c r="B43" s="10"/>
      <c r="C43" s="10"/>
      <c r="D43" s="10"/>
      <c r="E43" s="10"/>
      <c r="F43" s="10"/>
    </row>
    <row r="44" spans="1:9" x14ac:dyDescent="0.2">
      <c r="A44" s="10"/>
      <c r="B44" s="10"/>
      <c r="C44" s="10"/>
      <c r="D44" s="10"/>
      <c r="E44" s="10"/>
      <c r="F44" s="10"/>
    </row>
    <row r="45" spans="1:9" x14ac:dyDescent="0.2">
      <c r="A45" s="10"/>
      <c r="B45" s="10"/>
      <c r="C45" s="10"/>
      <c r="D45" s="10"/>
      <c r="E45" s="10"/>
      <c r="F45" s="10"/>
    </row>
    <row r="46" spans="1:9" x14ac:dyDescent="0.2">
      <c r="A46" s="10"/>
      <c r="B46" s="10"/>
      <c r="C46" s="10"/>
      <c r="D46" s="10"/>
      <c r="E46" s="10"/>
      <c r="F46" s="10"/>
    </row>
    <row r="47" spans="1:9" x14ac:dyDescent="0.2">
      <c r="A47" s="10"/>
      <c r="B47" s="10"/>
      <c r="C47" s="10"/>
      <c r="D47" s="10"/>
      <c r="E47" s="10"/>
      <c r="F47" s="10"/>
    </row>
    <row r="48" spans="1:9" x14ac:dyDescent="0.2">
      <c r="A48" s="10"/>
      <c r="B48" s="10"/>
      <c r="C48" s="10"/>
      <c r="D48" s="10"/>
      <c r="E48" s="10"/>
      <c r="F48" s="10"/>
    </row>
    <row r="49" spans="1:6" x14ac:dyDescent="0.2">
      <c r="A49" s="10"/>
      <c r="B49" s="10"/>
      <c r="C49" s="10"/>
      <c r="D49" s="10"/>
      <c r="E49" s="10"/>
      <c r="F49" s="10"/>
    </row>
    <row r="50" spans="1:6" x14ac:dyDescent="0.2">
      <c r="A50" s="12"/>
      <c r="B50" s="12"/>
      <c r="C50" s="12"/>
      <c r="D50" s="12"/>
      <c r="E50" s="12"/>
      <c r="F50" s="12"/>
    </row>
    <row r="51" spans="1:6" x14ac:dyDescent="0.2">
      <c r="A51" s="12"/>
      <c r="B51" s="12"/>
      <c r="C51" s="12"/>
      <c r="D51" s="12"/>
      <c r="E51" s="12"/>
      <c r="F51" s="12"/>
    </row>
    <row r="52" spans="1:6" x14ac:dyDescent="0.2">
      <c r="A52" s="12"/>
      <c r="B52" s="12"/>
      <c r="C52" s="12"/>
      <c r="D52" s="12"/>
      <c r="E52" s="12"/>
      <c r="F52" s="12"/>
    </row>
    <row r="53" spans="1:6" x14ac:dyDescent="0.2">
      <c r="A53" s="12"/>
      <c r="B53" s="12"/>
      <c r="C53" s="12"/>
      <c r="D53" s="12"/>
      <c r="E53" s="12"/>
      <c r="F53" s="12"/>
    </row>
    <row r="54" spans="1:6" x14ac:dyDescent="0.2">
      <c r="A54" s="12"/>
      <c r="B54" s="12"/>
      <c r="C54" s="12"/>
      <c r="D54" s="12"/>
      <c r="E54" s="12"/>
      <c r="F54" s="12"/>
    </row>
    <row r="55" spans="1:6" x14ac:dyDescent="0.2">
      <c r="A55" s="12"/>
      <c r="B55" s="12"/>
      <c r="C55" s="12"/>
      <c r="D55" s="12"/>
      <c r="E55" s="12"/>
      <c r="F55" s="12"/>
    </row>
    <row r="56" spans="1:6" x14ac:dyDescent="0.2">
      <c r="A56" s="12"/>
      <c r="B56" s="12"/>
      <c r="C56" s="12"/>
      <c r="D56" s="12"/>
      <c r="E56" s="12"/>
      <c r="F56" s="12"/>
    </row>
    <row r="57" spans="1:6" x14ac:dyDescent="0.2">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B9 E8 E22 B2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0" width="7.7109375" style="2" bestFit="1" customWidth="1"/>
    <col min="11" max="11" width="7.5703125" style="2" bestFit="1" customWidth="1"/>
    <col min="12" max="12" width="13.7109375" style="2" customWidth="1"/>
    <col min="13" max="13" width="7.7109375" style="2" customWidth="1"/>
    <col min="14" max="14" width="8.5703125" style="2" customWidth="1"/>
    <col min="15" max="16384" width="9.42578125" style="2"/>
  </cols>
  <sheetData>
    <row r="1" spans="1:15" ht="17.25" customHeight="1" x14ac:dyDescent="0.2">
      <c r="A1" s="86" t="s">
        <v>7</v>
      </c>
      <c r="B1" s="13"/>
      <c r="C1" s="88" t="s">
        <v>8</v>
      </c>
      <c r="D1" s="89"/>
      <c r="E1" s="89"/>
      <c r="F1" s="89"/>
      <c r="G1" s="89"/>
      <c r="H1" s="89"/>
      <c r="I1" s="89"/>
      <c r="J1" s="89"/>
      <c r="K1" s="89"/>
      <c r="L1" s="89"/>
      <c r="M1" s="89"/>
      <c r="N1" s="90"/>
    </row>
    <row r="2" spans="1:15" ht="75" x14ac:dyDescent="0.2">
      <c r="A2" s="87"/>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ht="15" x14ac:dyDescent="0.25">
      <c r="A3" s="45">
        <f>SUM(C3:N3)</f>
        <v>194.09188083639998</v>
      </c>
      <c r="B3" s="75">
        <v>45516</v>
      </c>
      <c r="C3" s="15">
        <v>14.780973192949995</v>
      </c>
      <c r="D3" s="15">
        <v>-10.611852362399999</v>
      </c>
      <c r="E3" s="15">
        <v>1.5736983999999998</v>
      </c>
      <c r="F3" s="15">
        <v>153.42018619999999</v>
      </c>
      <c r="G3" s="15">
        <v>-2.8785908748999991</v>
      </c>
      <c r="H3" s="15">
        <v>-24.32950704361</v>
      </c>
      <c r="I3" s="15">
        <v>-0.74240899999999987</v>
      </c>
      <c r="J3" s="15">
        <v>-16.042673974100005</v>
      </c>
      <c r="K3" s="15">
        <v>20.877185698460003</v>
      </c>
      <c r="L3" s="15">
        <v>0.29509459999999982</v>
      </c>
      <c r="M3" s="15">
        <v>52.631857099999998</v>
      </c>
      <c r="N3" s="15">
        <v>5.1179189000000003</v>
      </c>
    </row>
    <row r="4" spans="1:15" ht="15" x14ac:dyDescent="0.25">
      <c r="A4" s="45">
        <f>SUM(C4:N4)</f>
        <v>102.81003146713999</v>
      </c>
      <c r="B4" s="12">
        <v>45523</v>
      </c>
      <c r="C4" s="74">
        <v>-12.761511485189994</v>
      </c>
      <c r="D4" s="74">
        <v>-1.3237336078999977</v>
      </c>
      <c r="E4" s="74">
        <v>-0.54966079999999973</v>
      </c>
      <c r="F4" s="74">
        <v>61.611217700000005</v>
      </c>
      <c r="G4" s="74">
        <v>-2.4918081105000001</v>
      </c>
      <c r="H4" s="74">
        <v>36.775822746589995</v>
      </c>
      <c r="I4" s="74">
        <v>0.86186980000000002</v>
      </c>
      <c r="J4" s="74">
        <v>-11.702890584499999</v>
      </c>
      <c r="K4" s="74">
        <v>10.564777208639994</v>
      </c>
      <c r="L4" s="74">
        <v>1.3912782999999997</v>
      </c>
      <c r="M4" s="74">
        <v>26.053144</v>
      </c>
      <c r="N4" s="74">
        <v>-5.6184737</v>
      </c>
    </row>
    <row r="5" spans="1:15" ht="15" x14ac:dyDescent="0.25">
      <c r="A5" s="45">
        <f>SUM(C5:N5)</f>
        <v>249.92882191349</v>
      </c>
      <c r="B5" s="75">
        <v>45530</v>
      </c>
      <c r="C5" s="15">
        <v>-0.30338467259000057</v>
      </c>
      <c r="D5" s="15">
        <v>6.1710963152000016</v>
      </c>
      <c r="E5" s="15">
        <v>-4.3012211000000002</v>
      </c>
      <c r="F5" s="15">
        <v>178.5238975</v>
      </c>
      <c r="G5" s="15">
        <v>-3.1231817037000003</v>
      </c>
      <c r="H5" s="15">
        <v>11.645596276399999</v>
      </c>
      <c r="I5" s="15">
        <v>-7.6091231000000006</v>
      </c>
      <c r="J5" s="15">
        <v>-11.931868303799998</v>
      </c>
      <c r="K5" s="15">
        <v>36.830066801980003</v>
      </c>
      <c r="L5" s="15">
        <v>0.5058085999999995</v>
      </c>
      <c r="M5" s="15">
        <v>20.346827900000008</v>
      </c>
      <c r="N5" s="15">
        <v>23.1743074</v>
      </c>
    </row>
    <row r="6" spans="1:15" ht="15" x14ac:dyDescent="0.25">
      <c r="A6" s="45">
        <f>SUM(C6:N6)</f>
        <v>233.53579064102001</v>
      </c>
      <c r="B6" s="12">
        <v>45537</v>
      </c>
      <c r="C6" s="79">
        <v>15.307829462220003</v>
      </c>
      <c r="D6" s="79">
        <v>-8.3373799640999984</v>
      </c>
      <c r="E6" s="79">
        <v>-3.0243553000000003</v>
      </c>
      <c r="F6" s="79">
        <v>132.08155170000001</v>
      </c>
      <c r="G6" s="79">
        <v>-1.8829799489000001</v>
      </c>
      <c r="H6" s="79">
        <v>24.994509197740008</v>
      </c>
      <c r="I6" s="79">
        <v>-2.6806519999999989</v>
      </c>
      <c r="J6" s="79">
        <v>-6.209981765000002</v>
      </c>
      <c r="K6" s="79">
        <v>23.174642359060009</v>
      </c>
      <c r="L6" s="79">
        <v>-19.034390999999996</v>
      </c>
      <c r="M6" s="79">
        <v>73.537580700000021</v>
      </c>
      <c r="N6" s="79">
        <v>5.6094172000000002</v>
      </c>
      <c r="O6"/>
    </row>
    <row r="7" spans="1:15" ht="15" x14ac:dyDescent="0.25">
      <c r="A7" s="72"/>
      <c r="B7" s="59"/>
      <c r="C7" s="76"/>
      <c r="D7" s="76"/>
      <c r="E7" s="76"/>
      <c r="F7" s="76"/>
      <c r="G7" s="76"/>
      <c r="H7" s="76"/>
      <c r="I7" s="76"/>
      <c r="J7" s="76"/>
      <c r="K7" s="76"/>
      <c r="L7" s="76"/>
      <c r="M7" s="76"/>
      <c r="N7" s="76"/>
    </row>
    <row r="8" spans="1:15" x14ac:dyDescent="0.2">
      <c r="B8" s="11" t="s">
        <v>5</v>
      </c>
      <c r="C8" s="11"/>
      <c r="D8" s="11"/>
    </row>
    <row r="9" spans="1:15" x14ac:dyDescent="0.2">
      <c r="B9" s="11" t="s">
        <v>80</v>
      </c>
      <c r="C9" s="11"/>
      <c r="D9" s="11"/>
    </row>
    <row r="10" spans="1:15" x14ac:dyDescent="0.2">
      <c r="B10" s="11" t="s">
        <v>6</v>
      </c>
      <c r="C10" s="11"/>
      <c r="D10" s="11"/>
    </row>
    <row r="11" spans="1:15" x14ac:dyDescent="0.2">
      <c r="B11" s="11" t="s">
        <v>73</v>
      </c>
      <c r="C11" s="12"/>
      <c r="D11" s="12"/>
    </row>
    <row r="12" spans="1:15" ht="15" x14ac:dyDescent="0.25">
      <c r="B12"/>
    </row>
    <row r="13" spans="1:15" ht="15" x14ac:dyDescent="0.25">
      <c r="C13" s="71"/>
      <c r="D13" s="71"/>
      <c r="E13" s="71"/>
      <c r="F13" s="71"/>
      <c r="G13" s="71"/>
      <c r="H13" s="71"/>
      <c r="I13" s="71"/>
      <c r="J13" s="71"/>
      <c r="K13" s="71"/>
      <c r="L13" s="71"/>
      <c r="M13" s="71"/>
      <c r="N13" s="71"/>
    </row>
    <row r="14" spans="1:15" ht="15" x14ac:dyDescent="0.25">
      <c r="B14" s="50"/>
      <c r="C14" s="50"/>
      <c r="D14" s="50"/>
      <c r="E14" s="50"/>
      <c r="F14" s="50"/>
      <c r="G14" s="50"/>
      <c r="H14" s="50"/>
      <c r="I14" s="50"/>
      <c r="J14" s="50"/>
      <c r="K14" s="50"/>
      <c r="L14" s="50"/>
      <c r="M14" s="50"/>
      <c r="N14"/>
      <c r="O14" s="43"/>
    </row>
    <row r="15" spans="1:15" ht="15" x14ac:dyDescent="0.25">
      <c r="C15" s="50"/>
      <c r="D15" s="50"/>
      <c r="E15" s="50"/>
      <c r="F15" s="50"/>
      <c r="G15" s="50"/>
      <c r="H15" s="50"/>
      <c r="I15" s="50"/>
      <c r="J15" s="50"/>
      <c r="K15" s="50"/>
      <c r="L15" s="50"/>
      <c r="M15" s="50"/>
      <c r="N15" s="50"/>
      <c r="O15" s="50"/>
    </row>
    <row r="16" spans="1:15" ht="15" x14ac:dyDescent="0.25">
      <c r="C16" s="43"/>
      <c r="D16" s="43"/>
      <c r="E16" s="43"/>
      <c r="F16" s="43"/>
      <c r="G16" s="43"/>
      <c r="H16" s="43"/>
      <c r="I16" s="43"/>
      <c r="J16" s="43"/>
      <c r="K16" s="43"/>
      <c r="L16" s="43"/>
      <c r="M16" s="43"/>
      <c r="N16" s="43"/>
      <c r="O16" s="43"/>
    </row>
    <row r="17" spans="3:15" ht="15" x14ac:dyDescent="0.25">
      <c r="C17" s="42"/>
      <c r="D17" s="42"/>
      <c r="E17" s="42"/>
      <c r="F17" s="42"/>
      <c r="G17" s="42"/>
      <c r="H17" s="42"/>
      <c r="I17" s="42"/>
      <c r="J17" s="42"/>
      <c r="K17" s="42"/>
      <c r="L17" s="42"/>
      <c r="M17" s="42"/>
      <c r="N17" s="42"/>
      <c r="O17" s="42"/>
    </row>
    <row r="18" spans="3:15" ht="15" x14ac:dyDescent="0.25">
      <c r="C18"/>
      <c r="D18"/>
    </row>
    <row r="19" spans="3:15" ht="15" x14ac:dyDescent="0.25">
      <c r="C19"/>
      <c r="D19"/>
    </row>
    <row r="20" spans="3:15" ht="15" x14ac:dyDescent="0.25">
      <c r="C20"/>
      <c r="D20"/>
    </row>
    <row r="21" spans="3:15" ht="15" x14ac:dyDescent="0.25">
      <c r="C21"/>
      <c r="D21"/>
    </row>
    <row r="22" spans="3:15" ht="15" x14ac:dyDescent="0.25">
      <c r="C22"/>
      <c r="D22"/>
    </row>
    <row r="23" spans="3:15" ht="15" x14ac:dyDescent="0.25">
      <c r="C23"/>
      <c r="D23"/>
    </row>
  </sheetData>
  <mergeCells count="2">
    <mergeCell ref="A1:A2"/>
    <mergeCell ref="C1:N1"/>
  </mergeCells>
  <conditionalFormatting sqref="A3:A6">
    <cfRule type="colorScale" priority="1">
      <colorScale>
        <cfvo type="num" val="0"/>
        <cfvo type="num" val="0"/>
        <color rgb="FFFF0000"/>
        <color rgb="FF00B050"/>
      </colorScale>
    </cfRule>
  </conditionalFormatting>
  <conditionalFormatting sqref="A7">
    <cfRule type="colorScale" priority="2">
      <colorScale>
        <cfvo type="num" val="0"/>
        <cfvo type="num" val="0"/>
        <color rgb="FFFF0000"/>
        <color rgb="FF00B050"/>
      </colorScale>
    </cfRule>
  </conditionalFormatting>
  <pageMargins left="0.7" right="0.7" top="0.75" bottom="0.75" header="0.3" footer="0.3"/>
  <pageSetup paperSize="9" scale="65" orientation="landscape" r:id="rId1"/>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2578125" defaultRowHeight="14.25" x14ac:dyDescent="0.2"/>
  <cols>
    <col min="1" max="1" width="9.42578125" style="2" customWidth="1"/>
    <col min="2" max="2" width="16.42578125" style="2" customWidth="1"/>
    <col min="3" max="4" width="11.42578125" style="2" bestFit="1" customWidth="1"/>
    <col min="5" max="5" width="10.5703125" style="2" bestFit="1" customWidth="1"/>
    <col min="6" max="6" width="10" style="2" bestFit="1" customWidth="1"/>
    <col min="7" max="7" width="7.5703125" style="2" bestFit="1" customWidth="1"/>
    <col min="8" max="8" width="11.5703125" style="2" bestFit="1" customWidth="1"/>
    <col min="9" max="9" width="12.42578125" style="2" bestFit="1" customWidth="1"/>
    <col min="10" max="11" width="7.7109375" style="2" bestFit="1" customWidth="1"/>
    <col min="12" max="12" width="13.7109375" style="2" customWidth="1"/>
    <col min="13" max="13" width="7.7109375" style="2" bestFit="1" customWidth="1"/>
    <col min="14" max="14" width="8.5703125" style="2" bestFit="1" customWidth="1"/>
    <col min="15" max="16384" width="9.42578125" style="2"/>
  </cols>
  <sheetData>
    <row r="1" spans="1:18" ht="17.25" customHeight="1" x14ac:dyDescent="0.2">
      <c r="A1" s="86" t="s">
        <v>7</v>
      </c>
      <c r="B1" s="13"/>
      <c r="C1" s="88" t="s">
        <v>8</v>
      </c>
      <c r="D1" s="89"/>
      <c r="E1" s="89"/>
      <c r="F1" s="89"/>
      <c r="G1" s="89"/>
      <c r="H1" s="89"/>
      <c r="I1" s="89"/>
      <c r="J1" s="89"/>
      <c r="K1" s="89"/>
      <c r="L1" s="89"/>
      <c r="M1" s="89"/>
      <c r="N1" s="90"/>
    </row>
    <row r="2" spans="1:18" ht="75" x14ac:dyDescent="0.2">
      <c r="A2" s="87"/>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ht="15" x14ac:dyDescent="0.25">
      <c r="A3" s="68">
        <f>SUM(C3:N3)</f>
        <v>-101.31324076829</v>
      </c>
      <c r="B3" s="67">
        <v>45516</v>
      </c>
      <c r="C3" s="58">
        <v>-1.5172486356499975</v>
      </c>
      <c r="D3" s="58">
        <v>5.7547225175000012</v>
      </c>
      <c r="E3" s="58">
        <v>-2.4292478000000002</v>
      </c>
      <c r="F3" s="58">
        <v>-97.7690822</v>
      </c>
      <c r="G3" s="58">
        <v>4.5252419114999993</v>
      </c>
      <c r="H3" s="58">
        <v>24.953350326799981</v>
      </c>
      <c r="I3" s="58">
        <v>0.49529489999999998</v>
      </c>
      <c r="J3" s="58">
        <v>14.147799195099994</v>
      </c>
      <c r="K3" s="58">
        <v>-10.488200283539999</v>
      </c>
      <c r="L3" s="58">
        <v>-1.1421776999999997</v>
      </c>
      <c r="M3" s="58">
        <v>-37.288894399999997</v>
      </c>
      <c r="N3" s="58">
        <v>-0.55479859999999992</v>
      </c>
      <c r="P3" s="14"/>
    </row>
    <row r="4" spans="1:18" ht="15" x14ac:dyDescent="0.25">
      <c r="A4" s="68">
        <f>SUM(C4:N4)</f>
        <v>-268.98184972380005</v>
      </c>
      <c r="B4" s="69">
        <v>45523</v>
      </c>
      <c r="C4" s="52">
        <v>-10.635216329190007</v>
      </c>
      <c r="D4" s="52">
        <v>-5.4564809255000002</v>
      </c>
      <c r="E4" s="52">
        <v>1.3698754999999998</v>
      </c>
      <c r="F4" s="52">
        <v>-121.79526989999999</v>
      </c>
      <c r="G4" s="52">
        <v>4.5804036998999988</v>
      </c>
      <c r="H4" s="52">
        <v>-73.530990195259974</v>
      </c>
      <c r="I4" s="52">
        <v>0.69818209999999992</v>
      </c>
      <c r="J4" s="52">
        <v>-10.460083515500001</v>
      </c>
      <c r="K4" s="52">
        <v>-44.709885319750001</v>
      </c>
      <c r="L4" s="52">
        <v>-3.1309701385000017</v>
      </c>
      <c r="M4" s="52">
        <v>-6.1622758999999991</v>
      </c>
      <c r="N4" s="52">
        <v>0.25086120000000001</v>
      </c>
      <c r="P4" s="14"/>
    </row>
    <row r="5" spans="1:18" ht="15" x14ac:dyDescent="0.25">
      <c r="A5" s="68">
        <f>SUM(C5:N5)</f>
        <v>-203.13223847575</v>
      </c>
      <c r="B5" s="67">
        <v>45530</v>
      </c>
      <c r="C5" s="58">
        <v>8.9543483414199976</v>
      </c>
      <c r="D5" s="58">
        <v>-21.8344802258</v>
      </c>
      <c r="E5" s="58">
        <v>5.1762549</v>
      </c>
      <c r="F5" s="58">
        <v>-138.08742999999998</v>
      </c>
      <c r="G5" s="58">
        <v>5.1035293942999989</v>
      </c>
      <c r="H5" s="58">
        <v>11.299727506500005</v>
      </c>
      <c r="I5" s="58">
        <v>8.586590600000001</v>
      </c>
      <c r="J5" s="58">
        <v>-4.4572405795999988</v>
      </c>
      <c r="K5" s="58">
        <v>-13.304586312570002</v>
      </c>
      <c r="L5" s="58">
        <v>3.7213396999999993</v>
      </c>
      <c r="M5" s="58">
        <v>-54.805562699999996</v>
      </c>
      <c r="N5" s="58">
        <v>-13.484729099999999</v>
      </c>
      <c r="P5" s="14"/>
    </row>
    <row r="6" spans="1:18" ht="15" x14ac:dyDescent="0.25">
      <c r="A6" s="68">
        <f>SUM(C6:N6)</f>
        <v>-144.70201364426001</v>
      </c>
      <c r="B6" s="12">
        <v>45537</v>
      </c>
      <c r="C6" s="79">
        <v>-8.4273284155099972</v>
      </c>
      <c r="D6" s="79">
        <v>10.603721996099999</v>
      </c>
      <c r="E6" s="79">
        <v>5.8260037000000002</v>
      </c>
      <c r="F6" s="79">
        <v>-133.31366260000001</v>
      </c>
      <c r="G6" s="79">
        <v>0.58200489629999974</v>
      </c>
      <c r="H6" s="79">
        <v>6.4085787157900009</v>
      </c>
      <c r="I6" s="79">
        <v>1.2995153000000004</v>
      </c>
      <c r="J6" s="79">
        <v>4.7177513585000002</v>
      </c>
      <c r="K6" s="79">
        <v>-29.962177095440001</v>
      </c>
      <c r="L6" s="79">
        <v>32.589428900000001</v>
      </c>
      <c r="M6" s="79">
        <v>-38.488710000000005</v>
      </c>
      <c r="N6" s="79">
        <v>3.4628595999999998</v>
      </c>
      <c r="P6" s="14"/>
    </row>
    <row r="7" spans="1:18" ht="15" x14ac:dyDescent="0.25">
      <c r="A7" s="72"/>
      <c r="B7" s="53"/>
      <c r="C7" s="76"/>
      <c r="D7" s="76"/>
      <c r="E7" s="76"/>
      <c r="F7" s="76"/>
      <c r="G7" s="76"/>
      <c r="H7" s="76"/>
      <c r="I7" s="76"/>
      <c r="J7" s="76"/>
      <c r="K7" s="76"/>
      <c r="L7" s="76"/>
      <c r="M7" s="76"/>
      <c r="N7" s="76"/>
      <c r="P7" s="14"/>
    </row>
    <row r="8" spans="1:18" x14ac:dyDescent="0.2">
      <c r="B8" s="11" t="s">
        <v>5</v>
      </c>
      <c r="C8" s="11"/>
      <c r="D8" s="11"/>
    </row>
    <row r="9" spans="1:18" x14ac:dyDescent="0.2">
      <c r="B9" s="11" t="s">
        <v>82</v>
      </c>
      <c r="C9" s="11"/>
      <c r="D9" s="11"/>
    </row>
    <row r="10" spans="1:18" x14ac:dyDescent="0.2">
      <c r="B10" s="11" t="s">
        <v>6</v>
      </c>
      <c r="C10" s="11"/>
      <c r="D10" s="11"/>
    </row>
    <row r="11" spans="1:18" x14ac:dyDescent="0.2">
      <c r="B11" s="11" t="s">
        <v>73</v>
      </c>
      <c r="C11" s="12"/>
      <c r="D11" s="12"/>
    </row>
    <row r="12" spans="1:18" ht="15" x14ac:dyDescent="0.25">
      <c r="C12" s="50"/>
      <c r="D12" s="50"/>
      <c r="E12" s="50"/>
      <c r="F12" s="50"/>
      <c r="G12" s="50"/>
      <c r="H12" s="50"/>
      <c r="I12" s="50"/>
      <c r="J12" s="50"/>
      <c r="K12" s="50"/>
      <c r="L12" s="50"/>
      <c r="M12" s="50"/>
      <c r="N12" s="50"/>
    </row>
    <row r="13" spans="1:18" ht="15" x14ac:dyDescent="0.25">
      <c r="B13"/>
      <c r="C13" s="50"/>
      <c r="D13" s="50"/>
      <c r="E13" s="50"/>
      <c r="F13" s="50"/>
      <c r="G13" s="50"/>
      <c r="H13" s="50"/>
      <c r="I13" s="50"/>
      <c r="J13" s="50"/>
      <c r="K13" s="50"/>
      <c r="L13" s="50"/>
      <c r="M13" s="50"/>
      <c r="N13" s="50"/>
      <c r="O13" s="43"/>
      <c r="P13"/>
      <c r="Q13"/>
      <c r="R13"/>
    </row>
    <row r="14" spans="1:18" ht="15" x14ac:dyDescent="0.25">
      <c r="C14"/>
      <c r="D14"/>
      <c r="E14"/>
      <c r="F14"/>
      <c r="G14"/>
      <c r="H14"/>
      <c r="I14"/>
      <c r="J14"/>
      <c r="K14"/>
      <c r="L14"/>
      <c r="M14"/>
      <c r="N14"/>
      <c r="O14"/>
      <c r="P14"/>
      <c r="Q14"/>
      <c r="R14"/>
    </row>
    <row r="15" spans="1:18" ht="15" x14ac:dyDescent="0.25">
      <c r="C15" s="50"/>
      <c r="D15" s="50"/>
      <c r="E15" s="50"/>
      <c r="F15" s="50"/>
      <c r="G15" s="50"/>
      <c r="H15" s="50"/>
      <c r="I15" s="50"/>
      <c r="J15" s="50"/>
      <c r="K15" s="50"/>
      <c r="L15" s="50"/>
      <c r="M15" s="50"/>
      <c r="N15" s="50"/>
      <c r="O15"/>
    </row>
    <row r="16" spans="1:18" ht="15" x14ac:dyDescent="0.25">
      <c r="C16" s="42"/>
      <c r="D16" s="42"/>
      <c r="E16" s="42"/>
      <c r="F16" s="42"/>
      <c r="G16" s="42"/>
      <c r="H16" s="42"/>
      <c r="I16" s="42"/>
      <c r="J16" s="42"/>
      <c r="K16" s="42"/>
      <c r="L16" s="42"/>
      <c r="M16" s="42"/>
      <c r="N16" s="42"/>
    </row>
    <row r="17" spans="3:14" ht="15" x14ac:dyDescent="0.25">
      <c r="C17"/>
      <c r="D17"/>
      <c r="E17"/>
      <c r="F17"/>
      <c r="G17"/>
      <c r="H17"/>
      <c r="I17"/>
      <c r="J17"/>
      <c r="K17"/>
      <c r="L17"/>
      <c r="M17"/>
      <c r="N17"/>
    </row>
    <row r="18" spans="3:14" ht="15" x14ac:dyDescent="0.25">
      <c r="C18" s="43"/>
      <c r="D18" s="43"/>
      <c r="E18" s="43"/>
      <c r="F18" s="43"/>
      <c r="G18" s="43"/>
      <c r="H18" s="43"/>
      <c r="I18" s="43"/>
      <c r="J18" s="43"/>
      <c r="K18" s="43"/>
      <c r="L18" s="43"/>
      <c r="M18" s="43"/>
      <c r="N18" s="43"/>
    </row>
    <row r="19" spans="3:14" ht="15" x14ac:dyDescent="0.25">
      <c r="C19"/>
      <c r="D19"/>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3:A7"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37"/>
  <sheetViews>
    <sheetView showGridLines="0" zoomScaleNormal="100" workbookViewId="0"/>
  </sheetViews>
  <sheetFormatPr defaultRowHeight="15" x14ac:dyDescent="0.25"/>
  <cols>
    <col min="1" max="1" width="41.5703125" customWidth="1"/>
    <col min="2" max="2" width="8.5703125" customWidth="1"/>
    <col min="3" max="4" width="14.5703125" customWidth="1"/>
    <col min="5" max="5" width="8.5703125" customWidth="1"/>
    <col min="6" max="7" width="12.7109375" customWidth="1"/>
    <col min="8" max="8" width="15.7109375" customWidth="1"/>
    <col min="12" max="12" width="16" customWidth="1"/>
  </cols>
  <sheetData>
    <row r="1" spans="1:5" ht="60" x14ac:dyDescent="0.25">
      <c r="A1" s="32" t="str">
        <f>CONCATENATE("STI Constituents - ",'Weekly Top 10'!$C$5)</f>
        <v>STI Constituents - Week of 2 September 2024</v>
      </c>
      <c r="B1" s="16" t="s">
        <v>1</v>
      </c>
      <c r="C1" s="17" t="s">
        <v>71</v>
      </c>
      <c r="D1" s="17" t="s">
        <v>72</v>
      </c>
    </row>
    <row r="2" spans="1:5" x14ac:dyDescent="0.25">
      <c r="A2" s="18" t="s">
        <v>87</v>
      </c>
      <c r="B2" s="19" t="s">
        <v>25</v>
      </c>
      <c r="C2" s="20">
        <v>2.6945779999999999</v>
      </c>
      <c r="D2" s="20">
        <v>-4.8146820000000004</v>
      </c>
      <c r="E2" s="38"/>
    </row>
    <row r="3" spans="1:5" x14ac:dyDescent="0.25">
      <c r="A3" s="21" t="s">
        <v>77</v>
      </c>
      <c r="B3" s="22" t="s">
        <v>56</v>
      </c>
      <c r="C3" s="8">
        <v>-8.6859889999999993</v>
      </c>
      <c r="D3" s="8">
        <v>1.2300260000000001</v>
      </c>
      <c r="E3" s="38"/>
    </row>
    <row r="4" spans="1:5" x14ac:dyDescent="0.25">
      <c r="A4" s="5" t="s">
        <v>84</v>
      </c>
      <c r="B4" s="7" t="s">
        <v>83</v>
      </c>
      <c r="C4" s="6">
        <v>10.834745</v>
      </c>
      <c r="D4" s="6">
        <v>-11.756805</v>
      </c>
      <c r="E4" s="38"/>
    </row>
    <row r="5" spans="1:5" x14ac:dyDescent="0.25">
      <c r="A5" s="21" t="s">
        <v>63</v>
      </c>
      <c r="B5" s="22" t="s">
        <v>54</v>
      </c>
      <c r="C5" s="8">
        <v>3.0942000000000001E-2</v>
      </c>
      <c r="D5" s="8">
        <v>2.117353</v>
      </c>
      <c r="E5" s="38"/>
    </row>
    <row r="6" spans="1:5" x14ac:dyDescent="0.25">
      <c r="A6" s="5" t="s">
        <v>26</v>
      </c>
      <c r="B6" s="7" t="s">
        <v>21</v>
      </c>
      <c r="C6" s="6">
        <v>46.991577999999997</v>
      </c>
      <c r="D6" s="6">
        <v>-65.513559000000001</v>
      </c>
      <c r="E6" s="38"/>
    </row>
    <row r="7" spans="1:5" x14ac:dyDescent="0.25">
      <c r="A7" s="21" t="s">
        <v>85</v>
      </c>
      <c r="B7" s="22" t="s">
        <v>57</v>
      </c>
      <c r="C7" s="8">
        <v>0.39477703590000052</v>
      </c>
      <c r="D7" s="8">
        <v>9.8582696099999964E-2</v>
      </c>
      <c r="E7" s="38"/>
    </row>
    <row r="8" spans="1:5" x14ac:dyDescent="0.25">
      <c r="A8" s="5" t="s">
        <v>246</v>
      </c>
      <c r="B8" s="7" t="s">
        <v>108</v>
      </c>
      <c r="C8" s="6">
        <v>-0.81866499999999998</v>
      </c>
      <c r="D8" s="6">
        <v>-0.16356100000000001</v>
      </c>
      <c r="E8" s="38"/>
    </row>
    <row r="9" spans="1:5" x14ac:dyDescent="0.25">
      <c r="A9" s="21" t="s">
        <v>79</v>
      </c>
      <c r="B9" s="22" t="s">
        <v>78</v>
      </c>
      <c r="C9" s="8">
        <v>4.1070410000000006</v>
      </c>
      <c r="D9" s="8">
        <v>-1.1681539999999999</v>
      </c>
      <c r="E9" s="38"/>
    </row>
    <row r="10" spans="1:5" x14ac:dyDescent="0.25">
      <c r="A10" s="5" t="s">
        <v>36</v>
      </c>
      <c r="B10" s="7" t="s">
        <v>35</v>
      </c>
      <c r="C10" s="6">
        <v>14.009164</v>
      </c>
      <c r="D10" s="6">
        <v>-10.499174500000001</v>
      </c>
      <c r="E10" s="38"/>
    </row>
    <row r="11" spans="1:5" x14ac:dyDescent="0.25">
      <c r="A11" s="21" t="s">
        <v>64</v>
      </c>
      <c r="B11" s="22" t="s">
        <v>55</v>
      </c>
      <c r="C11" s="8">
        <v>-2.527648365000001</v>
      </c>
      <c r="D11" s="8">
        <v>-0.29772784150000031</v>
      </c>
      <c r="E11" s="38"/>
    </row>
    <row r="12" spans="1:5" x14ac:dyDescent="0.25">
      <c r="A12" s="5" t="s">
        <v>50</v>
      </c>
      <c r="B12" s="7" t="s">
        <v>48</v>
      </c>
      <c r="C12" s="6">
        <v>6.150099</v>
      </c>
      <c r="D12" s="6">
        <v>-1.308954</v>
      </c>
      <c r="E12" s="38"/>
    </row>
    <row r="13" spans="1:5" x14ac:dyDescent="0.25">
      <c r="A13" s="21" t="s">
        <v>62</v>
      </c>
      <c r="B13" s="22" t="s">
        <v>52</v>
      </c>
      <c r="C13" s="8">
        <v>1.1695153153</v>
      </c>
      <c r="D13" s="8">
        <v>1.6094736606</v>
      </c>
      <c r="E13" s="38"/>
    </row>
    <row r="14" spans="1:5" x14ac:dyDescent="0.25">
      <c r="A14" s="5" t="s">
        <v>148</v>
      </c>
      <c r="B14" s="7" t="s">
        <v>32</v>
      </c>
      <c r="C14" s="6">
        <v>0.99861999999999995</v>
      </c>
      <c r="D14" s="6">
        <v>12.70513</v>
      </c>
      <c r="E14" s="38"/>
    </row>
    <row r="15" spans="1:5" x14ac:dyDescent="0.25">
      <c r="A15" s="21" t="s">
        <v>75</v>
      </c>
      <c r="B15" s="22" t="s">
        <v>74</v>
      </c>
      <c r="C15" s="8">
        <v>4.4402480000000004</v>
      </c>
      <c r="D15" s="8">
        <v>-2.0905580000000001</v>
      </c>
      <c r="E15" s="38"/>
    </row>
    <row r="16" spans="1:5" x14ac:dyDescent="0.25">
      <c r="A16" s="5" t="s">
        <v>40</v>
      </c>
      <c r="B16" s="7" t="s">
        <v>38</v>
      </c>
      <c r="C16" s="6">
        <v>2.1994910000000001</v>
      </c>
      <c r="D16" s="6">
        <v>0.80183400000000005</v>
      </c>
      <c r="E16" s="38"/>
    </row>
    <row r="17" spans="1:5" x14ac:dyDescent="0.25">
      <c r="A17" s="21" t="s">
        <v>257</v>
      </c>
      <c r="B17" s="22" t="s">
        <v>58</v>
      </c>
      <c r="C17" s="8">
        <v>11.36998</v>
      </c>
      <c r="D17" s="8">
        <v>-3.6204510000000001</v>
      </c>
      <c r="E17" s="38"/>
    </row>
    <row r="18" spans="1:5" x14ac:dyDescent="0.25">
      <c r="A18" s="5" t="s">
        <v>27</v>
      </c>
      <c r="B18" s="7" t="s">
        <v>22</v>
      </c>
      <c r="C18" s="6">
        <v>21.514408</v>
      </c>
      <c r="D18" s="6">
        <v>-12.445789</v>
      </c>
      <c r="E18" s="38"/>
    </row>
    <row r="19" spans="1:5" x14ac:dyDescent="0.25">
      <c r="A19" s="21" t="s">
        <v>34</v>
      </c>
      <c r="B19" s="22" t="s">
        <v>30</v>
      </c>
      <c r="C19" s="8">
        <v>-10.918013</v>
      </c>
      <c r="D19" s="8">
        <v>2.724926</v>
      </c>
      <c r="E19" s="38"/>
    </row>
    <row r="20" spans="1:5" x14ac:dyDescent="0.25">
      <c r="A20" s="5" t="s">
        <v>142</v>
      </c>
      <c r="B20" s="7" t="s">
        <v>251</v>
      </c>
      <c r="C20" s="6">
        <v>24.375594</v>
      </c>
      <c r="D20" s="6">
        <v>-20.282440999999999</v>
      </c>
      <c r="E20" s="38"/>
    </row>
    <row r="21" spans="1:5" x14ac:dyDescent="0.25">
      <c r="A21" s="21" t="s">
        <v>45</v>
      </c>
      <c r="B21" s="22" t="s">
        <v>42</v>
      </c>
      <c r="C21" s="8">
        <v>5.9455489999999998</v>
      </c>
      <c r="D21" s="8">
        <v>3.130617</v>
      </c>
      <c r="E21" s="38"/>
    </row>
    <row r="22" spans="1:5" x14ac:dyDescent="0.25">
      <c r="A22" s="5" t="s">
        <v>33</v>
      </c>
      <c r="B22" s="7" t="s">
        <v>31</v>
      </c>
      <c r="C22" s="6">
        <v>4.5000260000000001</v>
      </c>
      <c r="D22" s="6">
        <v>-1.6154660000000001</v>
      </c>
      <c r="E22" s="38"/>
    </row>
    <row r="23" spans="1:5" x14ac:dyDescent="0.25">
      <c r="A23" s="21" t="s">
        <v>29</v>
      </c>
      <c r="B23" s="22" t="s">
        <v>24</v>
      </c>
      <c r="C23" s="8">
        <v>8.2542139999999993</v>
      </c>
      <c r="D23" s="8">
        <v>-15.982502</v>
      </c>
      <c r="E23" s="38"/>
    </row>
    <row r="24" spans="1:5" x14ac:dyDescent="0.25">
      <c r="A24" s="5" t="s">
        <v>39</v>
      </c>
      <c r="B24" s="7" t="s">
        <v>37</v>
      </c>
      <c r="C24" s="6">
        <v>3.774934</v>
      </c>
      <c r="D24" s="6">
        <v>5.0176360000000004</v>
      </c>
      <c r="E24" s="38"/>
    </row>
    <row r="25" spans="1:5" x14ac:dyDescent="0.25">
      <c r="A25" s="21" t="s">
        <v>49</v>
      </c>
      <c r="B25" s="22" t="s">
        <v>47</v>
      </c>
      <c r="C25" s="8">
        <v>69.308383900000024</v>
      </c>
      <c r="D25" s="8">
        <v>-34.688539300000002</v>
      </c>
      <c r="E25" s="38"/>
    </row>
    <row r="26" spans="1:5" x14ac:dyDescent="0.25">
      <c r="A26" s="5" t="s">
        <v>60</v>
      </c>
      <c r="B26" s="7" t="s">
        <v>51</v>
      </c>
      <c r="C26" s="6">
        <v>-0.87052350000000001</v>
      </c>
      <c r="D26" s="6">
        <v>-1.185681</v>
      </c>
      <c r="E26" s="38"/>
    </row>
    <row r="27" spans="1:5" x14ac:dyDescent="0.25">
      <c r="A27" s="21" t="s">
        <v>28</v>
      </c>
      <c r="B27" s="22" t="s">
        <v>23</v>
      </c>
      <c r="C27" s="8">
        <v>45.271808999999998</v>
      </c>
      <c r="D27" s="8">
        <v>-26.818539000000001</v>
      </c>
      <c r="E27" s="38"/>
    </row>
    <row r="28" spans="1:5" x14ac:dyDescent="0.25">
      <c r="A28" s="5" t="s">
        <v>65</v>
      </c>
      <c r="B28" s="7" t="s">
        <v>59</v>
      </c>
      <c r="C28" s="6">
        <v>-1.097191</v>
      </c>
      <c r="D28" s="6">
        <v>-0.30699500000000002</v>
      </c>
      <c r="E28" s="38"/>
    </row>
    <row r="29" spans="1:5" x14ac:dyDescent="0.25">
      <c r="A29" s="21" t="s">
        <v>46</v>
      </c>
      <c r="B29" s="22" t="s">
        <v>43</v>
      </c>
      <c r="C29" s="8">
        <v>-4.7884419999999999</v>
      </c>
      <c r="D29" s="8">
        <v>8.7466919999999995</v>
      </c>
      <c r="E29" s="38"/>
    </row>
    <row r="30" spans="1:5" x14ac:dyDescent="0.25">
      <c r="A30" s="5" t="s">
        <v>44</v>
      </c>
      <c r="B30" s="7" t="s">
        <v>41</v>
      </c>
      <c r="C30" s="6">
        <v>-1.977665</v>
      </c>
      <c r="D30" s="6">
        <v>4.3651989999999996</v>
      </c>
      <c r="E30" s="38"/>
    </row>
    <row r="31" spans="1:5" ht="15.75" thickBot="1" x14ac:dyDescent="0.3">
      <c r="A31" s="21" t="s">
        <v>61</v>
      </c>
      <c r="B31" s="22" t="s">
        <v>53</v>
      </c>
      <c r="C31" s="8">
        <v>-3.7588050000000002</v>
      </c>
      <c r="D31" s="8">
        <v>12.598839</v>
      </c>
      <c r="E31" s="38"/>
    </row>
    <row r="32" spans="1:5" ht="21" customHeight="1" thickBot="1" x14ac:dyDescent="0.3">
      <c r="A32" s="91" t="s">
        <v>66</v>
      </c>
      <c r="B32" s="92"/>
      <c r="C32" s="61">
        <f>SUM(C2:C31)</f>
        <v>252.89275438620001</v>
      </c>
      <c r="D32" s="62">
        <f>SUM(D2:D31)</f>
        <v>-159.41327028480003</v>
      </c>
    </row>
    <row r="34" spans="1:5" x14ac:dyDescent="0.25">
      <c r="A34" s="11" t="s">
        <v>67</v>
      </c>
      <c r="B34" s="49"/>
      <c r="C34" s="49"/>
      <c r="D34" s="49"/>
      <c r="E34" s="49"/>
    </row>
    <row r="35" spans="1:5" x14ac:dyDescent="0.25">
      <c r="A35" s="11" t="s">
        <v>80</v>
      </c>
    </row>
    <row r="36" spans="1:5" x14ac:dyDescent="0.25">
      <c r="A36" s="11" t="s">
        <v>81</v>
      </c>
    </row>
    <row r="37" spans="1:5" x14ac:dyDescent="0.25">
      <c r="A37" s="11" t="s">
        <v>73</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sheetPr codeName="Sheet5"/>
  <dimension ref="A1:Q109"/>
  <sheetViews>
    <sheetView showGridLines="0" zoomScaleNormal="100" workbookViewId="0"/>
  </sheetViews>
  <sheetFormatPr defaultRowHeight="15" x14ac:dyDescent="0.25"/>
  <cols>
    <col min="1" max="1" width="51.5703125" customWidth="1"/>
    <col min="2" max="2" width="8.5703125" customWidth="1"/>
    <col min="3" max="3" width="23" customWidth="1"/>
    <col min="4" max="4" width="24.42578125" customWidth="1"/>
    <col min="5" max="5" width="25" customWidth="1"/>
    <col min="6" max="6" width="31.5703125" bestFit="1" customWidth="1"/>
    <col min="7" max="7" width="14" customWidth="1"/>
    <col min="8" max="8" width="19.5703125" customWidth="1"/>
    <col min="9" max="9" width="27.28515625" customWidth="1"/>
    <col min="10" max="10" width="23.7109375" customWidth="1"/>
    <col min="11" max="11" width="20.7109375" customWidth="1"/>
    <col min="12" max="13" width="16.7109375"/>
  </cols>
  <sheetData>
    <row r="1" spans="1:17" ht="45" x14ac:dyDescent="0.25">
      <c r="A1" s="32" t="str">
        <f>CONCATENATE("100 Most Traded Stocks YTD - ",'Weekly Top 10'!$C$5)</f>
        <v>100 Most Traded Stocks YTD - Week of 2 September 2024</v>
      </c>
      <c r="B1" s="16" t="s">
        <v>1</v>
      </c>
      <c r="C1" s="48" t="s">
        <v>98</v>
      </c>
      <c r="D1" s="17" t="s">
        <v>97</v>
      </c>
      <c r="E1" s="17" t="s">
        <v>99</v>
      </c>
      <c r="F1" s="17" t="s">
        <v>100</v>
      </c>
      <c r="G1" s="54"/>
      <c r="H1" s="83"/>
      <c r="I1" s="83"/>
      <c r="J1" s="83"/>
      <c r="L1" s="83"/>
      <c r="M1" s="83"/>
    </row>
    <row r="2" spans="1:17" x14ac:dyDescent="0.25">
      <c r="A2" s="18" t="s">
        <v>26</v>
      </c>
      <c r="B2" s="19" t="s">
        <v>21</v>
      </c>
      <c r="C2" s="55">
        <v>153.95397026941859</v>
      </c>
      <c r="D2" s="55">
        <v>-276.19356069999998</v>
      </c>
      <c r="E2" s="55">
        <v>46.991577999999997</v>
      </c>
      <c r="F2" s="20" t="s">
        <v>13</v>
      </c>
      <c r="G2" s="54"/>
      <c r="O2" s="77"/>
      <c r="P2" s="77"/>
      <c r="Q2" s="77"/>
    </row>
    <row r="3" spans="1:17" x14ac:dyDescent="0.25">
      <c r="A3" s="21" t="s">
        <v>49</v>
      </c>
      <c r="B3" s="22" t="s">
        <v>47</v>
      </c>
      <c r="C3" s="56">
        <v>91.329452650976748</v>
      </c>
      <c r="D3" s="56">
        <v>720.06040219999988</v>
      </c>
      <c r="E3" s="56">
        <v>69.308383899999995</v>
      </c>
      <c r="F3" s="8" t="s">
        <v>157</v>
      </c>
      <c r="G3" s="54"/>
      <c r="O3" s="77"/>
      <c r="P3" s="77"/>
      <c r="Q3" s="77"/>
    </row>
    <row r="4" spans="1:17" x14ac:dyDescent="0.25">
      <c r="A4" s="5" t="s">
        <v>28</v>
      </c>
      <c r="B4" s="7" t="s">
        <v>23</v>
      </c>
      <c r="C4" s="57">
        <v>84.996269377156977</v>
      </c>
      <c r="D4" s="57">
        <v>493.16187480000002</v>
      </c>
      <c r="E4" s="57">
        <v>45.271808999999998</v>
      </c>
      <c r="F4" s="6" t="s">
        <v>13</v>
      </c>
      <c r="G4" s="54"/>
      <c r="O4" s="77"/>
      <c r="P4" s="77"/>
      <c r="Q4" s="77"/>
    </row>
    <row r="5" spans="1:17" x14ac:dyDescent="0.25">
      <c r="A5" s="21" t="s">
        <v>161</v>
      </c>
      <c r="B5" s="22" t="s">
        <v>22</v>
      </c>
      <c r="C5" s="56">
        <v>76.474620084226743</v>
      </c>
      <c r="D5" s="56">
        <v>183.7514631</v>
      </c>
      <c r="E5" s="56">
        <v>21.514408</v>
      </c>
      <c r="F5" s="8" t="s">
        <v>13</v>
      </c>
      <c r="G5" s="54"/>
      <c r="O5" s="77"/>
      <c r="P5" s="77"/>
      <c r="Q5" s="77"/>
    </row>
    <row r="6" spans="1:17" x14ac:dyDescent="0.25">
      <c r="A6" s="5" t="s">
        <v>263</v>
      </c>
      <c r="B6" s="7" t="s">
        <v>251</v>
      </c>
      <c r="C6" s="57">
        <v>59.573695060697695</v>
      </c>
      <c r="D6" s="57">
        <v>-244.10243199999999</v>
      </c>
      <c r="E6" s="57">
        <v>24.375594</v>
      </c>
      <c r="F6" s="6" t="s">
        <v>14</v>
      </c>
      <c r="G6" s="54"/>
      <c r="O6" s="77"/>
      <c r="P6" s="77"/>
      <c r="Q6" s="77"/>
    </row>
    <row r="7" spans="1:17" x14ac:dyDescent="0.25">
      <c r="A7" s="21" t="s">
        <v>162</v>
      </c>
      <c r="B7" s="22" t="s">
        <v>56</v>
      </c>
      <c r="C7" s="56">
        <v>46.30392480453488</v>
      </c>
      <c r="D7" s="56">
        <v>-63.312379999999997</v>
      </c>
      <c r="E7" s="56">
        <v>-8.6859889999999993</v>
      </c>
      <c r="F7" s="8" t="s">
        <v>17</v>
      </c>
      <c r="G7" s="54"/>
      <c r="O7" s="77"/>
      <c r="P7" s="77"/>
      <c r="Q7" s="77"/>
    </row>
    <row r="8" spans="1:17" x14ac:dyDescent="0.25">
      <c r="A8" s="5" t="s">
        <v>164</v>
      </c>
      <c r="B8" s="7" t="s">
        <v>53</v>
      </c>
      <c r="C8" s="57">
        <v>44.413284333476739</v>
      </c>
      <c r="D8" s="57">
        <v>129.10493080000001</v>
      </c>
      <c r="E8" s="57">
        <v>-3.7588050000000002</v>
      </c>
      <c r="F8" s="6" t="s">
        <v>14</v>
      </c>
      <c r="G8" s="54"/>
      <c r="O8" s="77"/>
      <c r="P8" s="77"/>
      <c r="Q8" s="77"/>
    </row>
    <row r="9" spans="1:17" x14ac:dyDescent="0.25">
      <c r="A9" s="21" t="s">
        <v>33</v>
      </c>
      <c r="B9" s="22" t="s">
        <v>31</v>
      </c>
      <c r="C9" s="56">
        <v>38.698757857267438</v>
      </c>
      <c r="D9" s="56">
        <v>-550.24422000000004</v>
      </c>
      <c r="E9" s="56">
        <v>4.5000260000000001</v>
      </c>
      <c r="F9" s="8" t="s">
        <v>14</v>
      </c>
      <c r="G9" s="54"/>
      <c r="O9" s="77"/>
      <c r="P9" s="77"/>
      <c r="Q9" s="77"/>
    </row>
    <row r="10" spans="1:17" x14ac:dyDescent="0.25">
      <c r="A10" s="5" t="s">
        <v>163</v>
      </c>
      <c r="B10" s="7" t="s">
        <v>25</v>
      </c>
      <c r="C10" s="57">
        <v>34.316209628430229</v>
      </c>
      <c r="D10" s="57">
        <v>-110.950057</v>
      </c>
      <c r="E10" s="57">
        <v>2.6945779999999999</v>
      </c>
      <c r="F10" s="6" t="s">
        <v>17</v>
      </c>
      <c r="G10" s="54"/>
      <c r="O10" s="77"/>
      <c r="P10" s="77"/>
      <c r="Q10" s="77"/>
    </row>
    <row r="11" spans="1:17" x14ac:dyDescent="0.25">
      <c r="A11" s="21" t="s">
        <v>166</v>
      </c>
      <c r="B11" s="22" t="s">
        <v>38</v>
      </c>
      <c r="C11" s="56">
        <v>32.754963075581394</v>
      </c>
      <c r="D11" s="56">
        <v>-254.80211199999999</v>
      </c>
      <c r="E11" s="56">
        <v>2.1994910000000001</v>
      </c>
      <c r="F11" s="8" t="s">
        <v>17</v>
      </c>
      <c r="G11" s="54"/>
      <c r="O11" s="77"/>
      <c r="P11" s="77"/>
      <c r="Q11" s="77"/>
    </row>
    <row r="12" spans="1:17" x14ac:dyDescent="0.25">
      <c r="A12" s="5" t="s">
        <v>167</v>
      </c>
      <c r="B12" s="7" t="s">
        <v>35</v>
      </c>
      <c r="C12" s="57">
        <v>26.828372227598837</v>
      </c>
      <c r="D12" s="57">
        <v>-181.00537750000001</v>
      </c>
      <c r="E12" s="57">
        <v>14.009164</v>
      </c>
      <c r="F12" s="6" t="s">
        <v>10</v>
      </c>
      <c r="G12" s="54"/>
      <c r="O12" s="77"/>
      <c r="P12" s="77"/>
      <c r="Q12" s="77"/>
    </row>
    <row r="13" spans="1:17" x14ac:dyDescent="0.25">
      <c r="A13" s="21" t="s">
        <v>165</v>
      </c>
      <c r="B13" s="22" t="s">
        <v>83</v>
      </c>
      <c r="C13" s="56">
        <v>26.045112624819769</v>
      </c>
      <c r="D13" s="56">
        <v>-119.683858</v>
      </c>
      <c r="E13" s="56">
        <v>10.834745</v>
      </c>
      <c r="F13" s="8" t="s">
        <v>13</v>
      </c>
      <c r="G13" s="54"/>
      <c r="O13" s="77"/>
      <c r="P13" s="77"/>
      <c r="Q13" s="77"/>
    </row>
    <row r="14" spans="1:17" x14ac:dyDescent="0.25">
      <c r="A14" s="5" t="s">
        <v>148</v>
      </c>
      <c r="B14" s="7" t="s">
        <v>32</v>
      </c>
      <c r="C14" s="57">
        <v>24.3546161398314</v>
      </c>
      <c r="D14" s="57">
        <v>-91.746775999999997</v>
      </c>
      <c r="E14" s="57">
        <v>0.99861999999999995</v>
      </c>
      <c r="F14" s="6" t="s">
        <v>14</v>
      </c>
      <c r="G14" s="54"/>
      <c r="O14" s="77"/>
      <c r="P14" s="77"/>
      <c r="Q14" s="77"/>
    </row>
    <row r="15" spans="1:17" x14ac:dyDescent="0.25">
      <c r="A15" s="21" t="s">
        <v>173</v>
      </c>
      <c r="B15" s="22" t="s">
        <v>58</v>
      </c>
      <c r="C15" s="56">
        <v>22.403108132441858</v>
      </c>
      <c r="D15" s="56">
        <v>-133.14832899999999</v>
      </c>
      <c r="E15" s="56">
        <v>11.36998</v>
      </c>
      <c r="F15" s="8" t="s">
        <v>17</v>
      </c>
      <c r="G15" s="54"/>
      <c r="O15" s="77"/>
      <c r="P15" s="77"/>
      <c r="Q15" s="77"/>
    </row>
    <row r="16" spans="1:17" x14ac:dyDescent="0.25">
      <c r="A16" s="5" t="s">
        <v>175</v>
      </c>
      <c r="B16" s="7" t="s">
        <v>48</v>
      </c>
      <c r="C16" s="57">
        <v>19.99844845238372</v>
      </c>
      <c r="D16" s="57">
        <v>-49.465966000000002</v>
      </c>
      <c r="E16" s="57">
        <v>6.150099</v>
      </c>
      <c r="F16" s="6" t="s">
        <v>10</v>
      </c>
      <c r="G16" s="54"/>
      <c r="O16" s="77"/>
      <c r="P16" s="77"/>
      <c r="Q16" s="77"/>
    </row>
    <row r="17" spans="1:17" x14ac:dyDescent="0.25">
      <c r="A17" s="21" t="s">
        <v>29</v>
      </c>
      <c r="B17" s="22" t="s">
        <v>24</v>
      </c>
      <c r="C17" s="56">
        <v>18.80842409686046</v>
      </c>
      <c r="D17" s="56">
        <v>166.304607</v>
      </c>
      <c r="E17" s="56">
        <v>8.2542139999999993</v>
      </c>
      <c r="F17" s="8" t="s">
        <v>13</v>
      </c>
      <c r="G17" s="54"/>
      <c r="O17" s="77"/>
      <c r="P17" s="77"/>
      <c r="Q17" s="77"/>
    </row>
    <row r="18" spans="1:17" x14ac:dyDescent="0.25">
      <c r="A18" s="5" t="s">
        <v>39</v>
      </c>
      <c r="B18" s="7" t="s">
        <v>37</v>
      </c>
      <c r="C18" s="57">
        <v>18.058721187674422</v>
      </c>
      <c r="D18" s="57">
        <v>173.72290899999999</v>
      </c>
      <c r="E18" s="57">
        <v>3.774934</v>
      </c>
      <c r="F18" s="6" t="s">
        <v>14</v>
      </c>
      <c r="G18" s="54"/>
      <c r="O18" s="77"/>
      <c r="P18" s="77"/>
      <c r="Q18" s="77"/>
    </row>
    <row r="19" spans="1:17" x14ac:dyDescent="0.25">
      <c r="A19" s="21" t="s">
        <v>177</v>
      </c>
      <c r="B19" s="22" t="s">
        <v>54</v>
      </c>
      <c r="C19" s="56">
        <v>17.336782461337208</v>
      </c>
      <c r="D19" s="56">
        <v>-237.4776736</v>
      </c>
      <c r="E19" s="56">
        <v>3.0941999999999942E-2</v>
      </c>
      <c r="F19" s="8" t="s">
        <v>16</v>
      </c>
      <c r="G19" s="54"/>
      <c r="O19" s="77"/>
      <c r="P19" s="77"/>
      <c r="Q19" s="77"/>
    </row>
    <row r="20" spans="1:17" x14ac:dyDescent="0.25">
      <c r="A20" s="5" t="s">
        <v>171</v>
      </c>
      <c r="B20" s="7" t="s">
        <v>42</v>
      </c>
      <c r="C20" s="57">
        <v>17.206110271918611</v>
      </c>
      <c r="D20" s="57">
        <v>-16.872090800000002</v>
      </c>
      <c r="E20" s="57">
        <v>5.9455489999999998</v>
      </c>
      <c r="F20" s="6" t="s">
        <v>19</v>
      </c>
      <c r="G20" s="54"/>
      <c r="O20" s="77"/>
      <c r="P20" s="77"/>
      <c r="Q20" s="77"/>
    </row>
    <row r="21" spans="1:17" x14ac:dyDescent="0.25">
      <c r="A21" s="21" t="s">
        <v>174</v>
      </c>
      <c r="B21" s="22" t="s">
        <v>51</v>
      </c>
      <c r="C21" s="56">
        <v>16.708559528488369</v>
      </c>
      <c r="D21" s="56">
        <v>71.684578000000016</v>
      </c>
      <c r="E21" s="56">
        <v>-0.87052350000000001</v>
      </c>
      <c r="F21" s="8" t="s">
        <v>11</v>
      </c>
      <c r="G21" s="54"/>
      <c r="O21" s="77"/>
      <c r="P21" s="77"/>
      <c r="Q21" s="77"/>
    </row>
    <row r="22" spans="1:17" x14ac:dyDescent="0.25">
      <c r="A22" s="5" t="s">
        <v>170</v>
      </c>
      <c r="B22" s="7" t="s">
        <v>41</v>
      </c>
      <c r="C22" s="57">
        <v>16.702928399540699</v>
      </c>
      <c r="D22" s="57">
        <v>-73.428948000000005</v>
      </c>
      <c r="E22" s="57">
        <v>-1.977665</v>
      </c>
      <c r="F22" s="6" t="s">
        <v>11</v>
      </c>
      <c r="G22" s="54"/>
      <c r="O22" s="77"/>
      <c r="P22" s="77"/>
      <c r="Q22" s="77"/>
    </row>
    <row r="23" spans="1:17" x14ac:dyDescent="0.25">
      <c r="A23" s="21" t="s">
        <v>169</v>
      </c>
      <c r="B23" s="22" t="s">
        <v>52</v>
      </c>
      <c r="C23" s="56">
        <v>14.582509637219111</v>
      </c>
      <c r="D23" s="56">
        <v>-18.90142771435001</v>
      </c>
      <c r="E23" s="56">
        <v>1.1695153152999989</v>
      </c>
      <c r="F23" s="8" t="s">
        <v>14</v>
      </c>
      <c r="G23" s="54"/>
      <c r="O23" s="77"/>
      <c r="P23" s="77"/>
      <c r="Q23" s="77"/>
    </row>
    <row r="24" spans="1:17" x14ac:dyDescent="0.25">
      <c r="A24" s="5" t="s">
        <v>34</v>
      </c>
      <c r="B24" s="7" t="s">
        <v>30</v>
      </c>
      <c r="C24" s="57">
        <v>14.5355287994186</v>
      </c>
      <c r="D24" s="57">
        <v>140.765199</v>
      </c>
      <c r="E24" s="57">
        <v>-10.918013</v>
      </c>
      <c r="F24" s="6" t="s">
        <v>14</v>
      </c>
      <c r="G24" s="54"/>
      <c r="O24" s="77"/>
      <c r="P24" s="77"/>
      <c r="Q24" s="77"/>
    </row>
    <row r="25" spans="1:17" x14ac:dyDescent="0.25">
      <c r="A25" s="21" t="s">
        <v>172</v>
      </c>
      <c r="B25" s="22" t="s">
        <v>74</v>
      </c>
      <c r="C25" s="56">
        <v>13.90268165895349</v>
      </c>
      <c r="D25" s="56">
        <v>-73.948276000000007</v>
      </c>
      <c r="E25" s="56">
        <v>4.4402480000000004</v>
      </c>
      <c r="F25" s="8" t="s">
        <v>17</v>
      </c>
      <c r="G25" s="54"/>
      <c r="O25" s="77"/>
      <c r="P25" s="77"/>
      <c r="Q25" s="77"/>
    </row>
    <row r="26" spans="1:17" x14ac:dyDescent="0.25">
      <c r="A26" s="5" t="s">
        <v>176</v>
      </c>
      <c r="B26" s="7" t="s">
        <v>59</v>
      </c>
      <c r="C26" s="57">
        <v>11.565641126511629</v>
      </c>
      <c r="D26" s="57">
        <v>-121.830674</v>
      </c>
      <c r="E26" s="57">
        <v>-1.097191</v>
      </c>
      <c r="F26" s="6" t="s">
        <v>16</v>
      </c>
      <c r="G26" s="54"/>
      <c r="O26" s="77"/>
      <c r="P26" s="77"/>
      <c r="Q26" s="77"/>
    </row>
    <row r="27" spans="1:17" x14ac:dyDescent="0.25">
      <c r="A27" s="21" t="s">
        <v>181</v>
      </c>
      <c r="B27" s="22" t="s">
        <v>78</v>
      </c>
      <c r="C27" s="56">
        <v>11.498249628255811</v>
      </c>
      <c r="D27" s="56">
        <v>-60.879334999999998</v>
      </c>
      <c r="E27" s="56">
        <v>4.1070409999999997</v>
      </c>
      <c r="F27" s="8" t="s">
        <v>17</v>
      </c>
      <c r="G27" s="54"/>
      <c r="O27" s="77"/>
      <c r="P27" s="77"/>
      <c r="Q27" s="77"/>
    </row>
    <row r="28" spans="1:17" x14ac:dyDescent="0.25">
      <c r="A28" s="5" t="s">
        <v>168</v>
      </c>
      <c r="B28" s="7" t="s">
        <v>76</v>
      </c>
      <c r="C28" s="57">
        <v>11.08064715383721</v>
      </c>
      <c r="D28" s="57">
        <v>-1.0845650000000009</v>
      </c>
      <c r="E28" s="57">
        <v>3.383626</v>
      </c>
      <c r="F28" s="6" t="s">
        <v>17</v>
      </c>
      <c r="G28" s="54"/>
      <c r="O28" s="77"/>
      <c r="P28" s="77"/>
      <c r="Q28" s="77"/>
    </row>
    <row r="29" spans="1:17" x14ac:dyDescent="0.25">
      <c r="A29" s="21" t="s">
        <v>178</v>
      </c>
      <c r="B29" s="22" t="s">
        <v>43</v>
      </c>
      <c r="C29" s="56">
        <v>10.599711488755808</v>
      </c>
      <c r="D29" s="56">
        <v>89.12650717999999</v>
      </c>
      <c r="E29" s="56">
        <v>-4.7884419999999999</v>
      </c>
      <c r="F29" s="8" t="s">
        <v>158</v>
      </c>
      <c r="G29" s="54"/>
      <c r="O29" s="77"/>
      <c r="P29" s="77"/>
      <c r="Q29" s="77"/>
    </row>
    <row r="30" spans="1:17" x14ac:dyDescent="0.25">
      <c r="A30" s="5" t="s">
        <v>183</v>
      </c>
      <c r="B30" s="7" t="s">
        <v>88</v>
      </c>
      <c r="C30" s="57">
        <v>9.230582987209301</v>
      </c>
      <c r="D30" s="57">
        <v>30.056709000000001</v>
      </c>
      <c r="E30" s="57">
        <v>8.1919719999999998</v>
      </c>
      <c r="F30" s="6" t="s">
        <v>17</v>
      </c>
      <c r="G30" s="54"/>
      <c r="O30" s="77"/>
      <c r="P30" s="77"/>
      <c r="Q30" s="77"/>
    </row>
    <row r="31" spans="1:17" x14ac:dyDescent="0.25">
      <c r="A31" s="21" t="s">
        <v>182</v>
      </c>
      <c r="B31" s="22" t="s">
        <v>55</v>
      </c>
      <c r="C31" s="56">
        <v>9.0476220276773827</v>
      </c>
      <c r="D31" s="56">
        <v>10.234845164499999</v>
      </c>
      <c r="E31" s="56">
        <v>-2.5276483650000001</v>
      </c>
      <c r="F31" s="8" t="s">
        <v>16</v>
      </c>
      <c r="G31" s="54"/>
      <c r="O31" s="77"/>
      <c r="P31" s="77"/>
      <c r="Q31" s="77"/>
    </row>
    <row r="32" spans="1:17" x14ac:dyDescent="0.25">
      <c r="A32" s="5" t="s">
        <v>139</v>
      </c>
      <c r="B32" s="7" t="s">
        <v>105</v>
      </c>
      <c r="C32" s="57">
        <v>8.3327837918604644</v>
      </c>
      <c r="D32" s="57">
        <v>81.816536999999997</v>
      </c>
      <c r="E32" s="57">
        <v>6.0335910000000004</v>
      </c>
      <c r="F32" s="6" t="s">
        <v>14</v>
      </c>
      <c r="G32" s="54"/>
      <c r="O32" s="77"/>
      <c r="P32" s="77"/>
      <c r="Q32" s="77"/>
    </row>
    <row r="33" spans="1:17" x14ac:dyDescent="0.25">
      <c r="A33" s="21" t="s">
        <v>180</v>
      </c>
      <c r="B33" s="22" t="s">
        <v>108</v>
      </c>
      <c r="C33" s="56">
        <v>6.9915561168604645</v>
      </c>
      <c r="D33" s="56">
        <v>2.0861700000000001</v>
      </c>
      <c r="E33" s="56">
        <v>-0.81866499999999998</v>
      </c>
      <c r="F33" s="8" t="s">
        <v>17</v>
      </c>
      <c r="G33" s="54"/>
      <c r="O33" s="77"/>
      <c r="P33" s="77"/>
      <c r="Q33" s="77"/>
    </row>
    <row r="34" spans="1:17" x14ac:dyDescent="0.25">
      <c r="A34" s="5" t="s">
        <v>179</v>
      </c>
      <c r="B34" s="7" t="s">
        <v>101</v>
      </c>
      <c r="C34" s="57">
        <v>6.5291249034418604</v>
      </c>
      <c r="D34" s="57">
        <v>-25.508944</v>
      </c>
      <c r="E34" s="57">
        <v>-2.7777414999999999</v>
      </c>
      <c r="F34" s="6" t="s">
        <v>17</v>
      </c>
      <c r="G34" s="54"/>
      <c r="O34" s="77"/>
      <c r="P34" s="77"/>
      <c r="Q34" s="77"/>
    </row>
    <row r="35" spans="1:17" x14ac:dyDescent="0.25">
      <c r="A35" s="21" t="s">
        <v>186</v>
      </c>
      <c r="B35" s="22" t="s">
        <v>109</v>
      </c>
      <c r="C35" s="56">
        <v>6.315099480813954</v>
      </c>
      <c r="D35" s="56">
        <v>-6.4955800000000004</v>
      </c>
      <c r="E35" s="56">
        <v>-5.3492249999999997</v>
      </c>
      <c r="F35" s="8" t="s">
        <v>158</v>
      </c>
      <c r="G35" s="54"/>
      <c r="O35" s="77"/>
      <c r="P35" s="77"/>
      <c r="Q35" s="77"/>
    </row>
    <row r="36" spans="1:17" x14ac:dyDescent="0.25">
      <c r="A36" s="5" t="s">
        <v>187</v>
      </c>
      <c r="B36" s="7" t="s">
        <v>254</v>
      </c>
      <c r="C36" s="57">
        <v>5.5398151610465103</v>
      </c>
      <c r="D36" s="57">
        <v>-45.277102499999998</v>
      </c>
      <c r="E36" s="57">
        <v>-6.2983285000000002</v>
      </c>
      <c r="F36" s="6" t="s">
        <v>158</v>
      </c>
      <c r="G36" s="54"/>
      <c r="O36" s="77"/>
      <c r="P36" s="77"/>
      <c r="Q36" s="77"/>
    </row>
    <row r="37" spans="1:17" x14ac:dyDescent="0.25">
      <c r="A37" s="21" t="s">
        <v>184</v>
      </c>
      <c r="B37" s="22" t="s">
        <v>89</v>
      </c>
      <c r="C37" s="56">
        <v>5.2116476832296517</v>
      </c>
      <c r="D37" s="56">
        <v>-95.569042223999986</v>
      </c>
      <c r="E37" s="56">
        <v>-4.9781649999999997</v>
      </c>
      <c r="F37" s="8" t="s">
        <v>158</v>
      </c>
      <c r="G37" s="54"/>
      <c r="O37" s="77"/>
      <c r="P37" s="77"/>
      <c r="Q37" s="77"/>
    </row>
    <row r="38" spans="1:17" x14ac:dyDescent="0.25">
      <c r="A38" s="5" t="s">
        <v>185</v>
      </c>
      <c r="B38" s="7" t="s">
        <v>91</v>
      </c>
      <c r="C38" s="57">
        <v>5.09804504375</v>
      </c>
      <c r="D38" s="57">
        <v>-73.950636500000002</v>
      </c>
      <c r="E38" s="57">
        <v>0.37888450000000001</v>
      </c>
      <c r="F38" s="6" t="s">
        <v>17</v>
      </c>
      <c r="G38" s="54"/>
      <c r="O38" s="77"/>
      <c r="P38" s="77"/>
      <c r="Q38" s="77"/>
    </row>
    <row r="39" spans="1:17" x14ac:dyDescent="0.25">
      <c r="A39" s="21" t="s">
        <v>209</v>
      </c>
      <c r="B39" s="22" t="s">
        <v>128</v>
      </c>
      <c r="C39" s="56">
        <v>4.3879908470930236</v>
      </c>
      <c r="D39" s="56">
        <v>26.69885</v>
      </c>
      <c r="E39" s="56">
        <v>-2.2147869999999998</v>
      </c>
      <c r="F39" s="8" t="s">
        <v>159</v>
      </c>
      <c r="G39" s="54"/>
      <c r="O39" s="77"/>
      <c r="P39" s="77"/>
      <c r="Q39" s="77"/>
    </row>
    <row r="40" spans="1:17" x14ac:dyDescent="0.25">
      <c r="A40" s="5" t="s">
        <v>190</v>
      </c>
      <c r="B40" s="7" t="s">
        <v>123</v>
      </c>
      <c r="C40" s="57">
        <v>3.9731327933139542</v>
      </c>
      <c r="D40" s="57">
        <v>11.021596000000001</v>
      </c>
      <c r="E40" s="57">
        <v>-2.7086260000000002</v>
      </c>
      <c r="F40" s="6" t="s">
        <v>158</v>
      </c>
      <c r="G40" s="54"/>
      <c r="O40" s="77"/>
      <c r="P40" s="77"/>
      <c r="Q40" s="77"/>
    </row>
    <row r="41" spans="1:17" x14ac:dyDescent="0.25">
      <c r="A41" s="21" t="s">
        <v>204</v>
      </c>
      <c r="B41" s="22" t="s">
        <v>107</v>
      </c>
      <c r="C41" s="56">
        <v>3.799425567093023</v>
      </c>
      <c r="D41" s="56">
        <v>-50.895065500000001</v>
      </c>
      <c r="E41" s="56">
        <v>-3.350314</v>
      </c>
      <c r="F41" s="8" t="s">
        <v>11</v>
      </c>
      <c r="G41" s="54"/>
      <c r="O41" s="77"/>
      <c r="P41" s="77"/>
      <c r="Q41" s="77"/>
    </row>
    <row r="42" spans="1:17" x14ac:dyDescent="0.25">
      <c r="A42" s="5" t="s">
        <v>191</v>
      </c>
      <c r="B42" s="7" t="s">
        <v>110</v>
      </c>
      <c r="C42" s="57">
        <v>3.6977965593023256</v>
      </c>
      <c r="D42" s="57">
        <v>-22.767364499999999</v>
      </c>
      <c r="E42" s="57">
        <v>0.57257100000000005</v>
      </c>
      <c r="F42" s="6" t="s">
        <v>158</v>
      </c>
      <c r="G42" s="54"/>
      <c r="O42" s="77"/>
      <c r="P42" s="77"/>
      <c r="Q42" s="77"/>
    </row>
    <row r="43" spans="1:17" x14ac:dyDescent="0.25">
      <c r="A43" s="21" t="s">
        <v>193</v>
      </c>
      <c r="B43" s="22" t="s">
        <v>115</v>
      </c>
      <c r="C43" s="56">
        <v>3.4497415013953487</v>
      </c>
      <c r="D43" s="56">
        <v>-15.763640000000001</v>
      </c>
      <c r="E43" s="56">
        <v>4.6061009999999998</v>
      </c>
      <c r="F43" s="8" t="s">
        <v>157</v>
      </c>
      <c r="G43" s="54"/>
      <c r="O43" s="77"/>
      <c r="P43" s="77"/>
      <c r="Q43" s="77"/>
    </row>
    <row r="44" spans="1:17" x14ac:dyDescent="0.25">
      <c r="A44" s="5" t="s">
        <v>192</v>
      </c>
      <c r="B44" s="7" t="s">
        <v>102</v>
      </c>
      <c r="C44" s="57">
        <v>3.0852248375581399</v>
      </c>
      <c r="D44" s="57">
        <v>-11.67271</v>
      </c>
      <c r="E44" s="57">
        <v>0.84525950000000027</v>
      </c>
      <c r="F44" s="6" t="s">
        <v>17</v>
      </c>
      <c r="G44" s="54"/>
      <c r="O44" s="77"/>
      <c r="P44" s="77"/>
      <c r="Q44" s="77"/>
    </row>
    <row r="45" spans="1:17" x14ac:dyDescent="0.25">
      <c r="A45" s="21" t="s">
        <v>189</v>
      </c>
      <c r="B45" s="22" t="s">
        <v>94</v>
      </c>
      <c r="C45" s="56">
        <v>2.8773389970930228</v>
      </c>
      <c r="D45" s="56">
        <v>8.7201029999999999</v>
      </c>
      <c r="E45" s="56">
        <v>-0.4497215</v>
      </c>
      <c r="F45" s="8" t="s">
        <v>14</v>
      </c>
      <c r="G45" s="54"/>
      <c r="O45" s="77"/>
      <c r="P45" s="77"/>
      <c r="Q45" s="77"/>
    </row>
    <row r="46" spans="1:17" x14ac:dyDescent="0.25">
      <c r="A46" s="5" t="s">
        <v>213</v>
      </c>
      <c r="B46" s="7" t="s">
        <v>130</v>
      </c>
      <c r="C46" s="57">
        <v>2.7346444832558139</v>
      </c>
      <c r="D46" s="57">
        <v>8.5299195000000001</v>
      </c>
      <c r="E46" s="57">
        <v>-0.73595149999999998</v>
      </c>
      <c r="F46" s="6" t="s">
        <v>160</v>
      </c>
      <c r="G46" s="54"/>
      <c r="O46" s="77"/>
      <c r="P46" s="77"/>
      <c r="Q46" s="77"/>
    </row>
    <row r="47" spans="1:17" x14ac:dyDescent="0.25">
      <c r="A47" s="21" t="s">
        <v>188</v>
      </c>
      <c r="B47" s="22" t="s">
        <v>120</v>
      </c>
      <c r="C47" s="56">
        <v>2.6971866453488373</v>
      </c>
      <c r="D47" s="56">
        <v>3.4322699999999999</v>
      </c>
      <c r="E47" s="56">
        <v>-0.66358950000000005</v>
      </c>
      <c r="F47" s="8" t="s">
        <v>159</v>
      </c>
      <c r="G47" s="54"/>
      <c r="O47" s="77"/>
      <c r="P47" s="77"/>
      <c r="Q47" s="77"/>
    </row>
    <row r="48" spans="1:17" x14ac:dyDescent="0.25">
      <c r="A48" s="5" t="s">
        <v>197</v>
      </c>
      <c r="B48" s="7" t="s">
        <v>106</v>
      </c>
      <c r="C48" s="57">
        <v>2.6420186879651162</v>
      </c>
      <c r="D48" s="57">
        <v>-16.574762070000002</v>
      </c>
      <c r="E48" s="57">
        <v>9.5109500000000013E-2</v>
      </c>
      <c r="F48" s="6" t="s">
        <v>17</v>
      </c>
      <c r="G48" s="54"/>
      <c r="O48" s="77"/>
      <c r="P48" s="77"/>
      <c r="Q48" s="77"/>
    </row>
    <row r="49" spans="1:17" x14ac:dyDescent="0.25">
      <c r="A49" s="21" t="s">
        <v>203</v>
      </c>
      <c r="B49" s="22" t="s">
        <v>103</v>
      </c>
      <c r="C49" s="56">
        <v>2.621756135581395</v>
      </c>
      <c r="D49" s="56">
        <v>-28.162695500000002</v>
      </c>
      <c r="E49" s="56">
        <v>-2.8847255000000001</v>
      </c>
      <c r="F49" s="8" t="s">
        <v>15</v>
      </c>
      <c r="G49" s="54"/>
      <c r="O49" s="77"/>
      <c r="P49" s="77"/>
      <c r="Q49" s="77"/>
    </row>
    <row r="50" spans="1:17" x14ac:dyDescent="0.25">
      <c r="A50" s="5" t="s">
        <v>196</v>
      </c>
      <c r="B50" s="7" t="s">
        <v>117</v>
      </c>
      <c r="C50" s="57">
        <v>2.4794983615290698</v>
      </c>
      <c r="D50" s="57">
        <v>-3.1444840000000007</v>
      </c>
      <c r="E50" s="57">
        <v>-0.78065300000000015</v>
      </c>
      <c r="F50" s="6" t="s">
        <v>17</v>
      </c>
      <c r="G50" s="54"/>
      <c r="O50" s="77"/>
      <c r="P50" s="77"/>
      <c r="Q50" s="77"/>
    </row>
    <row r="51" spans="1:17" x14ac:dyDescent="0.25">
      <c r="A51" s="21" t="s">
        <v>240</v>
      </c>
      <c r="B51" s="22" t="s">
        <v>151</v>
      </c>
      <c r="C51" s="56">
        <v>2.4075942899651159</v>
      </c>
      <c r="D51" s="56">
        <v>2.9524339999999998</v>
      </c>
      <c r="E51" s="56">
        <v>-1.3143628999999999</v>
      </c>
      <c r="F51" s="8" t="s">
        <v>16</v>
      </c>
      <c r="G51" s="54"/>
      <c r="O51" s="77"/>
      <c r="P51" s="77"/>
      <c r="Q51" s="77"/>
    </row>
    <row r="52" spans="1:17" x14ac:dyDescent="0.25">
      <c r="A52" s="5" t="s">
        <v>205</v>
      </c>
      <c r="B52" s="7" t="s">
        <v>118</v>
      </c>
      <c r="C52" s="57">
        <v>2.3380309834734891</v>
      </c>
      <c r="D52" s="57">
        <v>4.6897951512500011</v>
      </c>
      <c r="E52" s="57">
        <v>-1.674495374100001</v>
      </c>
      <c r="F52" s="6" t="s">
        <v>17</v>
      </c>
      <c r="G52" s="54"/>
      <c r="O52" s="77"/>
      <c r="P52" s="77"/>
      <c r="Q52" s="77"/>
    </row>
    <row r="53" spans="1:17" x14ac:dyDescent="0.25">
      <c r="A53" s="21" t="s">
        <v>206</v>
      </c>
      <c r="B53" s="22" t="s">
        <v>90</v>
      </c>
      <c r="C53" s="56">
        <v>2.2999892488372087</v>
      </c>
      <c r="D53" s="56">
        <v>-32.023110000000003</v>
      </c>
      <c r="E53" s="56">
        <v>-2.7262339999999998</v>
      </c>
      <c r="F53" s="8" t="s">
        <v>11</v>
      </c>
      <c r="G53" s="54"/>
      <c r="O53" s="77"/>
      <c r="P53" s="77"/>
      <c r="Q53" s="77"/>
    </row>
    <row r="54" spans="1:17" x14ac:dyDescent="0.25">
      <c r="A54" s="5" t="s">
        <v>194</v>
      </c>
      <c r="B54" s="7" t="s">
        <v>95</v>
      </c>
      <c r="C54" s="57">
        <v>2.2381352416279068</v>
      </c>
      <c r="D54" s="57">
        <v>-55.556222499999997</v>
      </c>
      <c r="E54" s="57">
        <v>0.55414149999999995</v>
      </c>
      <c r="F54" s="6" t="s">
        <v>17</v>
      </c>
      <c r="G54" s="54"/>
      <c r="O54" s="77"/>
      <c r="P54" s="77"/>
      <c r="Q54" s="77"/>
    </row>
    <row r="55" spans="1:17" x14ac:dyDescent="0.25">
      <c r="A55" s="21" t="s">
        <v>249</v>
      </c>
      <c r="B55" s="22" t="s">
        <v>250</v>
      </c>
      <c r="C55" s="56">
        <v>2.2336246133720929</v>
      </c>
      <c r="D55" s="56">
        <v>55.098126999999998</v>
      </c>
      <c r="E55" s="56">
        <v>0</v>
      </c>
      <c r="F55" s="8" t="s">
        <v>13</v>
      </c>
      <c r="G55" s="54"/>
      <c r="O55" s="77"/>
      <c r="P55" s="77"/>
      <c r="Q55" s="77"/>
    </row>
    <row r="56" spans="1:17" x14ac:dyDescent="0.25">
      <c r="A56" s="5" t="s">
        <v>201</v>
      </c>
      <c r="B56" s="7" t="s">
        <v>121</v>
      </c>
      <c r="C56" s="57">
        <v>2.1468088796511626</v>
      </c>
      <c r="D56" s="57">
        <v>-27.512605000000001</v>
      </c>
      <c r="E56" s="57">
        <v>0.63177700000000003</v>
      </c>
      <c r="F56" s="6" t="s">
        <v>17</v>
      </c>
      <c r="G56" s="54"/>
      <c r="O56" s="77"/>
      <c r="P56" s="77"/>
      <c r="Q56" s="77"/>
    </row>
    <row r="57" spans="1:17" x14ac:dyDescent="0.25">
      <c r="A57" s="21" t="s">
        <v>202</v>
      </c>
      <c r="B57" s="22" t="s">
        <v>57</v>
      </c>
      <c r="C57" s="56">
        <v>2.080689242038372</v>
      </c>
      <c r="D57" s="56">
        <v>-17.686885968199999</v>
      </c>
      <c r="E57" s="56">
        <v>0.39477703590000002</v>
      </c>
      <c r="F57" s="8" t="s">
        <v>11</v>
      </c>
      <c r="G57" s="54"/>
      <c r="O57" s="77"/>
      <c r="P57" s="77"/>
      <c r="Q57" s="77"/>
    </row>
    <row r="58" spans="1:17" x14ac:dyDescent="0.25">
      <c r="A58" s="5" t="s">
        <v>195</v>
      </c>
      <c r="B58" s="7" t="s">
        <v>104</v>
      </c>
      <c r="C58" s="57">
        <v>1.8784871389534881</v>
      </c>
      <c r="D58" s="57">
        <v>-5.7360997999999999</v>
      </c>
      <c r="E58" s="57">
        <v>3.0106000000000022E-3</v>
      </c>
      <c r="F58" s="6" t="s">
        <v>159</v>
      </c>
      <c r="G58" s="54"/>
      <c r="O58" s="77"/>
      <c r="P58" s="77"/>
      <c r="Q58" s="77"/>
    </row>
    <row r="59" spans="1:17" x14ac:dyDescent="0.25">
      <c r="A59" s="21" t="s">
        <v>221</v>
      </c>
      <c r="B59" s="22" t="s">
        <v>113</v>
      </c>
      <c r="C59" s="56">
        <v>1.840394024418605</v>
      </c>
      <c r="D59" s="56">
        <v>-64.861676500000002</v>
      </c>
      <c r="E59" s="56">
        <v>-1.642536</v>
      </c>
      <c r="F59" s="8" t="s">
        <v>160</v>
      </c>
      <c r="G59" s="54"/>
      <c r="O59" s="77"/>
      <c r="P59" s="77"/>
      <c r="Q59" s="77"/>
    </row>
    <row r="60" spans="1:17" x14ac:dyDescent="0.25">
      <c r="A60" s="5" t="s">
        <v>222</v>
      </c>
      <c r="B60" s="7" t="s">
        <v>96</v>
      </c>
      <c r="C60" s="57">
        <v>1.8320560302325579</v>
      </c>
      <c r="D60" s="57">
        <v>-0.88989050000000003</v>
      </c>
      <c r="E60" s="57">
        <v>-0.72278900000000013</v>
      </c>
      <c r="F60" s="6" t="s">
        <v>11</v>
      </c>
      <c r="G60" s="54"/>
      <c r="O60" s="77"/>
      <c r="P60" s="77"/>
      <c r="Q60" s="77"/>
    </row>
    <row r="61" spans="1:17" x14ac:dyDescent="0.25">
      <c r="A61" s="21" t="s">
        <v>208</v>
      </c>
      <c r="B61" s="22" t="s">
        <v>111</v>
      </c>
      <c r="C61" s="56">
        <v>1.784461934418605</v>
      </c>
      <c r="D61" s="56">
        <v>20.6044965</v>
      </c>
      <c r="E61" s="56">
        <v>-0.90508099999999991</v>
      </c>
      <c r="F61" s="8" t="s">
        <v>13</v>
      </c>
      <c r="G61" s="54"/>
      <c r="O61" s="77"/>
      <c r="P61" s="77"/>
      <c r="Q61" s="77"/>
    </row>
    <row r="62" spans="1:17" x14ac:dyDescent="0.25">
      <c r="A62" s="5" t="s">
        <v>199</v>
      </c>
      <c r="B62" s="7" t="s">
        <v>119</v>
      </c>
      <c r="C62" s="57">
        <v>1.6780294102325579</v>
      </c>
      <c r="D62" s="57">
        <v>-26.726799499999998</v>
      </c>
      <c r="E62" s="57">
        <v>-0.80684199999999995</v>
      </c>
      <c r="F62" s="6" t="s">
        <v>17</v>
      </c>
      <c r="G62" s="54"/>
      <c r="O62" s="77"/>
      <c r="P62" s="77"/>
      <c r="Q62" s="77"/>
    </row>
    <row r="63" spans="1:17" x14ac:dyDescent="0.25">
      <c r="A63" s="21" t="s">
        <v>224</v>
      </c>
      <c r="B63" s="22" t="s">
        <v>133</v>
      </c>
      <c r="C63" s="56">
        <v>1.661278815116279</v>
      </c>
      <c r="D63" s="56">
        <v>7.8627295000000004</v>
      </c>
      <c r="E63" s="56">
        <v>-0.62961100000000003</v>
      </c>
      <c r="F63" s="8" t="s">
        <v>14</v>
      </c>
      <c r="G63" s="54"/>
      <c r="O63" s="77"/>
      <c r="P63" s="77"/>
      <c r="Q63" s="77"/>
    </row>
    <row r="64" spans="1:17" x14ac:dyDescent="0.25">
      <c r="A64" s="5" t="s">
        <v>211</v>
      </c>
      <c r="B64" s="7" t="s">
        <v>112</v>
      </c>
      <c r="C64" s="57">
        <v>1.6239199</v>
      </c>
      <c r="D64" s="57">
        <v>7.0097240000000003</v>
      </c>
      <c r="E64" s="57">
        <v>0.32334299999999999</v>
      </c>
      <c r="F64" s="6" t="s">
        <v>11</v>
      </c>
      <c r="G64" s="54"/>
      <c r="O64" s="77"/>
      <c r="P64" s="77"/>
      <c r="Q64" s="77"/>
    </row>
    <row r="65" spans="1:17" x14ac:dyDescent="0.25">
      <c r="A65" s="21" t="s">
        <v>198</v>
      </c>
      <c r="B65" s="22" t="s">
        <v>149</v>
      </c>
      <c r="C65" s="56">
        <v>1.391117064534884</v>
      </c>
      <c r="D65" s="56">
        <v>-0.94758970000000031</v>
      </c>
      <c r="E65" s="56">
        <v>2.81193E-2</v>
      </c>
      <c r="F65" s="8" t="s">
        <v>14</v>
      </c>
      <c r="G65" s="54"/>
      <c r="O65" s="77"/>
      <c r="P65" s="77"/>
      <c r="Q65" s="77"/>
    </row>
    <row r="66" spans="1:17" x14ac:dyDescent="0.25">
      <c r="A66" s="5" t="s">
        <v>227</v>
      </c>
      <c r="B66" s="7" t="s">
        <v>131</v>
      </c>
      <c r="C66" s="57">
        <v>1.2657794985372088</v>
      </c>
      <c r="D66" s="57">
        <v>-4.18438947826</v>
      </c>
      <c r="E66" s="57">
        <v>-0.27254573521000003</v>
      </c>
      <c r="F66" s="6" t="s">
        <v>17</v>
      </c>
      <c r="G66" s="54"/>
      <c r="O66" s="77"/>
      <c r="P66" s="77"/>
      <c r="Q66" s="77"/>
    </row>
    <row r="67" spans="1:17" x14ac:dyDescent="0.25">
      <c r="A67" s="21" t="s">
        <v>200</v>
      </c>
      <c r="B67" s="22" t="s">
        <v>116</v>
      </c>
      <c r="C67" s="56">
        <v>1.2460189719704651</v>
      </c>
      <c r="D67" s="56">
        <v>-6.0798891624600007</v>
      </c>
      <c r="E67" s="56">
        <v>0.42763503941999992</v>
      </c>
      <c r="F67" s="8" t="s">
        <v>10</v>
      </c>
      <c r="G67" s="54"/>
      <c r="O67" s="77"/>
      <c r="P67" s="77"/>
      <c r="Q67" s="77"/>
    </row>
    <row r="68" spans="1:17" x14ac:dyDescent="0.25">
      <c r="A68" s="5" t="s">
        <v>212</v>
      </c>
      <c r="B68" s="7" t="s">
        <v>129</v>
      </c>
      <c r="C68" s="57">
        <v>1.2175633226744191</v>
      </c>
      <c r="D68" s="57">
        <v>16.015184000000001</v>
      </c>
      <c r="E68" s="57">
        <v>-0.35360900000000001</v>
      </c>
      <c r="F68" s="6" t="s">
        <v>157</v>
      </c>
      <c r="G68" s="54"/>
      <c r="O68" s="77"/>
      <c r="P68" s="77"/>
      <c r="Q68" s="77"/>
    </row>
    <row r="69" spans="1:17" x14ac:dyDescent="0.25">
      <c r="A69" s="21" t="s">
        <v>207</v>
      </c>
      <c r="B69" s="22" t="s">
        <v>143</v>
      </c>
      <c r="C69" s="56">
        <v>1.2091316616279071</v>
      </c>
      <c r="D69" s="56">
        <v>-0.59383340000000007</v>
      </c>
      <c r="E69" s="56">
        <v>0.10165510000000001</v>
      </c>
      <c r="F69" s="8" t="s">
        <v>160</v>
      </c>
      <c r="G69" s="54"/>
      <c r="O69" s="77"/>
      <c r="P69" s="77"/>
      <c r="Q69" s="77"/>
    </row>
    <row r="70" spans="1:17" x14ac:dyDescent="0.25">
      <c r="A70" s="5" t="s">
        <v>237</v>
      </c>
      <c r="B70" s="7" t="s">
        <v>114</v>
      </c>
      <c r="C70" s="57">
        <v>1.19397325</v>
      </c>
      <c r="D70" s="57">
        <v>5.9155179999999987</v>
      </c>
      <c r="E70" s="57">
        <v>-5.6698180000000011</v>
      </c>
      <c r="F70" s="6" t="s">
        <v>10</v>
      </c>
      <c r="G70" s="54"/>
      <c r="O70" s="77"/>
      <c r="P70" s="77"/>
      <c r="Q70" s="77"/>
    </row>
    <row r="71" spans="1:17" x14ac:dyDescent="0.25">
      <c r="A71" s="21" t="s">
        <v>217</v>
      </c>
      <c r="B71" s="22" t="s">
        <v>127</v>
      </c>
      <c r="C71" s="56">
        <v>1.1927565909302331</v>
      </c>
      <c r="D71" s="56">
        <v>-4.0437839999999996</v>
      </c>
      <c r="E71" s="56">
        <v>0.719781</v>
      </c>
      <c r="F71" s="8" t="s">
        <v>17</v>
      </c>
      <c r="G71" s="54"/>
      <c r="O71" s="77"/>
      <c r="P71" s="77"/>
      <c r="Q71" s="77"/>
    </row>
    <row r="72" spans="1:17" x14ac:dyDescent="0.25">
      <c r="A72" s="5" t="s">
        <v>219</v>
      </c>
      <c r="B72" s="7" t="s">
        <v>93</v>
      </c>
      <c r="C72" s="57">
        <v>1.1679294459541278</v>
      </c>
      <c r="D72" s="57">
        <v>-13.636071931350001</v>
      </c>
      <c r="E72" s="57">
        <v>0.19813367264999998</v>
      </c>
      <c r="F72" s="6" t="s">
        <v>17</v>
      </c>
      <c r="G72" s="54"/>
      <c r="O72" s="77"/>
      <c r="P72" s="77"/>
      <c r="Q72" s="77"/>
    </row>
    <row r="73" spans="1:17" x14ac:dyDescent="0.25">
      <c r="A73" s="21" t="s">
        <v>223</v>
      </c>
      <c r="B73" s="22" t="s">
        <v>125</v>
      </c>
      <c r="C73" s="56">
        <v>1.0391274796511629</v>
      </c>
      <c r="D73" s="56">
        <v>3.3665764999999999</v>
      </c>
      <c r="E73" s="56">
        <v>-0.13589699999999999</v>
      </c>
      <c r="F73" s="8" t="s">
        <v>160</v>
      </c>
      <c r="G73" s="54"/>
      <c r="O73" s="77"/>
      <c r="P73" s="77"/>
      <c r="Q73" s="77"/>
    </row>
    <row r="74" spans="1:17" x14ac:dyDescent="0.25">
      <c r="A74" s="5" t="s">
        <v>235</v>
      </c>
      <c r="B74" s="7" t="s">
        <v>147</v>
      </c>
      <c r="C74" s="57">
        <v>0.98258968909883715</v>
      </c>
      <c r="D74" s="57">
        <v>4.6858579999999996</v>
      </c>
      <c r="E74" s="57">
        <v>0.53998599999999997</v>
      </c>
      <c r="F74" s="6" t="s">
        <v>158</v>
      </c>
      <c r="G74" s="54"/>
      <c r="O74" s="77"/>
      <c r="P74" s="77"/>
      <c r="Q74" s="77"/>
    </row>
    <row r="75" spans="1:17" x14ac:dyDescent="0.25">
      <c r="A75" s="21" t="s">
        <v>231</v>
      </c>
      <c r="B75" s="22" t="s">
        <v>145</v>
      </c>
      <c r="C75" s="56">
        <v>0.97829420872093031</v>
      </c>
      <c r="D75" s="56">
        <v>6.6937094999999998</v>
      </c>
      <c r="E75" s="56">
        <v>0.22015750000000001</v>
      </c>
      <c r="F75" s="8" t="s">
        <v>158</v>
      </c>
      <c r="G75" s="54"/>
      <c r="O75" s="77"/>
      <c r="P75" s="77"/>
      <c r="Q75" s="77"/>
    </row>
    <row r="76" spans="1:17" x14ac:dyDescent="0.25">
      <c r="A76" s="5" t="s">
        <v>247</v>
      </c>
      <c r="B76" s="7" t="s">
        <v>248</v>
      </c>
      <c r="C76" s="57">
        <v>0.95683649186046504</v>
      </c>
      <c r="D76" s="57">
        <v>4.0307547999999995</v>
      </c>
      <c r="E76" s="57">
        <v>-0.1132744</v>
      </c>
      <c r="F76" s="6" t="s">
        <v>159</v>
      </c>
      <c r="G76" s="54"/>
      <c r="O76" s="77"/>
      <c r="P76" s="77"/>
      <c r="Q76" s="77"/>
    </row>
    <row r="77" spans="1:17" x14ac:dyDescent="0.25">
      <c r="A77" s="21" t="s">
        <v>234</v>
      </c>
      <c r="B77" s="22" t="s">
        <v>156</v>
      </c>
      <c r="C77" s="56">
        <v>0.9167980686046513</v>
      </c>
      <c r="D77" s="56">
        <v>2.3239932999999997</v>
      </c>
      <c r="E77" s="56">
        <v>-0.12461700000000001</v>
      </c>
      <c r="F77" s="8" t="s">
        <v>14</v>
      </c>
      <c r="G77" s="54"/>
      <c r="O77" s="77"/>
      <c r="P77" s="77"/>
      <c r="Q77" s="77"/>
    </row>
    <row r="78" spans="1:17" x14ac:dyDescent="0.25">
      <c r="A78" s="5" t="s">
        <v>236</v>
      </c>
      <c r="B78" s="7" t="s">
        <v>152</v>
      </c>
      <c r="C78" s="57">
        <v>0.90598859767441875</v>
      </c>
      <c r="D78" s="57">
        <v>0.59094150000000001</v>
      </c>
      <c r="E78" s="57">
        <v>2.6544000000000002E-2</v>
      </c>
      <c r="F78" s="6" t="s">
        <v>14</v>
      </c>
      <c r="G78" s="54"/>
      <c r="O78" s="77"/>
      <c r="P78" s="77"/>
      <c r="Q78" s="77"/>
    </row>
    <row r="79" spans="1:17" x14ac:dyDescent="0.25">
      <c r="A79" s="21" t="s">
        <v>215</v>
      </c>
      <c r="B79" s="22" t="s">
        <v>150</v>
      </c>
      <c r="C79" s="56">
        <v>0.89422365406976745</v>
      </c>
      <c r="D79" s="56">
        <v>-0.98075100000000004</v>
      </c>
      <c r="E79" s="56">
        <v>-2.2951799999999998E-2</v>
      </c>
      <c r="F79" s="8" t="s">
        <v>14</v>
      </c>
      <c r="G79" s="54"/>
      <c r="O79" s="77"/>
      <c r="P79" s="77"/>
      <c r="Q79" s="77"/>
    </row>
    <row r="80" spans="1:17" x14ac:dyDescent="0.25">
      <c r="A80" s="5" t="s">
        <v>214</v>
      </c>
      <c r="B80" s="7" t="s">
        <v>132</v>
      </c>
      <c r="C80" s="57">
        <v>0.89267529999999995</v>
      </c>
      <c r="D80" s="57">
        <v>-6.6919385</v>
      </c>
      <c r="E80" s="57">
        <v>-0.51096900000000001</v>
      </c>
      <c r="F80" s="6" t="s">
        <v>16</v>
      </c>
      <c r="G80" s="54"/>
      <c r="O80" s="77"/>
      <c r="P80" s="77"/>
      <c r="Q80" s="77"/>
    </row>
    <row r="81" spans="1:17" x14ac:dyDescent="0.25">
      <c r="A81" s="21" t="s">
        <v>220</v>
      </c>
      <c r="B81" s="22" t="s">
        <v>138</v>
      </c>
      <c r="C81" s="56">
        <v>0.89156275377038374</v>
      </c>
      <c r="D81" s="56">
        <v>-5.6677785935200005</v>
      </c>
      <c r="E81" s="56">
        <v>2.2651217680000002</v>
      </c>
      <c r="F81" s="8" t="s">
        <v>17</v>
      </c>
      <c r="G81" s="54"/>
      <c r="O81" s="77"/>
      <c r="P81" s="77"/>
      <c r="Q81" s="77"/>
    </row>
    <row r="82" spans="1:17" x14ac:dyDescent="0.25">
      <c r="A82" s="5" t="s">
        <v>216</v>
      </c>
      <c r="B82" s="7" t="s">
        <v>92</v>
      </c>
      <c r="C82" s="57">
        <v>0.88272543355486055</v>
      </c>
      <c r="D82" s="57">
        <v>-6.7710557848099988</v>
      </c>
      <c r="E82" s="57">
        <v>-0.34198021756000002</v>
      </c>
      <c r="F82" s="6" t="s">
        <v>14</v>
      </c>
      <c r="G82" s="54"/>
      <c r="O82" s="77"/>
      <c r="P82" s="77"/>
      <c r="Q82" s="77"/>
    </row>
    <row r="83" spans="1:17" x14ac:dyDescent="0.25">
      <c r="A83" s="21" t="s">
        <v>210</v>
      </c>
      <c r="B83" s="22" t="s">
        <v>136</v>
      </c>
      <c r="C83" s="56">
        <v>0.86512272790697675</v>
      </c>
      <c r="D83" s="56">
        <v>-1.9142494999999999</v>
      </c>
      <c r="E83" s="56">
        <v>-1.5745499999999999E-2</v>
      </c>
      <c r="F83" s="8" t="s">
        <v>11</v>
      </c>
      <c r="G83" s="54"/>
      <c r="O83" s="77"/>
      <c r="P83" s="77"/>
      <c r="Q83" s="77"/>
    </row>
    <row r="84" spans="1:17" x14ac:dyDescent="0.25">
      <c r="A84" s="5" t="s">
        <v>218</v>
      </c>
      <c r="B84" s="7" t="s">
        <v>134</v>
      </c>
      <c r="C84" s="57">
        <v>0.8305095662790698</v>
      </c>
      <c r="D84" s="57">
        <v>-9.6978104999999992</v>
      </c>
      <c r="E84" s="57">
        <v>0.1053395</v>
      </c>
      <c r="F84" s="6" t="s">
        <v>17</v>
      </c>
      <c r="G84" s="54"/>
      <c r="O84" s="77"/>
      <c r="P84" s="77"/>
      <c r="Q84" s="77"/>
    </row>
    <row r="85" spans="1:17" x14ac:dyDescent="0.25">
      <c r="A85" s="21" t="s">
        <v>238</v>
      </c>
      <c r="B85" s="22" t="s">
        <v>154</v>
      </c>
      <c r="C85" s="56">
        <v>0.76991954360465109</v>
      </c>
      <c r="D85" s="56">
        <v>-14.585886</v>
      </c>
      <c r="E85" s="56">
        <v>0.50172600000000001</v>
      </c>
      <c r="F85" s="8" t="s">
        <v>160</v>
      </c>
      <c r="G85" s="54"/>
      <c r="O85" s="77"/>
      <c r="P85" s="77"/>
      <c r="Q85" s="77"/>
    </row>
    <row r="86" spans="1:17" x14ac:dyDescent="0.25">
      <c r="A86" s="5" t="s">
        <v>229</v>
      </c>
      <c r="B86" s="7" t="s">
        <v>126</v>
      </c>
      <c r="C86" s="57">
        <v>0.73580239767441868</v>
      </c>
      <c r="D86" s="57">
        <v>6.3954304999999998</v>
      </c>
      <c r="E86" s="57">
        <v>-1.3928685000000001</v>
      </c>
      <c r="F86" s="6" t="s">
        <v>17</v>
      </c>
      <c r="G86" s="54"/>
      <c r="O86" s="77"/>
      <c r="P86" s="77"/>
      <c r="Q86" s="77"/>
    </row>
    <row r="87" spans="1:17" x14ac:dyDescent="0.25">
      <c r="A87" s="21" t="s">
        <v>228</v>
      </c>
      <c r="B87" s="22" t="s">
        <v>135</v>
      </c>
      <c r="C87" s="56">
        <v>0.6936688037209302</v>
      </c>
      <c r="D87" s="56">
        <v>-5.3369359999999997</v>
      </c>
      <c r="E87" s="56">
        <v>5.9420500000000001E-2</v>
      </c>
      <c r="F87" s="8" t="s">
        <v>17</v>
      </c>
      <c r="G87" s="54"/>
      <c r="O87" s="77"/>
      <c r="P87" s="77"/>
      <c r="Q87" s="77"/>
    </row>
    <row r="88" spans="1:17" x14ac:dyDescent="0.25">
      <c r="A88" s="5" t="s">
        <v>259</v>
      </c>
      <c r="B88" s="7" t="s">
        <v>258</v>
      </c>
      <c r="C88" s="57">
        <v>0.64867701079365081</v>
      </c>
      <c r="D88" s="57">
        <v>-5.8109359999999999</v>
      </c>
      <c r="E88" s="57">
        <v>2.4150499999999998E-2</v>
      </c>
      <c r="F88" s="6" t="s">
        <v>14</v>
      </c>
      <c r="G88" s="54"/>
      <c r="O88" s="77"/>
      <c r="P88" s="77"/>
      <c r="Q88" s="77"/>
    </row>
    <row r="89" spans="1:17" x14ac:dyDescent="0.25">
      <c r="A89" s="21" t="s">
        <v>230</v>
      </c>
      <c r="B89" s="22" t="s">
        <v>86</v>
      </c>
      <c r="C89" s="56">
        <v>0.60493608139534893</v>
      </c>
      <c r="D89" s="56">
        <v>-0.91029899999999997</v>
      </c>
      <c r="E89" s="56">
        <v>0.71983750000000002</v>
      </c>
      <c r="F89" s="8" t="s">
        <v>11</v>
      </c>
      <c r="G89" s="54"/>
      <c r="O89" s="77"/>
      <c r="P89" s="77"/>
      <c r="Q89" s="77"/>
    </row>
    <row r="90" spans="1:17" x14ac:dyDescent="0.25">
      <c r="A90" s="5" t="s">
        <v>226</v>
      </c>
      <c r="B90" s="7" t="s">
        <v>144</v>
      </c>
      <c r="C90" s="57">
        <v>0.59917848430232556</v>
      </c>
      <c r="D90" s="57">
        <v>-0.53515299999999988</v>
      </c>
      <c r="E90" s="57">
        <v>0.28188200000000002</v>
      </c>
      <c r="F90" s="6" t="s">
        <v>17</v>
      </c>
      <c r="G90" s="54"/>
      <c r="O90" s="77"/>
      <c r="P90" s="77"/>
      <c r="Q90" s="77"/>
    </row>
    <row r="91" spans="1:17" x14ac:dyDescent="0.25">
      <c r="A91" s="21" t="s">
        <v>232</v>
      </c>
      <c r="B91" s="22" t="s">
        <v>122</v>
      </c>
      <c r="C91" s="56">
        <v>0.59674027034883725</v>
      </c>
      <c r="D91" s="56">
        <v>-2.5074483999999999</v>
      </c>
      <c r="E91" s="56">
        <v>1.1601999999999999E-2</v>
      </c>
      <c r="F91" s="8" t="s">
        <v>159</v>
      </c>
      <c r="G91" s="54"/>
      <c r="O91" s="77"/>
      <c r="P91" s="77"/>
      <c r="Q91" s="77"/>
    </row>
    <row r="92" spans="1:17" x14ac:dyDescent="0.25">
      <c r="A92" s="5" t="s">
        <v>225</v>
      </c>
      <c r="B92" s="7" t="s">
        <v>124</v>
      </c>
      <c r="C92" s="57">
        <v>0.58601065489104642</v>
      </c>
      <c r="D92" s="57">
        <v>3.3110734991500008</v>
      </c>
      <c r="E92" s="57">
        <v>0.36816863936999999</v>
      </c>
      <c r="F92" s="6" t="s">
        <v>17</v>
      </c>
      <c r="G92" s="54"/>
      <c r="O92" s="77"/>
      <c r="P92" s="77"/>
      <c r="Q92" s="77"/>
    </row>
    <row r="93" spans="1:17" x14ac:dyDescent="0.25">
      <c r="A93" s="21" t="s">
        <v>241</v>
      </c>
      <c r="B93" s="22" t="s">
        <v>155</v>
      </c>
      <c r="C93" s="56">
        <v>0.57222625058139531</v>
      </c>
      <c r="D93" s="56">
        <v>6.0766119999999999</v>
      </c>
      <c r="E93" s="56">
        <v>0.58578399999999997</v>
      </c>
      <c r="F93" s="8" t="s">
        <v>14</v>
      </c>
      <c r="G93" s="54"/>
      <c r="O93" s="77"/>
      <c r="P93" s="77"/>
      <c r="Q93" s="77"/>
    </row>
    <row r="94" spans="1:17" x14ac:dyDescent="0.25">
      <c r="A94" s="5" t="s">
        <v>239</v>
      </c>
      <c r="B94" s="7" t="s">
        <v>137</v>
      </c>
      <c r="C94" s="57">
        <v>0.5339722046511628</v>
      </c>
      <c r="D94" s="57">
        <v>-9.1308159999999994</v>
      </c>
      <c r="E94" s="57">
        <v>-8.2863499999999979E-2</v>
      </c>
      <c r="F94" s="6" t="s">
        <v>11</v>
      </c>
      <c r="G94" s="54"/>
      <c r="O94" s="77"/>
      <c r="P94" s="77"/>
      <c r="Q94" s="77"/>
    </row>
    <row r="95" spans="1:17" x14ac:dyDescent="0.25">
      <c r="A95" s="21" t="s">
        <v>269</v>
      </c>
      <c r="B95" s="22" t="s">
        <v>267</v>
      </c>
      <c r="C95" s="56">
        <v>0.47814118604651157</v>
      </c>
      <c r="D95" s="56">
        <v>19.715904999999999</v>
      </c>
      <c r="E95" s="56">
        <v>4.1444919999999996</v>
      </c>
      <c r="F95" s="8" t="s">
        <v>158</v>
      </c>
      <c r="G95" s="54"/>
      <c r="O95" s="77"/>
      <c r="P95" s="77"/>
      <c r="Q95" s="77"/>
    </row>
    <row r="96" spans="1:17" x14ac:dyDescent="0.25">
      <c r="A96" s="5" t="s">
        <v>233</v>
      </c>
      <c r="B96" s="7" t="s">
        <v>153</v>
      </c>
      <c r="C96" s="57">
        <v>0.46633195813953493</v>
      </c>
      <c r="D96" s="57">
        <v>-2.9670835000000002</v>
      </c>
      <c r="E96" s="57">
        <v>-7.0241499999999998E-2</v>
      </c>
      <c r="F96" s="6" t="s">
        <v>14</v>
      </c>
      <c r="G96" s="54"/>
      <c r="O96" s="77"/>
      <c r="P96" s="77"/>
      <c r="Q96" s="77"/>
    </row>
    <row r="97" spans="1:17" x14ac:dyDescent="0.25">
      <c r="A97" s="21" t="s">
        <v>261</v>
      </c>
      <c r="B97" s="22" t="s">
        <v>260</v>
      </c>
      <c r="C97" s="56">
        <v>0.46532566918604651</v>
      </c>
      <c r="D97" s="56">
        <v>-1.295515</v>
      </c>
      <c r="E97" s="56">
        <v>-9.0115000000000004E-3</v>
      </c>
      <c r="F97" s="8" t="s">
        <v>14</v>
      </c>
      <c r="G97" s="54"/>
      <c r="O97" s="77"/>
      <c r="P97" s="77"/>
      <c r="Q97" s="77"/>
    </row>
    <row r="98" spans="1:17" x14ac:dyDescent="0.25">
      <c r="A98" s="5" t="s">
        <v>252</v>
      </c>
      <c r="B98" s="7" t="s">
        <v>253</v>
      </c>
      <c r="C98" s="57">
        <v>0.46254784941860455</v>
      </c>
      <c r="D98" s="57">
        <v>3.0200727000000001</v>
      </c>
      <c r="E98" s="57">
        <v>0.24304100000000001</v>
      </c>
      <c r="F98" s="6" t="s">
        <v>11</v>
      </c>
      <c r="G98" s="54"/>
      <c r="O98" s="77"/>
      <c r="P98" s="77"/>
      <c r="Q98" s="77"/>
    </row>
    <row r="99" spans="1:17" x14ac:dyDescent="0.25">
      <c r="A99" s="21" t="s">
        <v>243</v>
      </c>
      <c r="B99" s="22" t="s">
        <v>244</v>
      </c>
      <c r="C99" s="56">
        <v>0.42632183226744191</v>
      </c>
      <c r="D99" s="56">
        <v>-16.692739</v>
      </c>
      <c r="E99" s="56">
        <v>0.25089899999999998</v>
      </c>
      <c r="F99" s="8" t="s">
        <v>15</v>
      </c>
      <c r="G99" s="54"/>
      <c r="O99" s="77"/>
      <c r="P99" s="77"/>
      <c r="Q99" s="77"/>
    </row>
    <row r="100" spans="1:17" x14ac:dyDescent="0.25">
      <c r="A100" s="5" t="s">
        <v>273</v>
      </c>
      <c r="B100" s="7" t="s">
        <v>274</v>
      </c>
      <c r="C100" s="57">
        <v>0.41156445988372092</v>
      </c>
      <c r="D100" s="57">
        <v>-6.2470955000000004</v>
      </c>
      <c r="E100" s="57">
        <v>-1.1426685000000001</v>
      </c>
      <c r="F100" s="6" t="s">
        <v>17</v>
      </c>
      <c r="G100" s="54"/>
      <c r="O100" s="77"/>
      <c r="P100" s="77"/>
      <c r="Q100" s="77"/>
    </row>
    <row r="101" spans="1:17" x14ac:dyDescent="0.25">
      <c r="A101" s="80" t="s">
        <v>255</v>
      </c>
      <c r="B101" s="81" t="s">
        <v>256</v>
      </c>
      <c r="C101" s="82">
        <v>0.39184557267441861</v>
      </c>
      <c r="D101" s="82">
        <v>-1.0350515</v>
      </c>
      <c r="E101" s="82">
        <v>5.1459499999999998E-2</v>
      </c>
      <c r="F101" s="9" t="s">
        <v>158</v>
      </c>
      <c r="G101" s="54"/>
      <c r="O101" s="77"/>
      <c r="P101" s="77"/>
      <c r="Q101" s="77"/>
    </row>
    <row r="102" spans="1:17" x14ac:dyDescent="0.25">
      <c r="A102" s="46"/>
      <c r="B102" s="10"/>
      <c r="C102" s="10"/>
      <c r="D102" s="10"/>
      <c r="E102" s="10"/>
      <c r="F102" s="47"/>
    </row>
    <row r="105" spans="1:17" x14ac:dyDescent="0.25">
      <c r="A105" s="11" t="s">
        <v>80</v>
      </c>
    </row>
    <row r="106" spans="1:17" x14ac:dyDescent="0.25">
      <c r="A106" s="11" t="s">
        <v>141</v>
      </c>
    </row>
    <row r="107" spans="1:17" x14ac:dyDescent="0.25">
      <c r="A107" s="11" t="s">
        <v>140</v>
      </c>
    </row>
    <row r="108" spans="1:17" x14ac:dyDescent="0.25">
      <c r="A108" s="11" t="s">
        <v>146</v>
      </c>
    </row>
    <row r="109" spans="1:17" x14ac:dyDescent="0.25">
      <c r="A109" s="11" t="s">
        <v>73</v>
      </c>
    </row>
  </sheetData>
  <conditionalFormatting sqref="D2:E101">
    <cfRule type="cellIs" dxfId="0" priority="1" operator="lessThan">
      <formula>0</formula>
    </cfRule>
  </conditionalFormatting>
  <pageMargins left="0.7" right="0.7" top="0.75" bottom="0.75" header="0.3" footer="0.3"/>
  <pageSetup scale="65" orientation="portrait" r:id="rId1"/>
  <ignoredErrors>
    <ignoredError sqref="B6 B36 B74 B69"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2.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3.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Grace Lam</cp:lastModifiedBy>
  <cp:lastPrinted>2024-07-01T01:26:22Z</cp:lastPrinted>
  <dcterms:created xsi:type="dcterms:W3CDTF">2020-01-13T01:31:10Z</dcterms:created>
  <dcterms:modified xsi:type="dcterms:W3CDTF">2024-09-09T03:27:47Z</dcterms:modified>
</cp:coreProperties>
</file>