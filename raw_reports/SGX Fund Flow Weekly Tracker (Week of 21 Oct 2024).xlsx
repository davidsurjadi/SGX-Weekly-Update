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1EC970A3-51B1-4D90-A2F1-D854D0243EE9}" xr6:coauthVersionLast="47" xr6:coauthVersionMax="47" xr10:uidLastSave="{00000000-0000-0000-0000-000000000000}"/>
  <bookViews>
    <workbookView xWindow="28680" yWindow="-120" windowWidth="29040" windowHeight="1584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2" i="4" l="1"/>
  <c r="A6" i="3"/>
  <c r="A6" i="2"/>
  <c r="A5" i="3"/>
  <c r="A4" i="3"/>
  <c r="A3" i="3"/>
  <c r="A5" i="2"/>
  <c r="A4" i="2"/>
  <c r="A3" i="2"/>
  <c r="K29" i="1" l="1"/>
  <c r="F5" i="1" l="1"/>
  <c r="A1" i="5"/>
  <c r="D32" i="4" l="1"/>
  <c r="A1" i="4" l="1"/>
  <c r="C18" i="1" l="1"/>
  <c r="F18" i="1" s="1"/>
</calcChain>
</file>

<file path=xl/sharedStrings.xml><?xml version="1.0" encoding="utf-8"?>
<sst xmlns="http://schemas.openxmlformats.org/spreadsheetml/2006/main" count="517" uniqueCount="281">
  <si>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</si>
  <si>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</si>
  <si>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</si>
  <si>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</si>
  <si>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</si>
  <si>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</si>
  <si>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</si>
  <si>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</si>
  <si>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</si>
  <si>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</si>
  <si>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</si>
  <si>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</si>
  <si>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</si>
  <si>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</si>
  <si>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</si>
  <si>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</si>
  <si>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</si>
  <si>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</si>
  <si>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</si>
  <si>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</si>
  <si>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</si>
  <si>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</si>
  <si>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</si>
  <si>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</si>
  <si>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</si>
  <si>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</si>
  <si>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</si>
  <si>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</si>
  <si>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</si>
  <si>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</si>
  <si>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</si>
  <si>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</si>
  <si>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</si>
  <si>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</si>
  <si>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</si>
  <si>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</si>
  <si>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</si>
  <si>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</si>
  <si>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</si>
  <si>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</si>
  <si>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</si>
  <si>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</si>
  <si>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</si>
  <si>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</si>
  <si>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</si>
  <si>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</si>
  <si>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</si>
  <si>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</si>
  <si>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</si>
  <si>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</si>
  <si>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</si>
  <si>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</si>
  <si>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</si>
  <si>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</si>
  <si>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</si>
  <si>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</si>
  <si>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</si>
  <si>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</si>
  <si>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</si>
  <si>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</si>
  <si>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</si>
  <si>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</si>
  <si>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</si>
  <si>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</si>
  <si>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</si>
  <si>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</si>
  <si>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</si>
  <si>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</si>
  <si>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</si>
  <si>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</si>
  <si>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</si>
  <si>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</si>
  <si>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</si>
  <si>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</si>
  <si>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</si>
  <si>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</si>
  <si>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</si>
  <si>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</si>
  <si>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</si>
  <si>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</si>
  <si>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</si>
  <si>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</si>
  <si>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</si>
  <si>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</si>
  <si>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</si>
  <si>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</si>
  <si>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</si>
  <si>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</si>
  <si>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</si>
  <si>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</si>
  <si>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</si>
  <si>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</si>
  <si>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</si>
  <si>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</si>
  <si>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</si>
  <si>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</si>
  <si>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</si>
  <si>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</si>
  <si>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</si>
  <si>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</si>
  <si>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</si>
  <si>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</si>
  <si>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</si>
  <si>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</si>
  <si>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</si>
  <si>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</si>
  <si>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</si>
  <si>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</si>
  <si>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</si>
  <si>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</si>
  <si>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</si>
  <si>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</si>
  <si>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</si>
  <si>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</si>
  <si>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</si>
  <si>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</si>
  <si>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</si>
  <si>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</si>
  <si>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</si>
  <si>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</si>
  <si>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</si>
  <si>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</si>
  <si>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</si>
  <si>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</si>
  <si>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</si>
  <si>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</si>
  <si>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</si>
  <si>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</si>
  <si>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</si>
  <si>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</si>
  <si>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</si>
  <si>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</si>
  <si>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</si>
  <si>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</si>
  <si>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</si>
  <si>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</si>
  <si>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</si>
  <si>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</si>
  <si>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</si>
  <si>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</si>
  <si>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</si>
  <si>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</si>
  <si>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</si>
  <si>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</si>
  <si>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</si>
  <si>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</si>
  <si>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</si>
  <si>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</si>
  <si>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</si>
  <si>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</si>
  <si>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</si>
  <si>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</si>
  <si>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</si>
  <si>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</si>
  <si>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</si>
  <si>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</si>
  <si>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</si>
  <si>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</si>
  <si>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</si>
  <si>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</si>
  <si>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</si>
  <si>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</si>
  <si>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</si>
  <si>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</si>
  <si>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</si>
  <si>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</si>
  <si>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</si>
  <si>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</si>
  <si>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</si>
  <si>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</si>
  <si>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</si>
  <si>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</si>
  <si>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</si>
  <si>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</si>
  <si>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</si>
  <si>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</si>
  <si>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</si>
  <si>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</si>
  <si>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</si>
  <si>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</si>
  <si>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</si>
  <si>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</si>
  <si>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</si>
  <si>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</si>
  <si>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</si>
  <si>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</si>
  <si>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</si>
  <si>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</si>
  <si>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</si>
  <si>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</si>
  <si>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</si>
  <si>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</si>
  <si>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</si>
  <si>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</si>
  <si>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</si>
  <si>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</si>
  <si>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</si>
  <si>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</si>
  <si>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</si>
  <si>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</si>
  <si>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</si>
  <si>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</si>
  <si>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</si>
  <si>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</si>
  <si>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</si>
  <si>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</si>
  <si>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</si>
  <si>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</si>
  <si>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</si>
  <si>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</si>
  <si>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</si>
  <si>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</si>
  <si>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</si>
  <si>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</si>
  <si>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</si>
  <si>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</si>
  <si>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</si>
  <si>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</si>
  <si>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</si>
  <si>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</si>
  <si>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</si>
  <si>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</si>
  <si>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</si>
  <si>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</si>
  <si>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</si>
  <si>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</si>
  <si>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</si>
  <si>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</si>
  <si>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</si>
  <si>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</si>
  <si>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</si>
  <si>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</si>
  <si>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</si>
  <si>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</si>
  <si>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</si>
  <si>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</si>
  <si>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Best World</t>
  </si>
  <si>
    <t>Haw Par</t>
  </si>
  <si>
    <t>Delfi</t>
  </si>
  <si>
    <t>Yoma Strategic</t>
  </si>
  <si>
    <t>SIA Engineering</t>
  </si>
  <si>
    <t>Source: SGX.</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</si>
  <si>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</si>
  <si>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</si>
  <si>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</si>
  <si>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</si>
  <si>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Great Eastern</t>
  </si>
  <si>
    <t>G07</t>
  </si>
  <si>
    <t>5E2</t>
  </si>
  <si>
    <t>558</t>
  </si>
  <si>
    <t>Mapletree Pan Asia Commercial Trust</t>
  </si>
  <si>
    <t>1MZ</t>
  </si>
  <si>
    <t>NamCheong</t>
  </si>
  <si>
    <t>S7P</t>
  </si>
  <si>
    <t>Soilbuild Const</t>
  </si>
  <si>
    <t>sgx.com/research</t>
  </si>
  <si>
    <t>To sign up for daily market updates or for more information, please contact research@SGX.com.</t>
  </si>
  <si>
    <t>5CP</t>
  </si>
  <si>
    <t>Silverlake Axis</t>
  </si>
  <si>
    <t>Sasseur Reit</t>
  </si>
  <si>
    <t>CRPU</t>
  </si>
  <si>
    <t>Centurion</t>
  </si>
  <si>
    <t>OU8</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</si>
  <si>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</si>
  <si>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NSL</t>
  </si>
  <si>
    <t>N02</t>
  </si>
  <si>
    <t>Keppel DC REIT</t>
  </si>
  <si>
    <t>E3B</t>
  </si>
  <si>
    <t>Beng Kuang</t>
  </si>
  <si>
    <t>Wee Hur</t>
  </si>
  <si>
    <t xml:space="preserve">Top Glove Corporation  </t>
  </si>
  <si>
    <t>Marco Polo Marine</t>
  </si>
  <si>
    <t xml:space="preserve">Yangzijiang Shipbuilding </t>
  </si>
  <si>
    <t xml:space="preserve">Wee Hur </t>
  </si>
  <si>
    <t xml:space="preserve">Dyna-Mac </t>
  </si>
  <si>
    <t>Week of 21 October 2024</t>
  </si>
  <si>
    <r>
      <t xml:space="preserve">Institutional investors net </t>
    </r>
    <r>
      <rPr>
        <b/>
        <sz val="11"/>
        <rFont val="Arial"/>
        <family val="2"/>
      </rPr>
      <t>sell</t>
    </r>
    <r>
      <rPr>
        <sz val="11"/>
        <rFont val="Arial"/>
        <family val="2"/>
      </rPr>
      <t xml:space="preserve"> (-S$310.4m) vs. (+S$1.1m) a week ago</t>
    </r>
  </si>
  <si>
    <r>
      <t xml:space="preserve">Retail investors net </t>
    </r>
    <r>
      <rPr>
        <b/>
        <sz val="11"/>
        <rFont val="Arial"/>
        <family val="2"/>
      </rPr>
      <t>buy</t>
    </r>
    <r>
      <rPr>
        <sz val="11"/>
        <rFont val="Arial"/>
        <family val="2"/>
      </rPr>
      <t xml:space="preserve"> (+S$237.1m) vs. (-S$206.8m) a week ago</t>
    </r>
  </si>
  <si>
    <t>Seatrium (from 7 May 2024)</t>
  </si>
  <si>
    <t xml:space="preserve">DFI Retail Group </t>
  </si>
  <si>
    <t>Parkway Life REIT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</si>
</sst>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9">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
      <left/>
      <right/>
      <top style="thin">
        <color indexed="64"/>
      </top>
      <bottom/>
      <diagonal/>
    </border>
  </borders>
  <cellStyleXfs count="2">
    <xf numFmtId="0" fontId="0" fillId="0" borderId="0"/>
    <xf numFmtId="164" fontId="1" fillId="0" borderId="0" applyFont="0" applyFill="0" applyBorder="0" applyAlignment="0" applyProtection="0"/>
  </cellStyleXfs>
  <cellXfs count="94">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43"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0" fontId="14" fillId="0" borderId="0" xfId="0" applyFont="1" applyAlignment="1">
      <alignment vertical="center"/>
    </xf>
    <xf numFmtId="0" fontId="14" fillId="5" borderId="18" xfId="0" applyFont="1" applyFill="1" applyBorder="1" applyAlignment="1">
      <alignment vertical="center"/>
    </xf>
    <xf numFmtId="0" fontId="14" fillId="5" borderId="0" xfId="0" applyFont="1" applyFill="1" applyAlignment="1">
      <alignment vertical="center"/>
    </xf>
    <xf numFmtId="0" fontId="14" fillId="0" borderId="12" xfId="0" applyFont="1" applyBorder="1" applyAlignment="1">
      <alignment vertical="center"/>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xf numFmtId="15" fontId="3" fillId="0" borderId="0" xfId="0" applyNumberFormat="1" applyFont="1" applyAlignment="1">
      <alignment horizontal="left"/>
    </xf>
    <xf numFmtId="173" fontId="3" fillId="0" borderId="0" xfId="0" applyNumberFormat="1" applyFont="1"/>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0.5703125" style="40"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275</v>
      </c>
      <c r="C1" s="93"/>
    </row>
    <row r="2" spans="1:13" ht="15" x14ac:dyDescent="0.25">
      <c r="A2" s="69" t="s">
        <v>276</v>
      </c>
      <c r="I2" s="50"/>
    </row>
    <row r="3" spans="1:13" ht="15" x14ac:dyDescent="0.25">
      <c r="A3" s="69" t="s">
        <v>277</v>
      </c>
      <c r="I3" s="50"/>
    </row>
    <row r="5" spans="1:13" ht="29.25" customHeight="1" x14ac:dyDescent="0.2">
      <c r="A5" s="3" t="s">
        <v>0</v>
      </c>
      <c r="B5" s="3" t="s">
        <v>1</v>
      </c>
      <c r="C5" s="4" t="s">
        <v>275</v>
      </c>
      <c r="D5" s="60" t="s">
        <v>2</v>
      </c>
      <c r="E5" s="60" t="s">
        <v>1</v>
      </c>
      <c r="F5" s="61" t="str">
        <f>+C5</f>
        <v>Week of 21 October 2024</v>
      </c>
      <c r="I5" s="2"/>
    </row>
    <row r="6" spans="1:13" ht="15" x14ac:dyDescent="0.25">
      <c r="A6" s="34" t="s">
        <v>34</v>
      </c>
      <c r="B6" s="63" t="s">
        <v>30</v>
      </c>
      <c r="C6" s="6">
        <v>25.977649</v>
      </c>
      <c r="D6" s="34" t="s">
        <v>26</v>
      </c>
      <c r="E6" s="63" t="s">
        <v>21</v>
      </c>
      <c r="F6" s="6">
        <v>-113.865279</v>
      </c>
      <c r="M6"/>
    </row>
    <row r="7" spans="1:13" ht="15" x14ac:dyDescent="0.25">
      <c r="A7" s="35" t="s">
        <v>266</v>
      </c>
      <c r="B7" s="10" t="s">
        <v>76</v>
      </c>
      <c r="C7" s="8">
        <v>17.888964000000001</v>
      </c>
      <c r="D7" s="35" t="s">
        <v>77</v>
      </c>
      <c r="E7" s="10" t="s">
        <v>56</v>
      </c>
      <c r="F7" s="8">
        <v>-36.202674000000002</v>
      </c>
      <c r="L7"/>
      <c r="M7"/>
    </row>
    <row r="8" spans="1:13" ht="15" x14ac:dyDescent="0.25">
      <c r="A8" s="36" t="s">
        <v>50</v>
      </c>
      <c r="B8" s="63" t="s">
        <v>48</v>
      </c>
      <c r="C8" s="6">
        <v>13.742246</v>
      </c>
      <c r="D8" s="36" t="s">
        <v>28</v>
      </c>
      <c r="E8" s="63" t="s">
        <v>23</v>
      </c>
      <c r="F8" s="6">
        <v>-26.542147</v>
      </c>
      <c r="L8"/>
      <c r="M8"/>
    </row>
    <row r="9" spans="1:13" ht="15" x14ac:dyDescent="0.25">
      <c r="A9" s="35" t="s">
        <v>272</v>
      </c>
      <c r="B9" s="10" t="s">
        <v>53</v>
      </c>
      <c r="C9" s="8">
        <v>5.8687889999999996</v>
      </c>
      <c r="D9" s="35" t="s">
        <v>84</v>
      </c>
      <c r="E9" s="10" t="s">
        <v>83</v>
      </c>
      <c r="F9" s="8">
        <v>-20.443156999999999</v>
      </c>
      <c r="L9"/>
      <c r="M9"/>
    </row>
    <row r="10" spans="1:13" ht="15" x14ac:dyDescent="0.25">
      <c r="A10" s="36" t="s">
        <v>60</v>
      </c>
      <c r="B10" s="63" t="s">
        <v>51</v>
      </c>
      <c r="C10" s="6">
        <v>5.0522225000000001</v>
      </c>
      <c r="D10" s="36" t="s">
        <v>87</v>
      </c>
      <c r="E10" s="63" t="s">
        <v>25</v>
      </c>
      <c r="F10" s="6">
        <v>-19.932659999999998</v>
      </c>
      <c r="L10"/>
      <c r="M10"/>
    </row>
    <row r="11" spans="1:13" ht="15" x14ac:dyDescent="0.25">
      <c r="A11" s="35" t="s">
        <v>279</v>
      </c>
      <c r="B11" s="10" t="s">
        <v>57</v>
      </c>
      <c r="C11" s="8">
        <v>4.9094379997000006</v>
      </c>
      <c r="D11" s="35" t="s">
        <v>142</v>
      </c>
      <c r="E11" s="10" t="s">
        <v>248</v>
      </c>
      <c r="F11" s="8">
        <v>-17.547522000000001</v>
      </c>
      <c r="L11"/>
      <c r="M11"/>
    </row>
    <row r="12" spans="1:13" ht="15" x14ac:dyDescent="0.25">
      <c r="A12" s="36" t="s">
        <v>243</v>
      </c>
      <c r="B12" s="63" t="s">
        <v>108</v>
      </c>
      <c r="C12" s="6">
        <v>3.0371869999999999</v>
      </c>
      <c r="D12" s="36" t="s">
        <v>45</v>
      </c>
      <c r="E12" s="63" t="s">
        <v>42</v>
      </c>
      <c r="F12" s="6">
        <v>-17.081961</v>
      </c>
      <c r="L12"/>
      <c r="M12"/>
    </row>
    <row r="13" spans="1:13" ht="15" x14ac:dyDescent="0.25">
      <c r="A13" s="35" t="s">
        <v>273</v>
      </c>
      <c r="B13" s="10" t="s">
        <v>267</v>
      </c>
      <c r="C13" s="8">
        <v>2.7758595000000001</v>
      </c>
      <c r="D13" s="35" t="s">
        <v>40</v>
      </c>
      <c r="E13" s="10" t="s">
        <v>38</v>
      </c>
      <c r="F13" s="8">
        <v>-16.067235</v>
      </c>
      <c r="L13"/>
      <c r="M13"/>
    </row>
    <row r="14" spans="1:13" ht="15" x14ac:dyDescent="0.25">
      <c r="A14" s="36" t="s">
        <v>214</v>
      </c>
      <c r="B14" s="63" t="s">
        <v>132</v>
      </c>
      <c r="C14" s="6">
        <v>2.5150765000000002</v>
      </c>
      <c r="D14" s="36" t="s">
        <v>49</v>
      </c>
      <c r="E14" s="63" t="s">
        <v>47</v>
      </c>
      <c r="F14" s="6">
        <v>-15.4591356</v>
      </c>
      <c r="L14"/>
      <c r="M14"/>
    </row>
    <row r="15" spans="1:13" ht="15" x14ac:dyDescent="0.25">
      <c r="A15" s="37" t="s">
        <v>206</v>
      </c>
      <c r="B15" s="33" t="s">
        <v>90</v>
      </c>
      <c r="C15" s="9">
        <v>2.1957089999999999</v>
      </c>
      <c r="D15" s="37" t="s">
        <v>250</v>
      </c>
      <c r="E15" s="33" t="s">
        <v>58</v>
      </c>
      <c r="F15" s="9">
        <v>-14.305698</v>
      </c>
      <c r="L15"/>
      <c r="M15"/>
    </row>
    <row r="16" spans="1:13" ht="15" x14ac:dyDescent="0.2">
      <c r="A16" s="10"/>
      <c r="B16" s="10"/>
      <c r="C16" s="10"/>
      <c r="D16" s="31"/>
      <c r="E16" s="10"/>
      <c r="F16" s="10"/>
    </row>
    <row r="17" spans="1:11" x14ac:dyDescent="0.2">
      <c r="A17" s="10"/>
      <c r="B17" s="10"/>
      <c r="C17" s="10"/>
      <c r="D17" s="10"/>
      <c r="E17" s="10"/>
      <c r="F17" s="10"/>
    </row>
    <row r="18" spans="1:11" ht="28.5" customHeight="1" x14ac:dyDescent="0.2">
      <c r="A18" s="39" t="s">
        <v>3</v>
      </c>
      <c r="B18" s="3" t="s">
        <v>1</v>
      </c>
      <c r="C18" s="4" t="str">
        <f>C5</f>
        <v>Week of 21 October 2024</v>
      </c>
      <c r="D18" s="62" t="s">
        <v>4</v>
      </c>
      <c r="E18" s="60" t="s">
        <v>1</v>
      </c>
      <c r="F18" s="61" t="str">
        <f>+C18</f>
        <v>Week of 21 October 2024</v>
      </c>
    </row>
    <row r="19" spans="1:11" x14ac:dyDescent="0.2">
      <c r="A19" s="36" t="s">
        <v>26</v>
      </c>
      <c r="B19" s="63" t="s">
        <v>21</v>
      </c>
      <c r="C19" s="20">
        <v>64.017114000000007</v>
      </c>
      <c r="D19" s="81" t="s">
        <v>34</v>
      </c>
      <c r="E19" s="19" t="s">
        <v>30</v>
      </c>
      <c r="F19" s="6">
        <v>-33.919998999999997</v>
      </c>
      <c r="I19" s="2"/>
    </row>
    <row r="20" spans="1:11" x14ac:dyDescent="0.2">
      <c r="A20" s="35" t="s">
        <v>142</v>
      </c>
      <c r="B20" s="10" t="s">
        <v>248</v>
      </c>
      <c r="C20" s="8">
        <v>36.897511000000002</v>
      </c>
      <c r="D20" s="80" t="s">
        <v>266</v>
      </c>
      <c r="E20" s="22" t="s">
        <v>76</v>
      </c>
      <c r="F20" s="8">
        <v>-14.001910000000001</v>
      </c>
      <c r="I20" s="2"/>
    </row>
    <row r="21" spans="1:11" x14ac:dyDescent="0.2">
      <c r="A21" s="36" t="s">
        <v>33</v>
      </c>
      <c r="B21" s="63" t="s">
        <v>31</v>
      </c>
      <c r="C21" s="6">
        <v>21.863251999999999</v>
      </c>
      <c r="D21" s="82" t="s">
        <v>50</v>
      </c>
      <c r="E21" s="7" t="s">
        <v>48</v>
      </c>
      <c r="F21" s="6">
        <v>-13.468859999999999</v>
      </c>
      <c r="I21" s="2"/>
    </row>
    <row r="22" spans="1:11" x14ac:dyDescent="0.2">
      <c r="A22" s="35" t="s">
        <v>250</v>
      </c>
      <c r="B22" s="10" t="s">
        <v>58</v>
      </c>
      <c r="C22" s="8">
        <v>18.420185</v>
      </c>
      <c r="D22" s="80" t="s">
        <v>27</v>
      </c>
      <c r="E22" s="22" t="s">
        <v>22</v>
      </c>
      <c r="F22" s="8">
        <v>-6.901046</v>
      </c>
      <c r="I22" s="2"/>
    </row>
    <row r="23" spans="1:11" x14ac:dyDescent="0.2">
      <c r="A23" s="36" t="s">
        <v>84</v>
      </c>
      <c r="B23" s="63" t="s">
        <v>83</v>
      </c>
      <c r="C23" s="6">
        <v>18.222394000000001</v>
      </c>
      <c r="D23" s="82" t="s">
        <v>274</v>
      </c>
      <c r="E23" s="7" t="s">
        <v>128</v>
      </c>
      <c r="F23" s="6">
        <v>-5.1333335</v>
      </c>
      <c r="I23" s="2"/>
    </row>
    <row r="24" spans="1:11" x14ac:dyDescent="0.2">
      <c r="A24" s="35" t="s">
        <v>87</v>
      </c>
      <c r="B24" s="10" t="s">
        <v>25</v>
      </c>
      <c r="C24" s="8">
        <v>16.527391000000001</v>
      </c>
      <c r="D24" s="80" t="s">
        <v>279</v>
      </c>
      <c r="E24" s="22" t="s">
        <v>57</v>
      </c>
      <c r="F24" s="8">
        <v>-4.6138866471000011</v>
      </c>
      <c r="I24" s="2"/>
    </row>
    <row r="25" spans="1:11" x14ac:dyDescent="0.2">
      <c r="A25" s="36" t="s">
        <v>77</v>
      </c>
      <c r="B25" s="63" t="s">
        <v>56</v>
      </c>
      <c r="C25" s="6">
        <v>14.929121</v>
      </c>
      <c r="D25" s="82" t="s">
        <v>29</v>
      </c>
      <c r="E25" s="7" t="s">
        <v>24</v>
      </c>
      <c r="F25" s="6">
        <v>-4.4925639999999998</v>
      </c>
      <c r="I25" s="2"/>
    </row>
    <row r="26" spans="1:11" x14ac:dyDescent="0.2">
      <c r="A26" s="35" t="s">
        <v>40</v>
      </c>
      <c r="B26" s="10" t="s">
        <v>38</v>
      </c>
      <c r="C26" s="8">
        <v>12.649232</v>
      </c>
      <c r="D26" s="80" t="s">
        <v>273</v>
      </c>
      <c r="E26" s="22" t="s">
        <v>267</v>
      </c>
      <c r="F26" s="8">
        <v>-2.7883974999999999</v>
      </c>
      <c r="I26" s="2"/>
    </row>
    <row r="27" spans="1:11" x14ac:dyDescent="0.2">
      <c r="A27" s="36" t="s">
        <v>45</v>
      </c>
      <c r="B27" s="63" t="s">
        <v>42</v>
      </c>
      <c r="C27" s="6">
        <v>11.337878</v>
      </c>
      <c r="D27" s="36" t="s">
        <v>270</v>
      </c>
      <c r="E27" s="7" t="s">
        <v>125</v>
      </c>
      <c r="F27" s="6">
        <v>-1.4140925</v>
      </c>
      <c r="I27" s="2"/>
    </row>
    <row r="28" spans="1:11" x14ac:dyDescent="0.2">
      <c r="A28" s="37" t="s">
        <v>280</v>
      </c>
      <c r="B28" s="33" t="s">
        <v>121</v>
      </c>
      <c r="C28" s="9">
        <v>9.9064650000000007</v>
      </c>
      <c r="D28" s="83" t="s">
        <v>271</v>
      </c>
      <c r="E28" s="76" t="s">
        <v>156</v>
      </c>
      <c r="F28" s="9">
        <v>-1.3090272000000001</v>
      </c>
      <c r="I28" s="2"/>
    </row>
    <row r="29" spans="1:11" x14ac:dyDescent="0.2">
      <c r="A29" s="10"/>
      <c r="B29" s="10"/>
      <c r="C29" s="10"/>
      <c r="D29" s="10"/>
      <c r="E29" s="10"/>
      <c r="F29" s="10"/>
      <c r="K29" s="2" t="str">
        <f t="shared" ref="K29" si="0">PROPER(D29)</f>
        <v/>
      </c>
    </row>
    <row r="30" spans="1:11" x14ac:dyDescent="0.2">
      <c r="A30" s="11" t="s">
        <v>241</v>
      </c>
      <c r="B30" s="11"/>
      <c r="C30" s="10"/>
      <c r="D30" s="10"/>
      <c r="E30" s="10"/>
      <c r="F30" s="10"/>
    </row>
    <row r="31" spans="1:11" x14ac:dyDescent="0.2">
      <c r="A31" s="11" t="s">
        <v>80</v>
      </c>
      <c r="B31" s="11"/>
      <c r="C31" s="10"/>
      <c r="D31" s="10"/>
      <c r="E31" s="10"/>
      <c r="F31" s="10"/>
    </row>
    <row r="32" spans="1:11" x14ac:dyDescent="0.2">
      <c r="A32" s="11" t="s">
        <v>242</v>
      </c>
      <c r="B32" s="11"/>
      <c r="C32" s="10"/>
      <c r="D32" s="10"/>
      <c r="E32" s="10"/>
      <c r="F32" s="10"/>
    </row>
    <row r="33" spans="1:9" x14ac:dyDescent="0.2">
      <c r="A33" s="11" t="s">
        <v>6</v>
      </c>
      <c r="B33" s="11"/>
      <c r="C33" s="10"/>
      <c r="D33" s="10"/>
      <c r="E33" s="10"/>
      <c r="F33" s="10"/>
    </row>
    <row r="34" spans="1:9" x14ac:dyDescent="0.2">
      <c r="A34" s="79" t="s">
        <v>73</v>
      </c>
      <c r="B34" s="11"/>
      <c r="C34" s="10"/>
      <c r="D34" s="10"/>
      <c r="E34" s="10"/>
      <c r="F34" s="10"/>
      <c r="G34" s="66"/>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256</v>
      </c>
      <c r="B38" s="24"/>
      <c r="C38" s="25"/>
      <c r="D38" s="25"/>
      <c r="E38" s="24"/>
      <c r="F38" s="24"/>
      <c r="I38" s="38"/>
    </row>
    <row r="39" spans="1:9" s="30" customFormat="1" ht="19.350000000000001" customHeight="1" x14ac:dyDescent="0.25">
      <c r="A39" s="27" t="s">
        <v>255</v>
      </c>
      <c r="B39" s="28"/>
      <c r="C39" s="29"/>
      <c r="D39" s="29"/>
      <c r="E39" s="28"/>
      <c r="F39" s="28"/>
      <c r="I39" s="41"/>
    </row>
    <row r="40" spans="1:9" ht="169.35" customHeight="1" x14ac:dyDescent="0.2">
      <c r="A40" s="84" t="s">
        <v>263</v>
      </c>
      <c r="B40" s="84"/>
      <c r="C40" s="84"/>
      <c r="D40" s="84"/>
      <c r="E40" s="84"/>
      <c r="F40" s="84"/>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E11 B2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8.5703125" style="2" customWidth="1"/>
    <col min="15" max="16384" width="9.42578125" style="2"/>
  </cols>
  <sheetData>
    <row r="1" spans="1:15" ht="17.25" customHeight="1" x14ac:dyDescent="0.2">
      <c r="A1" s="85" t="s">
        <v>7</v>
      </c>
      <c r="B1" s="13"/>
      <c r="C1" s="87" t="s">
        <v>8</v>
      </c>
      <c r="D1" s="88"/>
      <c r="E1" s="88"/>
      <c r="F1" s="88"/>
      <c r="G1" s="88"/>
      <c r="H1" s="88"/>
      <c r="I1" s="88"/>
      <c r="J1" s="88"/>
      <c r="K1" s="88"/>
      <c r="L1" s="88"/>
      <c r="M1" s="88"/>
      <c r="N1" s="89"/>
    </row>
    <row r="2" spans="1:15" ht="75" x14ac:dyDescent="0.2">
      <c r="A2" s="86"/>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4">
        <f>SUM(C3:N3)</f>
        <v>238.76614737414002</v>
      </c>
      <c r="B3" s="71">
        <v>45565</v>
      </c>
      <c r="C3" s="15">
        <v>25.209282964290004</v>
      </c>
      <c r="D3" s="15">
        <v>-12.2565188601</v>
      </c>
      <c r="E3" s="15">
        <v>3.7425486999999995</v>
      </c>
      <c r="F3" s="15">
        <v>23.14602469999998</v>
      </c>
      <c r="G3" s="15">
        <v>-0.25081433349999993</v>
      </c>
      <c r="H3" s="15">
        <v>166.67518639301002</v>
      </c>
      <c r="I3" s="15">
        <v>-3.7034397999999999</v>
      </c>
      <c r="J3" s="15">
        <v>15.502276154099999</v>
      </c>
      <c r="K3" s="15">
        <v>38.029876356340012</v>
      </c>
      <c r="L3" s="15">
        <v>2.8579928999999997</v>
      </c>
      <c r="M3" s="15">
        <v>-17.860573299999999</v>
      </c>
      <c r="N3" s="15">
        <v>-2.3256945</v>
      </c>
    </row>
    <row r="4" spans="1:15" ht="15" x14ac:dyDescent="0.25">
      <c r="A4" s="44">
        <f>SUM(C4:N4)</f>
        <v>25.48037102483999</v>
      </c>
      <c r="B4" s="12">
        <v>45572</v>
      </c>
      <c r="C4" s="70">
        <v>13.916706534620005</v>
      </c>
      <c r="D4" s="70">
        <v>29.280717559899998</v>
      </c>
      <c r="E4" s="70">
        <v>8.6876536999999985</v>
      </c>
      <c r="F4" s="70">
        <v>101.7915562</v>
      </c>
      <c r="G4" s="70">
        <v>0.26340886239999994</v>
      </c>
      <c r="H4" s="70">
        <v>-42.206343406660011</v>
      </c>
      <c r="I4" s="70">
        <v>-0.76223419999999997</v>
      </c>
      <c r="J4" s="70">
        <v>13.757210259299999</v>
      </c>
      <c r="K4" s="70">
        <v>-39.449038384720005</v>
      </c>
      <c r="L4" s="70">
        <v>3.6160385000000068</v>
      </c>
      <c r="M4" s="70">
        <v>-73.66100689999999</v>
      </c>
      <c r="N4" s="70">
        <v>10.2457023</v>
      </c>
    </row>
    <row r="5" spans="1:15" ht="15" x14ac:dyDescent="0.25">
      <c r="A5" s="44">
        <f>SUM(C5:N5)</f>
        <v>1.0962987005999723</v>
      </c>
      <c r="B5" s="71">
        <v>45579</v>
      </c>
      <c r="C5" s="15">
        <v>-17.921646138779998</v>
      </c>
      <c r="D5" s="15">
        <v>8.9258674096000004</v>
      </c>
      <c r="E5" s="15">
        <v>-8.6978177999999993</v>
      </c>
      <c r="F5" s="15">
        <v>48.730246332499981</v>
      </c>
      <c r="G5" s="15">
        <v>-4.6008814000000828E-3</v>
      </c>
      <c r="H5" s="15">
        <v>1.672104824519999</v>
      </c>
      <c r="I5" s="15">
        <v>-0.57387030000000006</v>
      </c>
      <c r="J5" s="15">
        <v>0.78859841590000102</v>
      </c>
      <c r="K5" s="15">
        <v>-36.123012861740001</v>
      </c>
      <c r="L5" s="15">
        <v>-2.8742283000000008</v>
      </c>
      <c r="M5" s="15">
        <v>4.1659379000000012</v>
      </c>
      <c r="N5" s="15">
        <v>3.0087201000000001</v>
      </c>
    </row>
    <row r="6" spans="1:15" ht="15" x14ac:dyDescent="0.25">
      <c r="A6" s="44">
        <f>SUM(C6:N6)</f>
        <v>-310.38166261419002</v>
      </c>
      <c r="B6" s="92">
        <v>45586</v>
      </c>
      <c r="C6" s="70">
        <v>0.22434391836999898</v>
      </c>
      <c r="D6" s="70">
        <v>9.6101223997000034</v>
      </c>
      <c r="E6" s="70">
        <v>-4.3391830999999996</v>
      </c>
      <c r="F6" s="70">
        <v>-164.77365320000004</v>
      </c>
      <c r="G6" s="70">
        <v>-4.5615320499999765E-2</v>
      </c>
      <c r="H6" s="70">
        <v>3.9821699511999888</v>
      </c>
      <c r="I6" s="70">
        <v>-5.7190035000000012</v>
      </c>
      <c r="J6" s="70">
        <v>-1.0286589005999991</v>
      </c>
      <c r="K6" s="70">
        <v>-113.91018036235997</v>
      </c>
      <c r="L6" s="70">
        <v>-2.0452954999999999</v>
      </c>
      <c r="M6" s="70">
        <v>-15.255753799999999</v>
      </c>
      <c r="N6" s="70">
        <v>-17.080955199999998</v>
      </c>
      <c r="O6"/>
    </row>
    <row r="7" spans="1:15" ht="15" x14ac:dyDescent="0.25">
      <c r="A7" s="68"/>
      <c r="B7" s="57"/>
      <c r="C7" s="72"/>
      <c r="D7" s="72"/>
      <c r="E7" s="72"/>
      <c r="F7" s="72"/>
      <c r="G7" s="72"/>
      <c r="H7" s="72"/>
      <c r="I7" s="72"/>
      <c r="J7" s="72"/>
      <c r="K7" s="72"/>
      <c r="L7" s="72"/>
      <c r="M7" s="72"/>
      <c r="N7" s="72"/>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67"/>
      <c r="D13" s="67"/>
      <c r="E13" s="67"/>
      <c r="F13" s="67"/>
      <c r="G13" s="67"/>
      <c r="H13" s="67"/>
      <c r="I13" s="67"/>
      <c r="J13" s="67"/>
      <c r="K13" s="67"/>
      <c r="L13" s="67"/>
      <c r="M13" s="67"/>
      <c r="N13" s="67"/>
    </row>
    <row r="14" spans="1:15" ht="15" x14ac:dyDescent="0.25">
      <c r="B14" s="49"/>
      <c r="C14" s="49"/>
      <c r="D14" s="49"/>
      <c r="E14" s="49"/>
      <c r="F14" s="49"/>
      <c r="G14" s="49"/>
      <c r="H14" s="49"/>
      <c r="I14" s="49"/>
      <c r="J14" s="49"/>
      <c r="K14" s="49"/>
      <c r="L14" s="49"/>
      <c r="M14" s="49"/>
      <c r="N14"/>
      <c r="O14" s="43"/>
    </row>
    <row r="15" spans="1:15" ht="15" x14ac:dyDescent="0.25">
      <c r="C15" s="49"/>
      <c r="D15" s="49"/>
      <c r="E15" s="49"/>
      <c r="F15" s="49"/>
      <c r="G15" s="49"/>
      <c r="H15" s="49"/>
      <c r="I15" s="49"/>
      <c r="J15" s="49"/>
      <c r="K15" s="49"/>
      <c r="L15" s="49"/>
      <c r="M15" s="49"/>
      <c r="N15" s="49"/>
      <c r="O15" s="49"/>
    </row>
    <row r="16" spans="1:15" ht="15" x14ac:dyDescent="0.25">
      <c r="C16" s="43"/>
      <c r="D16" s="43"/>
      <c r="E16" s="43"/>
      <c r="F16" s="43"/>
      <c r="G16" s="43"/>
      <c r="H16" s="43"/>
      <c r="I16" s="43"/>
      <c r="J16" s="43"/>
      <c r="K16" s="43"/>
      <c r="L16" s="43"/>
      <c r="M16" s="43"/>
      <c r="N16" s="43"/>
      <c r="O16" s="43"/>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1" width="7.5703125" style="2" bestFit="1" customWidth="1"/>
    <col min="12" max="12" width="13.5703125" style="2" customWidth="1"/>
    <col min="13" max="13" width="7.5703125" style="2" bestFit="1" customWidth="1"/>
    <col min="14" max="14" width="8.5703125" style="2" bestFit="1" customWidth="1"/>
    <col min="15" max="16384" width="9.42578125" style="2"/>
  </cols>
  <sheetData>
    <row r="1" spans="1:18" ht="17.25" customHeight="1" x14ac:dyDescent="0.2">
      <c r="A1" s="85" t="s">
        <v>7</v>
      </c>
      <c r="B1" s="13"/>
      <c r="C1" s="87" t="s">
        <v>8</v>
      </c>
      <c r="D1" s="88"/>
      <c r="E1" s="88"/>
      <c r="F1" s="88"/>
      <c r="G1" s="88"/>
      <c r="H1" s="88"/>
      <c r="I1" s="88"/>
      <c r="J1" s="88"/>
      <c r="K1" s="88"/>
      <c r="L1" s="88"/>
      <c r="M1" s="88"/>
      <c r="N1" s="89"/>
    </row>
    <row r="2" spans="1:18" ht="75" x14ac:dyDescent="0.2">
      <c r="A2" s="86"/>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ht="15" x14ac:dyDescent="0.25">
      <c r="A3" s="65">
        <f>SUM(C3:N3)</f>
        <v>-167.61482112674003</v>
      </c>
      <c r="B3" s="64">
        <v>45565</v>
      </c>
      <c r="C3" s="56">
        <v>-13.942945499149999</v>
      </c>
      <c r="D3" s="56">
        <v>8.6089647168000027</v>
      </c>
      <c r="E3" s="56">
        <v>-6.0740441999999994</v>
      </c>
      <c r="F3" s="56">
        <v>42.063998000000005</v>
      </c>
      <c r="G3" s="56">
        <v>0.68982875219999962</v>
      </c>
      <c r="H3" s="56">
        <v>-167.48584907013003</v>
      </c>
      <c r="I3" s="56">
        <v>3.4222087999999999</v>
      </c>
      <c r="J3" s="56">
        <v>-9.9906886403000019</v>
      </c>
      <c r="K3" s="56">
        <v>-10.17751298616</v>
      </c>
      <c r="L3" s="56">
        <v>-6.7956092999999989</v>
      </c>
      <c r="M3" s="56">
        <v>-2.8211069000000006</v>
      </c>
      <c r="N3" s="56">
        <v>-5.1120647999999997</v>
      </c>
      <c r="P3" s="14"/>
    </row>
    <row r="4" spans="1:18" ht="15" x14ac:dyDescent="0.25">
      <c r="A4" s="65">
        <f>SUM(C4:N4)</f>
        <v>98.898956840009973</v>
      </c>
      <c r="B4" s="12">
        <v>45572</v>
      </c>
      <c r="C4" s="74">
        <v>0.63304702138999946</v>
      </c>
      <c r="D4" s="74">
        <v>-0.41690570759999801</v>
      </c>
      <c r="E4" s="74">
        <v>0.69936609999999932</v>
      </c>
      <c r="F4" s="74">
        <v>-48.818131200000003</v>
      </c>
      <c r="G4" s="74">
        <v>2.4038499473000003</v>
      </c>
      <c r="H4" s="74">
        <v>26.531181803789984</v>
      </c>
      <c r="I4" s="74">
        <v>1.9277492000000005</v>
      </c>
      <c r="J4" s="74">
        <v>25.050839661600001</v>
      </c>
      <c r="K4" s="74">
        <v>81.746492899529997</v>
      </c>
      <c r="L4" s="74">
        <v>3.494514713999997</v>
      </c>
      <c r="M4" s="74">
        <v>13.2607798</v>
      </c>
      <c r="N4" s="74">
        <v>-7.6138273999999999</v>
      </c>
      <c r="P4" s="14"/>
    </row>
    <row r="5" spans="1:18" ht="15" x14ac:dyDescent="0.25">
      <c r="A5" s="65">
        <f>SUM(C5:N5)</f>
        <v>-206.80832327289994</v>
      </c>
      <c r="B5" s="64">
        <v>45579</v>
      </c>
      <c r="C5" s="56">
        <v>20.307789915539999</v>
      </c>
      <c r="D5" s="56">
        <v>-11.606013819499999</v>
      </c>
      <c r="E5" s="56">
        <v>5.5465151999999991</v>
      </c>
      <c r="F5" s="56">
        <v>-194.6303972325</v>
      </c>
      <c r="G5" s="56">
        <v>-0.77846745719999999</v>
      </c>
      <c r="H5" s="56">
        <v>-21.62427848439</v>
      </c>
      <c r="I5" s="56">
        <v>1.0285631</v>
      </c>
      <c r="J5" s="56">
        <v>5.8204464153000002</v>
      </c>
      <c r="K5" s="56">
        <v>8.4587079898500015</v>
      </c>
      <c r="L5" s="56">
        <v>5.3716806999999998</v>
      </c>
      <c r="M5" s="56">
        <v>-15.381391799999999</v>
      </c>
      <c r="N5" s="56">
        <v>-9.3214778000000003</v>
      </c>
      <c r="P5" s="14"/>
    </row>
    <row r="6" spans="1:18" ht="15" x14ac:dyDescent="0.25">
      <c r="A6" s="65">
        <f>SUM(C6:N6)</f>
        <v>237.08775775981005</v>
      </c>
      <c r="B6" s="92">
        <v>45586</v>
      </c>
      <c r="C6" s="74">
        <v>-4.4991418433900003</v>
      </c>
      <c r="D6" s="74">
        <v>-0.99857384710000097</v>
      </c>
      <c r="E6" s="74">
        <v>-3.0613239999999999</v>
      </c>
      <c r="F6" s="74">
        <v>74.100956100000005</v>
      </c>
      <c r="G6" s="74">
        <v>-1.1749631313</v>
      </c>
      <c r="H6" s="74">
        <v>28.173994994380021</v>
      </c>
      <c r="I6" s="74">
        <v>7.8912924000000002</v>
      </c>
      <c r="J6" s="74">
        <v>9.5416742819999989</v>
      </c>
      <c r="K6" s="74">
        <v>99.409263805220007</v>
      </c>
      <c r="L6" s="74">
        <v>7.455999799999999</v>
      </c>
      <c r="M6" s="74">
        <v>8.9107120000000002</v>
      </c>
      <c r="N6" s="74">
        <v>11.3378672</v>
      </c>
      <c r="P6" s="14"/>
    </row>
    <row r="7" spans="1:18" ht="15" x14ac:dyDescent="0.25">
      <c r="A7" s="68"/>
      <c r="B7" s="51"/>
      <c r="C7" s="72"/>
      <c r="D7" s="72"/>
      <c r="E7" s="72"/>
      <c r="F7" s="72"/>
      <c r="G7" s="72"/>
      <c r="H7" s="72"/>
      <c r="I7" s="72"/>
      <c r="J7" s="72"/>
      <c r="K7" s="72"/>
      <c r="L7" s="72"/>
      <c r="M7" s="72"/>
      <c r="N7" s="72"/>
      <c r="P7" s="14"/>
    </row>
    <row r="8" spans="1:18" x14ac:dyDescent="0.2">
      <c r="B8" s="11" t="s">
        <v>5</v>
      </c>
      <c r="C8" s="11"/>
      <c r="D8" s="11"/>
    </row>
    <row r="9" spans="1:18" x14ac:dyDescent="0.2">
      <c r="B9" s="11" t="s">
        <v>82</v>
      </c>
      <c r="C9" s="11"/>
      <c r="D9" s="11"/>
    </row>
    <row r="10" spans="1:18" x14ac:dyDescent="0.2">
      <c r="B10" s="11" t="s">
        <v>6</v>
      </c>
      <c r="C10" s="11"/>
      <c r="D10" s="11"/>
    </row>
    <row r="11" spans="1:18" x14ac:dyDescent="0.2">
      <c r="B11" s="11" t="s">
        <v>73</v>
      </c>
      <c r="C11" s="12"/>
      <c r="D11" s="12"/>
    </row>
    <row r="12" spans="1:18" ht="15" x14ac:dyDescent="0.25">
      <c r="C12" s="49"/>
      <c r="D12" s="49"/>
      <c r="E12" s="49"/>
      <c r="F12" s="49"/>
      <c r="G12" s="49"/>
      <c r="H12" s="49"/>
      <c r="I12" s="49"/>
      <c r="J12" s="49"/>
      <c r="K12" s="49"/>
      <c r="L12" s="49"/>
      <c r="M12" s="49"/>
      <c r="N12" s="49"/>
    </row>
    <row r="13" spans="1:18" ht="15" x14ac:dyDescent="0.25">
      <c r="B13"/>
      <c r="C13" s="49"/>
      <c r="D13" s="49"/>
      <c r="E13" s="49"/>
      <c r="F13" s="49"/>
      <c r="G13" s="49"/>
      <c r="H13" s="49"/>
      <c r="I13" s="49"/>
      <c r="J13" s="49"/>
      <c r="K13" s="49"/>
      <c r="L13" s="49"/>
      <c r="M13" s="49"/>
      <c r="N13" s="49"/>
      <c r="O13" s="43"/>
      <c r="P13"/>
      <c r="Q13"/>
      <c r="R13"/>
    </row>
    <row r="14" spans="1:18" ht="15" x14ac:dyDescent="0.25">
      <c r="C14"/>
      <c r="D14"/>
      <c r="E14"/>
      <c r="F14"/>
      <c r="G14"/>
      <c r="H14"/>
      <c r="I14"/>
      <c r="J14"/>
      <c r="K14"/>
      <c r="L14"/>
      <c r="M14"/>
      <c r="N14"/>
      <c r="O14"/>
      <c r="P14"/>
      <c r="Q14"/>
      <c r="R14"/>
    </row>
    <row r="15" spans="1:18" ht="15" x14ac:dyDescent="0.25">
      <c r="C15" s="49"/>
      <c r="D15" s="49"/>
      <c r="E15" s="49"/>
      <c r="F15" s="49"/>
      <c r="G15" s="49"/>
      <c r="H15" s="49"/>
      <c r="I15" s="49"/>
      <c r="J15" s="49"/>
      <c r="K15" s="49"/>
      <c r="L15" s="49"/>
      <c r="M15" s="49"/>
      <c r="N15" s="49"/>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6" width="12.5703125" customWidth="1"/>
    <col min="7" max="7" width="14" customWidth="1"/>
    <col min="8" max="8" width="15.5703125" customWidth="1"/>
    <col min="12" max="12" width="16" customWidth="1"/>
  </cols>
  <sheetData>
    <row r="1" spans="1:5" ht="60" x14ac:dyDescent="0.25">
      <c r="A1" s="32" t="str">
        <f>CONCATENATE("STI Constituents - ",'Weekly Top 10'!$C$5)</f>
        <v>STI Constituents - Week of 21 October 2024</v>
      </c>
      <c r="B1" s="16" t="s">
        <v>1</v>
      </c>
      <c r="C1" s="17" t="s">
        <v>71</v>
      </c>
      <c r="D1" s="17" t="s">
        <v>72</v>
      </c>
    </row>
    <row r="2" spans="1:5" x14ac:dyDescent="0.25">
      <c r="A2" s="18" t="s">
        <v>87</v>
      </c>
      <c r="B2" s="19" t="s">
        <v>25</v>
      </c>
      <c r="C2" s="20">
        <v>-19.932659999999998</v>
      </c>
      <c r="D2" s="20">
        <v>16.527391000000001</v>
      </c>
      <c r="E2" s="38"/>
    </row>
    <row r="3" spans="1:5" x14ac:dyDescent="0.25">
      <c r="A3" s="21" t="s">
        <v>77</v>
      </c>
      <c r="B3" s="22" t="s">
        <v>56</v>
      </c>
      <c r="C3" s="8">
        <v>-36.202674000000002</v>
      </c>
      <c r="D3" s="8">
        <v>14.929121</v>
      </c>
      <c r="E3" s="38"/>
    </row>
    <row r="4" spans="1:5" x14ac:dyDescent="0.25">
      <c r="A4" s="5" t="s">
        <v>84</v>
      </c>
      <c r="B4" s="7" t="s">
        <v>83</v>
      </c>
      <c r="C4" s="6">
        <v>-20.443156999999999</v>
      </c>
      <c r="D4" s="6">
        <v>18.222394000000001</v>
      </c>
      <c r="E4" s="38"/>
    </row>
    <row r="5" spans="1:5" x14ac:dyDescent="0.25">
      <c r="A5" s="21" t="s">
        <v>63</v>
      </c>
      <c r="B5" s="22" t="s">
        <v>54</v>
      </c>
      <c r="C5" s="8">
        <v>0.72073900000000002</v>
      </c>
      <c r="D5" s="8">
        <v>3.791188</v>
      </c>
      <c r="E5" s="38"/>
    </row>
    <row r="6" spans="1:5" x14ac:dyDescent="0.25">
      <c r="A6" s="5" t="s">
        <v>26</v>
      </c>
      <c r="B6" s="7" t="s">
        <v>21</v>
      </c>
      <c r="C6" s="6">
        <v>-113.865279</v>
      </c>
      <c r="D6" s="6">
        <v>64.017114000000007</v>
      </c>
      <c r="E6" s="38"/>
    </row>
    <row r="7" spans="1:5" x14ac:dyDescent="0.25">
      <c r="A7" s="21" t="s">
        <v>85</v>
      </c>
      <c r="B7" s="22" t="s">
        <v>57</v>
      </c>
      <c r="C7" s="8">
        <v>4.9094379997000006</v>
      </c>
      <c r="D7" s="8">
        <v>-4.6138866471000011</v>
      </c>
      <c r="E7" s="38"/>
    </row>
    <row r="8" spans="1:5" x14ac:dyDescent="0.25">
      <c r="A8" s="5" t="s">
        <v>243</v>
      </c>
      <c r="B8" s="7" t="s">
        <v>108</v>
      </c>
      <c r="C8" s="6">
        <v>3.0371869999999999</v>
      </c>
      <c r="D8" s="6">
        <v>1.112244</v>
      </c>
      <c r="E8" s="38"/>
    </row>
    <row r="9" spans="1:5" x14ac:dyDescent="0.25">
      <c r="A9" s="21" t="s">
        <v>79</v>
      </c>
      <c r="B9" s="22" t="s">
        <v>78</v>
      </c>
      <c r="C9" s="8">
        <v>-7.9810736999999996</v>
      </c>
      <c r="D9" s="8">
        <v>8.5343909999999994</v>
      </c>
      <c r="E9" s="38"/>
    </row>
    <row r="10" spans="1:5" x14ac:dyDescent="0.25">
      <c r="A10" s="5" t="s">
        <v>36</v>
      </c>
      <c r="B10" s="7" t="s">
        <v>35</v>
      </c>
      <c r="C10" s="6">
        <v>-12.879742500000001</v>
      </c>
      <c r="D10" s="6">
        <v>7.7540990000000001</v>
      </c>
      <c r="E10" s="38"/>
    </row>
    <row r="11" spans="1:5" x14ac:dyDescent="0.25">
      <c r="A11" s="21" t="s">
        <v>64</v>
      </c>
      <c r="B11" s="22" t="s">
        <v>55</v>
      </c>
      <c r="C11" s="8">
        <v>-1.6302854005999989</v>
      </c>
      <c r="D11" s="8">
        <v>1.3910525819999999</v>
      </c>
      <c r="E11" s="38"/>
    </row>
    <row r="12" spans="1:5" x14ac:dyDescent="0.25">
      <c r="A12" s="5" t="s">
        <v>50</v>
      </c>
      <c r="B12" s="7" t="s">
        <v>48</v>
      </c>
      <c r="C12" s="6">
        <v>13.742246</v>
      </c>
      <c r="D12" s="6">
        <v>-13.468859999999999</v>
      </c>
      <c r="E12" s="38"/>
    </row>
    <row r="13" spans="1:5" x14ac:dyDescent="0.25">
      <c r="A13" s="21" t="s">
        <v>62</v>
      </c>
      <c r="B13" s="22" t="s">
        <v>52</v>
      </c>
      <c r="C13" s="8">
        <v>-1.3378341669000009</v>
      </c>
      <c r="D13" s="8">
        <v>0.97898103510000023</v>
      </c>
      <c r="E13" s="38"/>
    </row>
    <row r="14" spans="1:5" x14ac:dyDescent="0.25">
      <c r="A14" s="5" t="s">
        <v>148</v>
      </c>
      <c r="B14" s="7" t="s">
        <v>32</v>
      </c>
      <c r="C14" s="6">
        <v>-6.0601269999999996</v>
      </c>
      <c r="D14" s="6">
        <v>4.0832E-2</v>
      </c>
      <c r="E14" s="38"/>
    </row>
    <row r="15" spans="1:5" x14ac:dyDescent="0.25">
      <c r="A15" s="21" t="s">
        <v>75</v>
      </c>
      <c r="B15" s="22" t="s">
        <v>74</v>
      </c>
      <c r="C15" s="8">
        <v>-9.5548380000000002</v>
      </c>
      <c r="D15" s="8">
        <v>3.9611960000000002</v>
      </c>
      <c r="E15" s="38"/>
    </row>
    <row r="16" spans="1:5" x14ac:dyDescent="0.25">
      <c r="A16" s="5" t="s">
        <v>40</v>
      </c>
      <c r="B16" s="7" t="s">
        <v>38</v>
      </c>
      <c r="C16" s="6">
        <v>-16.067235</v>
      </c>
      <c r="D16" s="6">
        <v>12.649232</v>
      </c>
      <c r="E16" s="38"/>
    </row>
    <row r="17" spans="1:5" x14ac:dyDescent="0.25">
      <c r="A17" s="21" t="s">
        <v>250</v>
      </c>
      <c r="B17" s="22" t="s">
        <v>58</v>
      </c>
      <c r="C17" s="8">
        <v>-14.305698</v>
      </c>
      <c r="D17" s="8">
        <v>18.420185</v>
      </c>
      <c r="E17" s="38"/>
    </row>
    <row r="18" spans="1:5" x14ac:dyDescent="0.25">
      <c r="A18" s="5" t="s">
        <v>27</v>
      </c>
      <c r="B18" s="7" t="s">
        <v>22</v>
      </c>
      <c r="C18" s="6">
        <v>-5.7669790000000001</v>
      </c>
      <c r="D18" s="6">
        <v>-6.901046</v>
      </c>
      <c r="E18" s="38"/>
    </row>
    <row r="19" spans="1:5" x14ac:dyDescent="0.25">
      <c r="A19" s="21" t="s">
        <v>34</v>
      </c>
      <c r="B19" s="22" t="s">
        <v>30</v>
      </c>
      <c r="C19" s="8">
        <v>25.977649</v>
      </c>
      <c r="D19" s="8">
        <v>-33.919998999999997</v>
      </c>
      <c r="E19" s="38"/>
    </row>
    <row r="20" spans="1:5" x14ac:dyDescent="0.25">
      <c r="A20" s="5" t="s">
        <v>142</v>
      </c>
      <c r="B20" s="7" t="s">
        <v>248</v>
      </c>
      <c r="C20" s="6">
        <v>-17.547522000000001</v>
      </c>
      <c r="D20" s="6">
        <v>36.897511000000002</v>
      </c>
      <c r="E20" s="38"/>
    </row>
    <row r="21" spans="1:5" x14ac:dyDescent="0.25">
      <c r="A21" s="21" t="s">
        <v>45</v>
      </c>
      <c r="B21" s="22" t="s">
        <v>42</v>
      </c>
      <c r="C21" s="8">
        <v>-17.081961</v>
      </c>
      <c r="D21" s="8">
        <v>11.337878</v>
      </c>
      <c r="E21" s="38"/>
    </row>
    <row r="22" spans="1:5" x14ac:dyDescent="0.25">
      <c r="A22" s="5" t="s">
        <v>33</v>
      </c>
      <c r="B22" s="7" t="s">
        <v>31</v>
      </c>
      <c r="C22" s="6">
        <v>-8.0354949999999992</v>
      </c>
      <c r="D22" s="6">
        <v>21.863251999999999</v>
      </c>
      <c r="E22" s="38"/>
    </row>
    <row r="23" spans="1:5" x14ac:dyDescent="0.25">
      <c r="A23" s="21" t="s">
        <v>29</v>
      </c>
      <c r="B23" s="22" t="s">
        <v>24</v>
      </c>
      <c r="C23" s="8">
        <v>1.1474789999999999</v>
      </c>
      <c r="D23" s="8">
        <v>-4.4925639999999998</v>
      </c>
      <c r="E23" s="38"/>
    </row>
    <row r="24" spans="1:5" x14ac:dyDescent="0.25">
      <c r="A24" s="5" t="s">
        <v>39</v>
      </c>
      <c r="B24" s="7" t="s">
        <v>37</v>
      </c>
      <c r="C24" s="6">
        <v>1.343089</v>
      </c>
      <c r="D24" s="6">
        <v>3.9029219999999998</v>
      </c>
      <c r="E24" s="38"/>
    </row>
    <row r="25" spans="1:5" x14ac:dyDescent="0.25">
      <c r="A25" s="21" t="s">
        <v>49</v>
      </c>
      <c r="B25" s="22" t="s">
        <v>47</v>
      </c>
      <c r="C25" s="8">
        <v>-15.4591356</v>
      </c>
      <c r="D25" s="8">
        <v>6.7568826</v>
      </c>
      <c r="E25" s="38"/>
    </row>
    <row r="26" spans="1:5" x14ac:dyDescent="0.25">
      <c r="A26" s="5" t="s">
        <v>60</v>
      </c>
      <c r="B26" s="7" t="s">
        <v>51</v>
      </c>
      <c r="C26" s="6">
        <v>5.0522225000000001</v>
      </c>
      <c r="D26" s="6">
        <v>-1.1509374999999999</v>
      </c>
      <c r="E26" s="38"/>
    </row>
    <row r="27" spans="1:5" x14ac:dyDescent="0.25">
      <c r="A27" s="21" t="s">
        <v>28</v>
      </c>
      <c r="B27" s="22" t="s">
        <v>23</v>
      </c>
      <c r="C27" s="8">
        <v>-26.542147</v>
      </c>
      <c r="D27" s="8">
        <v>3.5451090000000001</v>
      </c>
      <c r="E27" s="38"/>
    </row>
    <row r="28" spans="1:5" x14ac:dyDescent="0.25">
      <c r="A28" s="5" t="s">
        <v>65</v>
      </c>
      <c r="B28" s="7" t="s">
        <v>59</v>
      </c>
      <c r="C28" s="6">
        <v>-2.7220200000000001</v>
      </c>
      <c r="D28" s="6">
        <v>5.2708500000000003</v>
      </c>
      <c r="E28" s="38"/>
    </row>
    <row r="29" spans="1:5" x14ac:dyDescent="0.25">
      <c r="A29" s="21" t="s">
        <v>46</v>
      </c>
      <c r="B29" s="22" t="s">
        <v>43</v>
      </c>
      <c r="C29" s="8">
        <v>-1.384055</v>
      </c>
      <c r="D29" s="8">
        <v>4.8586739999999997</v>
      </c>
      <c r="E29" s="38"/>
    </row>
    <row r="30" spans="1:5" x14ac:dyDescent="0.25">
      <c r="A30" s="5" t="s">
        <v>44</v>
      </c>
      <c r="B30" s="7" t="s">
        <v>41</v>
      </c>
      <c r="C30" s="6">
        <v>-2.677816</v>
      </c>
      <c r="D30" s="6">
        <v>4.4190430000000003</v>
      </c>
      <c r="E30" s="38"/>
    </row>
    <row r="31" spans="1:5" ht="15.75" thickBot="1" x14ac:dyDescent="0.3">
      <c r="A31" s="21" t="s">
        <v>61</v>
      </c>
      <c r="B31" s="22" t="s">
        <v>53</v>
      </c>
      <c r="C31" s="8">
        <v>5.8687889999999996</v>
      </c>
      <c r="D31" s="8">
        <v>-1.114142</v>
      </c>
      <c r="E31" s="38"/>
    </row>
    <row r="32" spans="1:5" ht="21" customHeight="1" thickBot="1" x14ac:dyDescent="0.3">
      <c r="A32" s="90" t="s">
        <v>66</v>
      </c>
      <c r="B32" s="91"/>
      <c r="C32" s="58">
        <f>SUM(C2:C31)</f>
        <v>-295.67889586780001</v>
      </c>
      <c r="D32" s="59">
        <f>SUM(D2:D31)</f>
        <v>205.52010706999999</v>
      </c>
    </row>
    <row r="34" spans="1:5" x14ac:dyDescent="0.25">
      <c r="A34" s="11" t="s">
        <v>67</v>
      </c>
      <c r="B34" s="48"/>
      <c r="C34" s="48"/>
      <c r="D34" s="48"/>
      <c r="E34" s="48"/>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19.5703125" customWidth="1"/>
    <col min="9" max="9" width="27.42578125" customWidth="1"/>
    <col min="10" max="10" width="23.5703125" customWidth="1"/>
    <col min="11" max="11" width="20.5703125" customWidth="1"/>
    <col min="12" max="13" width="16.5703125"/>
  </cols>
  <sheetData>
    <row r="1" spans="1:17" ht="45" x14ac:dyDescent="0.25">
      <c r="A1" s="32" t="str">
        <f>CONCATENATE("100 Most Traded Stocks YTD - ",'Weekly Top 10'!$C$5)</f>
        <v>100 Most Traded Stocks YTD - Week of 21 October 2024</v>
      </c>
      <c r="B1" s="16" t="s">
        <v>1</v>
      </c>
      <c r="C1" s="47" t="s">
        <v>98</v>
      </c>
      <c r="D1" s="17" t="s">
        <v>97</v>
      </c>
      <c r="E1" s="17" t="s">
        <v>99</v>
      </c>
      <c r="F1" s="17" t="s">
        <v>100</v>
      </c>
      <c r="G1" s="52"/>
      <c r="H1" s="78"/>
      <c r="I1" s="78"/>
      <c r="J1" s="78"/>
      <c r="L1" s="78"/>
      <c r="M1" s="78"/>
    </row>
    <row r="2" spans="1:17" x14ac:dyDescent="0.25">
      <c r="A2" s="18" t="s">
        <v>26</v>
      </c>
      <c r="B2" s="19" t="s">
        <v>21</v>
      </c>
      <c r="C2" s="53">
        <v>157.9023479237681</v>
      </c>
      <c r="D2" s="53">
        <v>-13.24284769999999</v>
      </c>
      <c r="E2" s="53">
        <v>-113.865279</v>
      </c>
      <c r="F2" s="20" t="s">
        <v>13</v>
      </c>
      <c r="G2" s="52"/>
      <c r="O2" s="73"/>
      <c r="P2" s="73"/>
      <c r="Q2" s="73"/>
    </row>
    <row r="3" spans="1:17" x14ac:dyDescent="0.25">
      <c r="A3" s="21" t="s">
        <v>49</v>
      </c>
      <c r="B3" s="22" t="s">
        <v>47</v>
      </c>
      <c r="C3" s="54">
        <v>94.989170321681172</v>
      </c>
      <c r="D3" s="54">
        <v>761.07494859999997</v>
      </c>
      <c r="E3" s="54">
        <v>-15.4591356</v>
      </c>
      <c r="F3" s="8" t="s">
        <v>157</v>
      </c>
      <c r="G3" s="52"/>
      <c r="O3" s="73"/>
      <c r="P3" s="73"/>
      <c r="Q3" s="73"/>
    </row>
    <row r="4" spans="1:17" x14ac:dyDescent="0.25">
      <c r="A4" s="5" t="s">
        <v>28</v>
      </c>
      <c r="B4" s="7" t="s">
        <v>23</v>
      </c>
      <c r="C4" s="55">
        <v>83.207318095657001</v>
      </c>
      <c r="D4" s="55">
        <v>461.41113480000001</v>
      </c>
      <c r="E4" s="55">
        <v>-26.542147</v>
      </c>
      <c r="F4" s="6" t="s">
        <v>13</v>
      </c>
      <c r="G4" s="52"/>
      <c r="O4" s="73"/>
      <c r="P4" s="73"/>
      <c r="Q4" s="73"/>
    </row>
    <row r="5" spans="1:17" x14ac:dyDescent="0.25">
      <c r="A5" s="21" t="s">
        <v>161</v>
      </c>
      <c r="B5" s="22" t="s">
        <v>22</v>
      </c>
      <c r="C5" s="54">
        <v>78.621265297231886</v>
      </c>
      <c r="D5" s="54">
        <v>277.48266610000002</v>
      </c>
      <c r="E5" s="54">
        <v>-5.7669790000000001</v>
      </c>
      <c r="F5" s="8" t="s">
        <v>13</v>
      </c>
      <c r="G5" s="52"/>
      <c r="O5" s="73"/>
      <c r="P5" s="73"/>
      <c r="Q5" s="73"/>
    </row>
    <row r="6" spans="1:17" x14ac:dyDescent="0.25">
      <c r="A6" s="5" t="s">
        <v>278</v>
      </c>
      <c r="B6" s="7" t="s">
        <v>248</v>
      </c>
      <c r="C6" s="55">
        <v>59.513997394446285</v>
      </c>
      <c r="D6" s="55">
        <v>-128.26599899999999</v>
      </c>
      <c r="E6" s="55">
        <v>-17.547522000000001</v>
      </c>
      <c r="F6" s="6" t="s">
        <v>14</v>
      </c>
      <c r="G6" s="52"/>
      <c r="O6" s="73"/>
      <c r="P6" s="73"/>
      <c r="Q6" s="73"/>
    </row>
    <row r="7" spans="1:17" x14ac:dyDescent="0.25">
      <c r="A7" s="21" t="s">
        <v>162</v>
      </c>
      <c r="B7" s="22" t="s">
        <v>56</v>
      </c>
      <c r="C7" s="54">
        <v>49.101913428647336</v>
      </c>
      <c r="D7" s="54">
        <v>-88.504397999999995</v>
      </c>
      <c r="E7" s="54">
        <v>-36.202674000000002</v>
      </c>
      <c r="F7" s="8" t="s">
        <v>17</v>
      </c>
      <c r="G7" s="52"/>
      <c r="O7" s="73"/>
      <c r="P7" s="73"/>
      <c r="Q7" s="73"/>
    </row>
    <row r="8" spans="1:17" x14ac:dyDescent="0.25">
      <c r="A8" s="5" t="s">
        <v>164</v>
      </c>
      <c r="B8" s="7" t="s">
        <v>53</v>
      </c>
      <c r="C8" s="55">
        <v>47.023399826367147</v>
      </c>
      <c r="D8" s="55">
        <v>24.0882988</v>
      </c>
      <c r="E8" s="55">
        <v>5.8687889999999996</v>
      </c>
      <c r="F8" s="6" t="s">
        <v>14</v>
      </c>
      <c r="G8" s="52"/>
      <c r="O8" s="73"/>
      <c r="P8" s="73"/>
      <c r="Q8" s="73"/>
    </row>
    <row r="9" spans="1:17" x14ac:dyDescent="0.25">
      <c r="A9" s="21" t="s">
        <v>33</v>
      </c>
      <c r="B9" s="22" t="s">
        <v>31</v>
      </c>
      <c r="C9" s="54">
        <v>37.517662855797099</v>
      </c>
      <c r="D9" s="54">
        <v>-535.12401299999999</v>
      </c>
      <c r="E9" s="54">
        <v>-8.0354949999999992</v>
      </c>
      <c r="F9" s="8" t="s">
        <v>14</v>
      </c>
      <c r="G9" s="52"/>
      <c r="O9" s="73"/>
      <c r="P9" s="73"/>
      <c r="Q9" s="73"/>
    </row>
    <row r="10" spans="1:17" x14ac:dyDescent="0.25">
      <c r="A10" s="5" t="s">
        <v>163</v>
      </c>
      <c r="B10" s="7" t="s">
        <v>25</v>
      </c>
      <c r="C10" s="55">
        <v>34.418862771545889</v>
      </c>
      <c r="D10" s="55">
        <v>-200.2040045</v>
      </c>
      <c r="E10" s="55">
        <v>-19.932659999999998</v>
      </c>
      <c r="F10" s="6" t="s">
        <v>17</v>
      </c>
      <c r="G10" s="52"/>
      <c r="O10" s="73"/>
      <c r="P10" s="73"/>
      <c r="Q10" s="73"/>
    </row>
    <row r="11" spans="1:17" x14ac:dyDescent="0.25">
      <c r="A11" s="21" t="s">
        <v>166</v>
      </c>
      <c r="B11" s="22" t="s">
        <v>38</v>
      </c>
      <c r="C11" s="54">
        <v>32.86587426164251</v>
      </c>
      <c r="D11" s="54">
        <v>-231.498029</v>
      </c>
      <c r="E11" s="54">
        <v>-16.067235</v>
      </c>
      <c r="F11" s="8" t="s">
        <v>17</v>
      </c>
      <c r="G11" s="52"/>
      <c r="O11" s="73"/>
      <c r="P11" s="73"/>
      <c r="Q11" s="73"/>
    </row>
    <row r="12" spans="1:17" x14ac:dyDescent="0.25">
      <c r="A12" s="5" t="s">
        <v>165</v>
      </c>
      <c r="B12" s="7" t="s">
        <v>83</v>
      </c>
      <c r="C12" s="55">
        <v>27.62792778308696</v>
      </c>
      <c r="D12" s="55">
        <v>-109.055291</v>
      </c>
      <c r="E12" s="55">
        <v>-20.443156999999999</v>
      </c>
      <c r="F12" s="6" t="s">
        <v>13</v>
      </c>
      <c r="G12" s="52"/>
      <c r="O12" s="73"/>
      <c r="P12" s="73"/>
      <c r="Q12" s="73"/>
    </row>
    <row r="13" spans="1:17" x14ac:dyDescent="0.25">
      <c r="A13" s="21" t="s">
        <v>167</v>
      </c>
      <c r="B13" s="22" t="s">
        <v>35</v>
      </c>
      <c r="C13" s="54">
        <v>26.012806274019319</v>
      </c>
      <c r="D13" s="54">
        <v>-169.6731715</v>
      </c>
      <c r="E13" s="54">
        <v>-12.879742500000001</v>
      </c>
      <c r="F13" s="8" t="s">
        <v>10</v>
      </c>
      <c r="G13" s="52"/>
      <c r="O13" s="73"/>
      <c r="P13" s="73"/>
      <c r="Q13" s="73"/>
    </row>
    <row r="14" spans="1:17" x14ac:dyDescent="0.25">
      <c r="A14" s="5" t="s">
        <v>148</v>
      </c>
      <c r="B14" s="7" t="s">
        <v>32</v>
      </c>
      <c r="C14" s="55">
        <v>24.675508741888887</v>
      </c>
      <c r="D14" s="55">
        <v>-33.687007999999999</v>
      </c>
      <c r="E14" s="55">
        <v>-6.0601269999999996</v>
      </c>
      <c r="F14" s="6" t="s">
        <v>14</v>
      </c>
      <c r="G14" s="52"/>
      <c r="O14" s="73"/>
      <c r="P14" s="73"/>
      <c r="Q14" s="73"/>
    </row>
    <row r="15" spans="1:17" x14ac:dyDescent="0.25">
      <c r="A15" s="21" t="s">
        <v>173</v>
      </c>
      <c r="B15" s="22" t="s">
        <v>58</v>
      </c>
      <c r="C15" s="54">
        <v>23.147327106183571</v>
      </c>
      <c r="D15" s="54">
        <v>-99.957813000000002</v>
      </c>
      <c r="E15" s="54">
        <v>-14.305698</v>
      </c>
      <c r="F15" s="8" t="s">
        <v>17</v>
      </c>
      <c r="G15" s="52"/>
      <c r="O15" s="73"/>
      <c r="P15" s="73"/>
      <c r="Q15" s="73"/>
    </row>
    <row r="16" spans="1:17" x14ac:dyDescent="0.25">
      <c r="A16" s="5" t="s">
        <v>29</v>
      </c>
      <c r="B16" s="7" t="s">
        <v>24</v>
      </c>
      <c r="C16" s="55">
        <v>20.93257947806763</v>
      </c>
      <c r="D16" s="55">
        <v>254.91161700000001</v>
      </c>
      <c r="E16" s="55">
        <v>1.1474789999999999</v>
      </c>
      <c r="F16" s="6" t="s">
        <v>13</v>
      </c>
      <c r="G16" s="52"/>
      <c r="O16" s="73"/>
      <c r="P16" s="73"/>
      <c r="Q16" s="73"/>
    </row>
    <row r="17" spans="1:17" x14ac:dyDescent="0.25">
      <c r="A17" s="21" t="s">
        <v>39</v>
      </c>
      <c r="B17" s="22" t="s">
        <v>37</v>
      </c>
      <c r="C17" s="54">
        <v>18.283791826724642</v>
      </c>
      <c r="D17" s="54">
        <v>209.30642599999999</v>
      </c>
      <c r="E17" s="54">
        <v>1.343089</v>
      </c>
      <c r="F17" s="8" t="s">
        <v>14</v>
      </c>
      <c r="G17" s="52"/>
      <c r="O17" s="73"/>
      <c r="P17" s="73"/>
      <c r="Q17" s="73"/>
    </row>
    <row r="18" spans="1:17" x14ac:dyDescent="0.25">
      <c r="A18" s="5" t="s">
        <v>175</v>
      </c>
      <c r="B18" s="7" t="s">
        <v>48</v>
      </c>
      <c r="C18" s="55">
        <v>18.272857633381637</v>
      </c>
      <c r="D18" s="55">
        <v>-29.807016999999998</v>
      </c>
      <c r="E18" s="55">
        <v>13.742246</v>
      </c>
      <c r="F18" s="6" t="s">
        <v>10</v>
      </c>
      <c r="G18" s="52"/>
      <c r="O18" s="73"/>
      <c r="P18" s="73"/>
      <c r="Q18" s="73"/>
    </row>
    <row r="19" spans="1:17" x14ac:dyDescent="0.25">
      <c r="A19" s="21" t="s">
        <v>171</v>
      </c>
      <c r="B19" s="22" t="s">
        <v>42</v>
      </c>
      <c r="C19" s="54">
        <v>17.517213799758462</v>
      </c>
      <c r="D19" s="54">
        <v>51.819392200000003</v>
      </c>
      <c r="E19" s="54">
        <v>-17.081961</v>
      </c>
      <c r="F19" s="8" t="s">
        <v>19</v>
      </c>
      <c r="G19" s="52"/>
      <c r="O19" s="73"/>
      <c r="P19" s="73"/>
      <c r="Q19" s="73"/>
    </row>
    <row r="20" spans="1:17" x14ac:dyDescent="0.25">
      <c r="A20" s="5" t="s">
        <v>170</v>
      </c>
      <c r="B20" s="7" t="s">
        <v>41</v>
      </c>
      <c r="C20" s="55">
        <v>16.749479410632851</v>
      </c>
      <c r="D20" s="55">
        <v>-72.694123000000005</v>
      </c>
      <c r="E20" s="55">
        <v>-2.677816</v>
      </c>
      <c r="F20" s="6" t="s">
        <v>11</v>
      </c>
      <c r="G20" s="52"/>
      <c r="O20" s="73"/>
      <c r="P20" s="73"/>
      <c r="Q20" s="73"/>
    </row>
    <row r="21" spans="1:17" x14ac:dyDescent="0.25">
      <c r="A21" s="21" t="s">
        <v>174</v>
      </c>
      <c r="B21" s="22" t="s">
        <v>51</v>
      </c>
      <c r="C21" s="54">
        <v>16.225845402415459</v>
      </c>
      <c r="D21" s="54">
        <v>68.16776400000002</v>
      </c>
      <c r="E21" s="54">
        <v>5.0522225000000001</v>
      </c>
      <c r="F21" s="8" t="s">
        <v>11</v>
      </c>
      <c r="G21" s="52"/>
      <c r="O21" s="73"/>
      <c r="P21" s="73"/>
      <c r="Q21" s="73"/>
    </row>
    <row r="22" spans="1:17" x14ac:dyDescent="0.25">
      <c r="A22" s="5" t="s">
        <v>177</v>
      </c>
      <c r="B22" s="7" t="s">
        <v>54</v>
      </c>
      <c r="C22" s="55">
        <v>16.086008243236709</v>
      </c>
      <c r="D22" s="55">
        <v>-240.0193826</v>
      </c>
      <c r="E22" s="55">
        <v>0.72073900000000002</v>
      </c>
      <c r="F22" s="6" t="s">
        <v>16</v>
      </c>
      <c r="G22" s="52"/>
      <c r="O22" s="73"/>
      <c r="P22" s="73"/>
      <c r="Q22" s="73"/>
    </row>
    <row r="23" spans="1:17" x14ac:dyDescent="0.25">
      <c r="A23" s="21" t="s">
        <v>34</v>
      </c>
      <c r="B23" s="22" t="s">
        <v>30</v>
      </c>
      <c r="C23" s="54">
        <v>15.760790398550721</v>
      </c>
      <c r="D23" s="54">
        <v>199.63747000000001</v>
      </c>
      <c r="E23" s="54">
        <v>25.977649</v>
      </c>
      <c r="F23" s="8" t="s">
        <v>14</v>
      </c>
      <c r="G23" s="52"/>
      <c r="O23" s="73"/>
      <c r="P23" s="73"/>
      <c r="Q23" s="73"/>
    </row>
    <row r="24" spans="1:17" x14ac:dyDescent="0.25">
      <c r="A24" s="5" t="s">
        <v>169</v>
      </c>
      <c r="B24" s="7" t="s">
        <v>52</v>
      </c>
      <c r="C24" s="55">
        <v>14.20927482773979</v>
      </c>
      <c r="D24" s="55">
        <v>-12.49909911534999</v>
      </c>
      <c r="E24" s="55">
        <v>-1.3378341669</v>
      </c>
      <c r="F24" s="6" t="s">
        <v>14</v>
      </c>
      <c r="G24" s="52"/>
      <c r="O24" s="73"/>
      <c r="P24" s="73"/>
      <c r="Q24" s="73"/>
    </row>
    <row r="25" spans="1:17" x14ac:dyDescent="0.25">
      <c r="A25" s="21" t="s">
        <v>172</v>
      </c>
      <c r="B25" s="22" t="s">
        <v>74</v>
      </c>
      <c r="C25" s="54">
        <v>13.966998226400969</v>
      </c>
      <c r="D25" s="54">
        <v>-89.158296000000007</v>
      </c>
      <c r="E25" s="54">
        <v>-9.5548380000000002</v>
      </c>
      <c r="F25" s="8" t="s">
        <v>17</v>
      </c>
      <c r="G25" s="52"/>
      <c r="O25" s="73"/>
      <c r="P25" s="73"/>
      <c r="Q25" s="73"/>
    </row>
    <row r="26" spans="1:17" x14ac:dyDescent="0.25">
      <c r="A26" s="5" t="s">
        <v>181</v>
      </c>
      <c r="B26" s="7" t="s">
        <v>78</v>
      </c>
      <c r="C26" s="55">
        <v>13.35072504183575</v>
      </c>
      <c r="D26" s="55">
        <v>-76.927523700000009</v>
      </c>
      <c r="E26" s="55">
        <v>-7.9810737000000014</v>
      </c>
      <c r="F26" s="6" t="s">
        <v>17</v>
      </c>
      <c r="G26" s="52"/>
      <c r="O26" s="73"/>
      <c r="P26" s="73"/>
      <c r="Q26" s="73"/>
    </row>
    <row r="27" spans="1:17" x14ac:dyDescent="0.25">
      <c r="A27" s="21" t="s">
        <v>168</v>
      </c>
      <c r="B27" s="22" t="s">
        <v>76</v>
      </c>
      <c r="C27" s="54">
        <v>11.374103740869559</v>
      </c>
      <c r="D27" s="54">
        <v>19.629134000000001</v>
      </c>
      <c r="E27" s="54">
        <v>17.888964000000001</v>
      </c>
      <c r="F27" s="8" t="s">
        <v>17</v>
      </c>
      <c r="G27" s="52"/>
      <c r="O27" s="73"/>
      <c r="P27" s="73"/>
      <c r="Q27" s="73"/>
    </row>
    <row r="28" spans="1:17" x14ac:dyDescent="0.25">
      <c r="A28" s="5" t="s">
        <v>182</v>
      </c>
      <c r="B28" s="7" t="s">
        <v>55</v>
      </c>
      <c r="C28" s="55">
        <v>10.76346935939349</v>
      </c>
      <c r="D28" s="55">
        <v>24.436219087600001</v>
      </c>
      <c r="E28" s="55">
        <v>-1.6302854006</v>
      </c>
      <c r="F28" s="6" t="s">
        <v>16</v>
      </c>
      <c r="G28" s="52"/>
      <c r="O28" s="73"/>
      <c r="P28" s="73"/>
      <c r="Q28" s="73"/>
    </row>
    <row r="29" spans="1:17" x14ac:dyDescent="0.25">
      <c r="A29" s="21" t="s">
        <v>176</v>
      </c>
      <c r="B29" s="22" t="s">
        <v>59</v>
      </c>
      <c r="C29" s="54">
        <v>10.490105546183569</v>
      </c>
      <c r="D29" s="54">
        <v>-121.263321</v>
      </c>
      <c r="E29" s="54">
        <v>-2.7220200000000001</v>
      </c>
      <c r="F29" s="8" t="s">
        <v>16</v>
      </c>
      <c r="G29" s="52"/>
      <c r="O29" s="73"/>
      <c r="P29" s="73"/>
      <c r="Q29" s="73"/>
    </row>
    <row r="30" spans="1:17" x14ac:dyDescent="0.25">
      <c r="A30" s="5" t="s">
        <v>183</v>
      </c>
      <c r="B30" s="7" t="s">
        <v>88</v>
      </c>
      <c r="C30" s="55">
        <v>10.058643042512079</v>
      </c>
      <c r="D30" s="55">
        <v>62.967177</v>
      </c>
      <c r="E30" s="55">
        <v>-3.1742469999999998</v>
      </c>
      <c r="F30" s="6" t="s">
        <v>17</v>
      </c>
      <c r="G30" s="52"/>
      <c r="O30" s="73"/>
      <c r="P30" s="73"/>
      <c r="Q30" s="73"/>
    </row>
    <row r="31" spans="1:17" x14ac:dyDescent="0.25">
      <c r="A31" s="21" t="s">
        <v>178</v>
      </c>
      <c r="B31" s="22" t="s">
        <v>43</v>
      </c>
      <c r="C31" s="54">
        <v>9.8734647776135258</v>
      </c>
      <c r="D31" s="54">
        <v>69.526224179999986</v>
      </c>
      <c r="E31" s="54">
        <v>-1.384055</v>
      </c>
      <c r="F31" s="8" t="s">
        <v>158</v>
      </c>
      <c r="G31" s="52"/>
      <c r="O31" s="73"/>
      <c r="P31" s="73"/>
      <c r="Q31" s="73"/>
    </row>
    <row r="32" spans="1:17" x14ac:dyDescent="0.25">
      <c r="A32" s="5" t="s">
        <v>139</v>
      </c>
      <c r="B32" s="7" t="s">
        <v>105</v>
      </c>
      <c r="C32" s="55">
        <v>8.6538951772946859</v>
      </c>
      <c r="D32" s="55">
        <v>103.88036700000001</v>
      </c>
      <c r="E32" s="55">
        <v>2.0200990000000001</v>
      </c>
      <c r="F32" s="6" t="s">
        <v>14</v>
      </c>
      <c r="G32" s="52"/>
      <c r="O32" s="73"/>
      <c r="P32" s="73"/>
      <c r="Q32" s="73"/>
    </row>
    <row r="33" spans="1:17" x14ac:dyDescent="0.25">
      <c r="A33" s="21" t="s">
        <v>180</v>
      </c>
      <c r="B33" s="22" t="s">
        <v>108</v>
      </c>
      <c r="C33" s="54">
        <v>7.8554733816425122</v>
      </c>
      <c r="D33" s="54">
        <v>-31.747277</v>
      </c>
      <c r="E33" s="54">
        <v>3.0371869999999999</v>
      </c>
      <c r="F33" s="8" t="s">
        <v>17</v>
      </c>
      <c r="G33" s="52"/>
      <c r="O33" s="73"/>
      <c r="P33" s="73"/>
      <c r="Q33" s="73"/>
    </row>
    <row r="34" spans="1:17" x14ac:dyDescent="0.25">
      <c r="A34" s="5" t="s">
        <v>179</v>
      </c>
      <c r="B34" s="7" t="s">
        <v>101</v>
      </c>
      <c r="C34" s="55">
        <v>6.7224755733913044</v>
      </c>
      <c r="D34" s="55">
        <v>-15.244131400000001</v>
      </c>
      <c r="E34" s="55">
        <v>-3.9159259999999998</v>
      </c>
      <c r="F34" s="6" t="s">
        <v>17</v>
      </c>
      <c r="G34" s="52"/>
      <c r="O34" s="73"/>
      <c r="P34" s="73"/>
      <c r="Q34" s="73"/>
    </row>
    <row r="35" spans="1:17" x14ac:dyDescent="0.25">
      <c r="A35" s="21" t="s">
        <v>186</v>
      </c>
      <c r="B35" s="22" t="s">
        <v>109</v>
      </c>
      <c r="C35" s="54">
        <v>5.9528302111111113</v>
      </c>
      <c r="D35" s="54">
        <v>-13.544121000000001</v>
      </c>
      <c r="E35" s="54">
        <v>-1.919767</v>
      </c>
      <c r="F35" s="8" t="s">
        <v>158</v>
      </c>
      <c r="G35" s="52"/>
      <c r="O35" s="73"/>
      <c r="P35" s="73"/>
      <c r="Q35" s="73"/>
    </row>
    <row r="36" spans="1:17" x14ac:dyDescent="0.25">
      <c r="A36" s="5" t="s">
        <v>209</v>
      </c>
      <c r="B36" s="7" t="s">
        <v>128</v>
      </c>
      <c r="C36" s="55">
        <v>5.3505273022705309</v>
      </c>
      <c r="D36" s="55">
        <v>41.098295</v>
      </c>
      <c r="E36" s="55">
        <v>-3.4306540000000001</v>
      </c>
      <c r="F36" s="6" t="s">
        <v>159</v>
      </c>
      <c r="G36" s="52"/>
      <c r="O36" s="73"/>
      <c r="P36" s="73"/>
      <c r="Q36" s="73"/>
    </row>
    <row r="37" spans="1:17" x14ac:dyDescent="0.25">
      <c r="A37" s="21" t="s">
        <v>185</v>
      </c>
      <c r="B37" s="22" t="s">
        <v>91</v>
      </c>
      <c r="C37" s="54">
        <v>5.3292590039855074</v>
      </c>
      <c r="D37" s="54">
        <v>-79.206542499999998</v>
      </c>
      <c r="E37" s="54">
        <v>-4.2738564999999999</v>
      </c>
      <c r="F37" s="8" t="s">
        <v>17</v>
      </c>
      <c r="G37" s="52"/>
      <c r="O37" s="73"/>
      <c r="P37" s="73"/>
      <c r="Q37" s="73"/>
    </row>
    <row r="38" spans="1:17" x14ac:dyDescent="0.25">
      <c r="A38" s="5" t="s">
        <v>187</v>
      </c>
      <c r="B38" s="7" t="s">
        <v>249</v>
      </c>
      <c r="C38" s="55">
        <v>5.0347884647342998</v>
      </c>
      <c r="D38" s="55">
        <v>-51.648722999999997</v>
      </c>
      <c r="E38" s="55">
        <v>0.38869100000000001</v>
      </c>
      <c r="F38" s="6" t="s">
        <v>158</v>
      </c>
      <c r="G38" s="52"/>
      <c r="O38" s="73"/>
      <c r="P38" s="73"/>
      <c r="Q38" s="73"/>
    </row>
    <row r="39" spans="1:17" x14ac:dyDescent="0.25">
      <c r="A39" s="21" t="s">
        <v>184</v>
      </c>
      <c r="B39" s="22" t="s">
        <v>89</v>
      </c>
      <c r="C39" s="54">
        <v>4.9765497217463768</v>
      </c>
      <c r="D39" s="54">
        <v>-101.97270122400001</v>
      </c>
      <c r="E39" s="54">
        <v>0.52961400000000003</v>
      </c>
      <c r="F39" s="8" t="s">
        <v>158</v>
      </c>
      <c r="G39" s="52"/>
      <c r="O39" s="73"/>
      <c r="P39" s="73"/>
      <c r="Q39" s="73"/>
    </row>
    <row r="40" spans="1:17" x14ac:dyDescent="0.25">
      <c r="A40" s="5" t="s">
        <v>190</v>
      </c>
      <c r="B40" s="7" t="s">
        <v>123</v>
      </c>
      <c r="C40" s="55">
        <v>3.9225949200483092</v>
      </c>
      <c r="D40" s="55">
        <v>39.247712999999997</v>
      </c>
      <c r="E40" s="55">
        <v>0.43357400000000001</v>
      </c>
      <c r="F40" s="6" t="s">
        <v>158</v>
      </c>
      <c r="G40" s="52"/>
      <c r="O40" s="73"/>
      <c r="P40" s="73"/>
      <c r="Q40" s="73"/>
    </row>
    <row r="41" spans="1:17" x14ac:dyDescent="0.25">
      <c r="A41" s="21" t="s">
        <v>204</v>
      </c>
      <c r="B41" s="22" t="s">
        <v>107</v>
      </c>
      <c r="C41" s="54">
        <v>3.5320511861835753</v>
      </c>
      <c r="D41" s="54">
        <v>-45.618895000000002</v>
      </c>
      <c r="E41" s="54">
        <v>0.38797000000000009</v>
      </c>
      <c r="F41" s="8" t="s">
        <v>11</v>
      </c>
      <c r="G41" s="52"/>
      <c r="O41" s="73"/>
      <c r="P41" s="73"/>
      <c r="Q41" s="73"/>
    </row>
    <row r="42" spans="1:17" x14ac:dyDescent="0.25">
      <c r="A42" s="5" t="s">
        <v>193</v>
      </c>
      <c r="B42" s="7" t="s">
        <v>115</v>
      </c>
      <c r="C42" s="55">
        <v>3.5319221320772947</v>
      </c>
      <c r="D42" s="55">
        <v>-17.4074998</v>
      </c>
      <c r="E42" s="55">
        <v>0.79343149999999996</v>
      </c>
      <c r="F42" s="6" t="s">
        <v>157</v>
      </c>
      <c r="G42" s="52"/>
      <c r="O42" s="73"/>
      <c r="P42" s="73"/>
      <c r="Q42" s="73"/>
    </row>
    <row r="43" spans="1:17" x14ac:dyDescent="0.25">
      <c r="A43" s="21" t="s">
        <v>191</v>
      </c>
      <c r="B43" s="22" t="s">
        <v>110</v>
      </c>
      <c r="C43" s="54">
        <v>3.41413585120773</v>
      </c>
      <c r="D43" s="54">
        <v>-19.6770405</v>
      </c>
      <c r="E43" s="54">
        <v>0.30111700000000002</v>
      </c>
      <c r="F43" s="8" t="s">
        <v>158</v>
      </c>
      <c r="G43" s="52"/>
      <c r="O43" s="73"/>
      <c r="P43" s="73"/>
      <c r="Q43" s="73"/>
    </row>
    <row r="44" spans="1:17" x14ac:dyDescent="0.25">
      <c r="A44" s="5" t="s">
        <v>192</v>
      </c>
      <c r="B44" s="7" t="s">
        <v>102</v>
      </c>
      <c r="C44" s="55">
        <v>3.2943951088888892</v>
      </c>
      <c r="D44" s="55">
        <v>-12.870354000000001</v>
      </c>
      <c r="E44" s="55">
        <v>-1.7855555000000001</v>
      </c>
      <c r="F44" s="6" t="s">
        <v>17</v>
      </c>
      <c r="G44" s="52"/>
      <c r="O44" s="73"/>
      <c r="P44" s="73"/>
      <c r="Q44" s="73"/>
    </row>
    <row r="45" spans="1:17" x14ac:dyDescent="0.25">
      <c r="A45" s="21" t="s">
        <v>203</v>
      </c>
      <c r="B45" s="22" t="s">
        <v>103</v>
      </c>
      <c r="C45" s="54">
        <v>2.9163215790821257</v>
      </c>
      <c r="D45" s="54">
        <v>-34.648646100000001</v>
      </c>
      <c r="E45" s="54">
        <v>-5.8273834999999998</v>
      </c>
      <c r="F45" s="8" t="s">
        <v>15</v>
      </c>
      <c r="G45" s="52"/>
      <c r="O45" s="73"/>
      <c r="P45" s="73"/>
      <c r="Q45" s="73"/>
    </row>
    <row r="46" spans="1:17" x14ac:dyDescent="0.25">
      <c r="A46" s="5" t="s">
        <v>197</v>
      </c>
      <c r="B46" s="7" t="s">
        <v>106</v>
      </c>
      <c r="C46" s="55">
        <v>2.8757021755072469</v>
      </c>
      <c r="D46" s="55">
        <v>-23.102301570000002</v>
      </c>
      <c r="E46" s="55">
        <v>-0.63446749999999974</v>
      </c>
      <c r="F46" s="6" t="s">
        <v>17</v>
      </c>
      <c r="G46" s="52"/>
      <c r="O46" s="73"/>
      <c r="P46" s="73"/>
      <c r="Q46" s="73"/>
    </row>
    <row r="47" spans="1:17" x14ac:dyDescent="0.25">
      <c r="A47" s="21" t="s">
        <v>213</v>
      </c>
      <c r="B47" s="22" t="s">
        <v>130</v>
      </c>
      <c r="C47" s="54">
        <v>2.6499290556521742</v>
      </c>
      <c r="D47" s="54">
        <v>5.6055289999999998</v>
      </c>
      <c r="E47" s="54">
        <v>-0.117005</v>
      </c>
      <c r="F47" s="8" t="s">
        <v>160</v>
      </c>
      <c r="G47" s="52"/>
      <c r="O47" s="73"/>
      <c r="P47" s="73"/>
      <c r="Q47" s="73"/>
    </row>
    <row r="48" spans="1:17" x14ac:dyDescent="0.25">
      <c r="A48" s="5" t="s">
        <v>194</v>
      </c>
      <c r="B48" s="7" t="s">
        <v>95</v>
      </c>
      <c r="C48" s="55">
        <v>2.6393799471497581</v>
      </c>
      <c r="D48" s="55">
        <v>-53.407193999999997</v>
      </c>
      <c r="E48" s="55">
        <v>-1.611483</v>
      </c>
      <c r="F48" s="6" t="s">
        <v>17</v>
      </c>
      <c r="G48" s="52"/>
      <c r="O48" s="73"/>
      <c r="P48" s="73"/>
      <c r="Q48" s="73"/>
    </row>
    <row r="49" spans="1:17" x14ac:dyDescent="0.25">
      <c r="A49" s="21" t="s">
        <v>189</v>
      </c>
      <c r="B49" s="22" t="s">
        <v>94</v>
      </c>
      <c r="C49" s="54">
        <v>2.6209406280193241</v>
      </c>
      <c r="D49" s="54">
        <v>7.4609290000000001</v>
      </c>
      <c r="E49" s="54">
        <v>-0.1716145</v>
      </c>
      <c r="F49" s="8" t="s">
        <v>14</v>
      </c>
      <c r="G49" s="52"/>
      <c r="O49" s="73"/>
      <c r="P49" s="73"/>
      <c r="Q49" s="73"/>
    </row>
    <row r="50" spans="1:17" x14ac:dyDescent="0.25">
      <c r="A50" s="5" t="s">
        <v>202</v>
      </c>
      <c r="B50" s="7" t="s">
        <v>57</v>
      </c>
      <c r="C50" s="55">
        <v>2.436469707754493</v>
      </c>
      <c r="D50" s="55">
        <v>-9.2325930230999997</v>
      </c>
      <c r="E50" s="55">
        <v>4.9094379997000015</v>
      </c>
      <c r="F50" s="6" t="s">
        <v>11</v>
      </c>
      <c r="G50" s="52"/>
      <c r="O50" s="73"/>
      <c r="P50" s="73"/>
      <c r="Q50" s="73"/>
    </row>
    <row r="51" spans="1:17" x14ac:dyDescent="0.25">
      <c r="A51" s="21" t="s">
        <v>196</v>
      </c>
      <c r="B51" s="22" t="s">
        <v>117</v>
      </c>
      <c r="C51" s="54">
        <v>2.4153026144106282</v>
      </c>
      <c r="D51" s="54">
        <v>-6.0157690000000006</v>
      </c>
      <c r="E51" s="54">
        <v>-1.644191</v>
      </c>
      <c r="F51" s="8" t="s">
        <v>17</v>
      </c>
      <c r="G51" s="52"/>
      <c r="O51" s="73"/>
      <c r="P51" s="73"/>
      <c r="Q51" s="73"/>
    </row>
    <row r="52" spans="1:17" x14ac:dyDescent="0.25">
      <c r="A52" s="5" t="s">
        <v>201</v>
      </c>
      <c r="B52" s="7" t="s">
        <v>121</v>
      </c>
      <c r="C52" s="55">
        <v>2.4143341753623191</v>
      </c>
      <c r="D52" s="55">
        <v>-35.35078</v>
      </c>
      <c r="E52" s="55">
        <v>-8.3899720000000002</v>
      </c>
      <c r="F52" s="6" t="s">
        <v>17</v>
      </c>
      <c r="G52" s="52"/>
      <c r="O52" s="73"/>
      <c r="P52" s="73"/>
      <c r="Q52" s="73"/>
    </row>
    <row r="53" spans="1:17" x14ac:dyDescent="0.25">
      <c r="A53" s="21" t="s">
        <v>205</v>
      </c>
      <c r="B53" s="22" t="s">
        <v>118</v>
      </c>
      <c r="C53" s="54">
        <v>2.4052905914694689</v>
      </c>
      <c r="D53" s="54">
        <v>-1.5654190223999971</v>
      </c>
      <c r="E53" s="54">
        <v>1.56169900065</v>
      </c>
      <c r="F53" s="8" t="s">
        <v>17</v>
      </c>
      <c r="G53" s="52"/>
      <c r="O53" s="73"/>
      <c r="P53" s="73"/>
      <c r="Q53" s="73"/>
    </row>
    <row r="54" spans="1:17" x14ac:dyDescent="0.25">
      <c r="A54" s="5" t="s">
        <v>188</v>
      </c>
      <c r="B54" s="7" t="s">
        <v>120</v>
      </c>
      <c r="C54" s="55">
        <v>2.3993093478260867</v>
      </c>
      <c r="D54" s="55">
        <v>1.011012</v>
      </c>
      <c r="E54" s="55">
        <v>-0.2176795</v>
      </c>
      <c r="F54" s="6" t="s">
        <v>159</v>
      </c>
      <c r="G54" s="52"/>
      <c r="O54" s="73"/>
      <c r="P54" s="73"/>
      <c r="Q54" s="73"/>
    </row>
    <row r="55" spans="1:17" x14ac:dyDescent="0.25">
      <c r="A55" s="21" t="s">
        <v>224</v>
      </c>
      <c r="B55" s="22" t="s">
        <v>133</v>
      </c>
      <c r="C55" s="54">
        <v>2.3870010594202897</v>
      </c>
      <c r="D55" s="54">
        <v>10.1934495</v>
      </c>
      <c r="E55" s="54">
        <v>-0.57692600000000016</v>
      </c>
      <c r="F55" s="8" t="s">
        <v>14</v>
      </c>
      <c r="G55" s="52"/>
      <c r="O55" s="73"/>
      <c r="P55" s="73"/>
      <c r="Q55" s="73"/>
    </row>
    <row r="56" spans="1:17" x14ac:dyDescent="0.25">
      <c r="A56" s="5" t="s">
        <v>206</v>
      </c>
      <c r="B56" s="7" t="s">
        <v>90</v>
      </c>
      <c r="C56" s="55">
        <v>2.3476161342995172</v>
      </c>
      <c r="D56" s="55">
        <v>-26.398938999999999</v>
      </c>
      <c r="E56" s="55">
        <v>2.1957089999999999</v>
      </c>
      <c r="F56" s="6" t="s">
        <v>11</v>
      </c>
      <c r="G56" s="52"/>
      <c r="O56" s="73"/>
      <c r="P56" s="73"/>
      <c r="Q56" s="73"/>
    </row>
    <row r="57" spans="1:17" x14ac:dyDescent="0.25">
      <c r="A57" s="21" t="s">
        <v>208</v>
      </c>
      <c r="B57" s="22" t="s">
        <v>111</v>
      </c>
      <c r="C57" s="54">
        <v>2.3416044503381639</v>
      </c>
      <c r="D57" s="54">
        <v>30.604278499999999</v>
      </c>
      <c r="E57" s="54">
        <v>0.62184300000000003</v>
      </c>
      <c r="F57" s="8" t="s">
        <v>13</v>
      </c>
      <c r="G57" s="52"/>
      <c r="O57" s="73"/>
      <c r="P57" s="73"/>
      <c r="Q57" s="73"/>
    </row>
    <row r="58" spans="1:17" x14ac:dyDescent="0.25">
      <c r="A58" s="5" t="s">
        <v>239</v>
      </c>
      <c r="B58" s="7" t="s">
        <v>151</v>
      </c>
      <c r="C58" s="55">
        <v>2.2904164926280188</v>
      </c>
      <c r="D58" s="55">
        <v>-4.1351947999999998</v>
      </c>
      <c r="E58" s="55">
        <v>-0.68844469999999991</v>
      </c>
      <c r="F58" s="6" t="s">
        <v>16</v>
      </c>
      <c r="G58" s="52"/>
      <c r="O58" s="73"/>
      <c r="P58" s="73"/>
      <c r="Q58" s="73"/>
    </row>
    <row r="59" spans="1:17" x14ac:dyDescent="0.25">
      <c r="A59" s="21" t="s">
        <v>214</v>
      </c>
      <c r="B59" s="22" t="s">
        <v>132</v>
      </c>
      <c r="C59" s="54">
        <v>2.2654101526086952</v>
      </c>
      <c r="D59" s="54">
        <v>-13.0872855</v>
      </c>
      <c r="E59" s="54">
        <v>2.5150765000000002</v>
      </c>
      <c r="F59" s="8" t="s">
        <v>16</v>
      </c>
      <c r="G59" s="52"/>
      <c r="O59" s="73"/>
      <c r="P59" s="73"/>
      <c r="Q59" s="73"/>
    </row>
    <row r="60" spans="1:17" x14ac:dyDescent="0.25">
      <c r="A60" s="5" t="s">
        <v>195</v>
      </c>
      <c r="B60" s="7" t="s">
        <v>104</v>
      </c>
      <c r="C60" s="55">
        <v>2.0091072927536233</v>
      </c>
      <c r="D60" s="55">
        <v>-4.1208152999999994</v>
      </c>
      <c r="E60" s="55">
        <v>-0.41127440000000004</v>
      </c>
      <c r="F60" s="6" t="s">
        <v>159</v>
      </c>
      <c r="G60" s="52"/>
      <c r="O60" s="73"/>
      <c r="P60" s="73"/>
      <c r="Q60" s="73"/>
    </row>
    <row r="61" spans="1:17" x14ac:dyDescent="0.25">
      <c r="A61" s="21" t="s">
        <v>246</v>
      </c>
      <c r="B61" s="22" t="s">
        <v>247</v>
      </c>
      <c r="C61" s="54">
        <v>1.8559586159420292</v>
      </c>
      <c r="D61" s="54">
        <v>55.098126999999998</v>
      </c>
      <c r="E61" s="54">
        <v>0</v>
      </c>
      <c r="F61" s="8" t="s">
        <v>13</v>
      </c>
      <c r="G61" s="52"/>
      <c r="O61" s="73"/>
      <c r="P61" s="73"/>
      <c r="Q61" s="73"/>
    </row>
    <row r="62" spans="1:17" x14ac:dyDescent="0.25">
      <c r="A62" s="5" t="s">
        <v>221</v>
      </c>
      <c r="B62" s="7" t="s">
        <v>113</v>
      </c>
      <c r="C62" s="55">
        <v>1.8153028893719809</v>
      </c>
      <c r="D62" s="55">
        <v>-75.941993999999994</v>
      </c>
      <c r="E62" s="55">
        <v>-0.48599049999999999</v>
      </c>
      <c r="F62" s="6" t="s">
        <v>160</v>
      </c>
      <c r="G62" s="52"/>
      <c r="O62" s="73"/>
      <c r="P62" s="73"/>
      <c r="Q62" s="73"/>
    </row>
    <row r="63" spans="1:17" x14ac:dyDescent="0.25">
      <c r="A63" s="21" t="s">
        <v>199</v>
      </c>
      <c r="B63" s="22" t="s">
        <v>119</v>
      </c>
      <c r="C63" s="54">
        <v>1.732614763091787</v>
      </c>
      <c r="D63" s="54">
        <v>-28.6930725</v>
      </c>
      <c r="E63" s="54">
        <v>-2.6601620000000001</v>
      </c>
      <c r="F63" s="8" t="s">
        <v>17</v>
      </c>
      <c r="G63" s="52"/>
      <c r="O63" s="73"/>
      <c r="P63" s="73"/>
      <c r="Q63" s="73"/>
    </row>
    <row r="64" spans="1:17" x14ac:dyDescent="0.25">
      <c r="A64" s="5" t="s">
        <v>222</v>
      </c>
      <c r="B64" s="7" t="s">
        <v>96</v>
      </c>
      <c r="C64" s="55">
        <v>1.701415488888889</v>
      </c>
      <c r="D64" s="55">
        <v>-3.4659075000000001</v>
      </c>
      <c r="E64" s="55">
        <v>-0.65657799999999999</v>
      </c>
      <c r="F64" s="6" t="s">
        <v>11</v>
      </c>
      <c r="G64" s="52"/>
      <c r="O64" s="73"/>
      <c r="P64" s="73"/>
      <c r="Q64" s="73"/>
    </row>
    <row r="65" spans="1:17" x14ac:dyDescent="0.25">
      <c r="A65" s="21" t="s">
        <v>200</v>
      </c>
      <c r="B65" s="22" t="s">
        <v>116</v>
      </c>
      <c r="C65" s="54">
        <v>1.621811791027082</v>
      </c>
      <c r="D65" s="54">
        <v>-10.23916180242</v>
      </c>
      <c r="E65" s="54">
        <v>-0.58716550293000003</v>
      </c>
      <c r="F65" s="8" t="s">
        <v>10</v>
      </c>
      <c r="G65" s="52"/>
      <c r="O65" s="73"/>
      <c r="P65" s="73"/>
      <c r="Q65" s="73"/>
    </row>
    <row r="66" spans="1:17" x14ac:dyDescent="0.25">
      <c r="A66" s="5" t="s">
        <v>211</v>
      </c>
      <c r="B66" s="7" t="s">
        <v>112</v>
      </c>
      <c r="C66" s="55">
        <v>1.51175760531401</v>
      </c>
      <c r="D66" s="55">
        <v>6.2728820000000001</v>
      </c>
      <c r="E66" s="55">
        <v>0.92867999999999995</v>
      </c>
      <c r="F66" s="6" t="s">
        <v>11</v>
      </c>
      <c r="G66" s="52"/>
      <c r="O66" s="73"/>
      <c r="P66" s="73"/>
      <c r="Q66" s="73"/>
    </row>
    <row r="67" spans="1:17" x14ac:dyDescent="0.25">
      <c r="A67" s="21" t="s">
        <v>227</v>
      </c>
      <c r="B67" s="22" t="s">
        <v>131</v>
      </c>
      <c r="C67" s="54">
        <v>1.3519925114086959</v>
      </c>
      <c r="D67" s="54">
        <v>-7.8820586966799997</v>
      </c>
      <c r="E67" s="54">
        <v>0.5411989691600001</v>
      </c>
      <c r="F67" s="8" t="s">
        <v>17</v>
      </c>
      <c r="G67" s="52"/>
      <c r="O67" s="73"/>
      <c r="P67" s="73"/>
      <c r="Q67" s="73"/>
    </row>
    <row r="68" spans="1:17" x14ac:dyDescent="0.25">
      <c r="A68" s="5" t="s">
        <v>198</v>
      </c>
      <c r="B68" s="7" t="s">
        <v>149</v>
      </c>
      <c r="C68" s="55">
        <v>1.2550196193236711</v>
      </c>
      <c r="D68" s="55">
        <v>0.13458819999999969</v>
      </c>
      <c r="E68" s="55">
        <v>0.13890810000000001</v>
      </c>
      <c r="F68" s="6" t="s">
        <v>14</v>
      </c>
      <c r="G68" s="52"/>
      <c r="O68" s="73"/>
      <c r="P68" s="73"/>
      <c r="Q68" s="73"/>
    </row>
    <row r="69" spans="1:17" x14ac:dyDescent="0.25">
      <c r="A69" s="21" t="s">
        <v>217</v>
      </c>
      <c r="B69" s="22" t="s">
        <v>127</v>
      </c>
      <c r="C69" s="54">
        <v>1.2287890852173908</v>
      </c>
      <c r="D69" s="54">
        <v>-12.034936</v>
      </c>
      <c r="E69" s="54">
        <v>-0.98594599999999999</v>
      </c>
      <c r="F69" s="8" t="s">
        <v>17</v>
      </c>
      <c r="G69" s="52"/>
      <c r="O69" s="73"/>
      <c r="P69" s="73"/>
      <c r="Q69" s="73"/>
    </row>
    <row r="70" spans="1:17" x14ac:dyDescent="0.25">
      <c r="A70" s="5" t="s">
        <v>212</v>
      </c>
      <c r="B70" s="7" t="s">
        <v>129</v>
      </c>
      <c r="C70" s="55">
        <v>1.223502147342995</v>
      </c>
      <c r="D70" s="55">
        <v>7.7717150000000004</v>
      </c>
      <c r="E70" s="55">
        <v>-0.59913400000000006</v>
      </c>
      <c r="F70" s="6" t="s">
        <v>157</v>
      </c>
      <c r="G70" s="52"/>
      <c r="O70" s="73"/>
      <c r="P70" s="73"/>
      <c r="Q70" s="73"/>
    </row>
    <row r="71" spans="1:17" x14ac:dyDescent="0.25">
      <c r="A71" s="21" t="s">
        <v>244</v>
      </c>
      <c r="B71" s="22" t="s">
        <v>245</v>
      </c>
      <c r="C71" s="54">
        <v>1.1460020555555559</v>
      </c>
      <c r="D71" s="54">
        <v>4.6603289000000006</v>
      </c>
      <c r="E71" s="54">
        <v>-5.5858000000000005E-2</v>
      </c>
      <c r="F71" s="8" t="s">
        <v>159</v>
      </c>
      <c r="G71" s="52"/>
      <c r="O71" s="73"/>
      <c r="P71" s="73"/>
      <c r="Q71" s="73"/>
    </row>
    <row r="72" spans="1:17" x14ac:dyDescent="0.25">
      <c r="A72" s="5" t="s">
        <v>223</v>
      </c>
      <c r="B72" s="7" t="s">
        <v>125</v>
      </c>
      <c r="C72" s="55">
        <v>1.1389516714975849</v>
      </c>
      <c r="D72" s="55">
        <v>4.1698760000000004</v>
      </c>
      <c r="E72" s="55">
        <v>-0.126808</v>
      </c>
      <c r="F72" s="6" t="s">
        <v>160</v>
      </c>
      <c r="G72" s="52"/>
      <c r="O72" s="73"/>
      <c r="P72" s="73"/>
      <c r="Q72" s="73"/>
    </row>
    <row r="73" spans="1:17" x14ac:dyDescent="0.25">
      <c r="A73" s="21" t="s">
        <v>264</v>
      </c>
      <c r="B73" s="22" t="s">
        <v>265</v>
      </c>
      <c r="C73" s="54">
        <v>1.1198055495169079</v>
      </c>
      <c r="D73" s="54">
        <v>0.57168450000000004</v>
      </c>
      <c r="E73" s="54">
        <v>3.003E-3</v>
      </c>
      <c r="F73" s="8" t="s">
        <v>15</v>
      </c>
      <c r="G73" s="52"/>
      <c r="O73" s="73"/>
      <c r="P73" s="73"/>
      <c r="Q73" s="73"/>
    </row>
    <row r="74" spans="1:17" x14ac:dyDescent="0.25">
      <c r="A74" s="5" t="s">
        <v>216</v>
      </c>
      <c r="B74" s="7" t="s">
        <v>92</v>
      </c>
      <c r="C74" s="55">
        <v>1.1040913823980192</v>
      </c>
      <c r="D74" s="55">
        <v>-6.7150207171499989</v>
      </c>
      <c r="E74" s="55">
        <v>7.5903518100000136E-2</v>
      </c>
      <c r="F74" s="6" t="s">
        <v>14</v>
      </c>
      <c r="G74" s="52"/>
      <c r="O74" s="73"/>
      <c r="P74" s="73"/>
      <c r="Q74" s="73"/>
    </row>
    <row r="75" spans="1:17" x14ac:dyDescent="0.25">
      <c r="A75" s="21" t="s">
        <v>207</v>
      </c>
      <c r="B75" s="22" t="s">
        <v>143</v>
      </c>
      <c r="C75" s="54">
        <v>1.0906278154589371</v>
      </c>
      <c r="D75" s="54">
        <v>0.53290690000000007</v>
      </c>
      <c r="E75" s="54">
        <v>2.7773900000000001E-2</v>
      </c>
      <c r="F75" s="8" t="s">
        <v>160</v>
      </c>
      <c r="G75" s="52"/>
      <c r="O75" s="73"/>
      <c r="P75" s="73"/>
      <c r="Q75" s="73"/>
    </row>
    <row r="76" spans="1:17" x14ac:dyDescent="0.25">
      <c r="A76" s="5" t="s">
        <v>219</v>
      </c>
      <c r="B76" s="7" t="s">
        <v>93</v>
      </c>
      <c r="C76" s="55">
        <v>1.0822638683507728</v>
      </c>
      <c r="D76" s="55">
        <v>-10.714389273350001</v>
      </c>
      <c r="E76" s="55">
        <v>0.70524640575000019</v>
      </c>
      <c r="F76" s="6" t="s">
        <v>17</v>
      </c>
      <c r="G76" s="52"/>
      <c r="O76" s="73"/>
      <c r="P76" s="73"/>
      <c r="Q76" s="73"/>
    </row>
    <row r="77" spans="1:17" x14ac:dyDescent="0.25">
      <c r="A77" s="21" t="s">
        <v>235</v>
      </c>
      <c r="B77" s="22" t="s">
        <v>147</v>
      </c>
      <c r="C77" s="54">
        <v>1.045273367270531</v>
      </c>
      <c r="D77" s="54">
        <v>-2.1148335</v>
      </c>
      <c r="E77" s="54">
        <v>-4.0732999999999998E-2</v>
      </c>
      <c r="F77" s="8" t="s">
        <v>158</v>
      </c>
      <c r="G77" s="52"/>
      <c r="O77" s="73"/>
      <c r="P77" s="73"/>
      <c r="Q77" s="73"/>
    </row>
    <row r="78" spans="1:17" x14ac:dyDescent="0.25">
      <c r="A78" s="5" t="s">
        <v>236</v>
      </c>
      <c r="B78" s="7" t="s">
        <v>114</v>
      </c>
      <c r="C78" s="55">
        <v>1.042453802030457</v>
      </c>
      <c r="D78" s="55">
        <v>5.9155179999999987</v>
      </c>
      <c r="E78" s="55">
        <v>0</v>
      </c>
      <c r="F78" s="6" t="s">
        <v>10</v>
      </c>
      <c r="G78" s="52"/>
      <c r="O78" s="73"/>
      <c r="P78" s="73"/>
      <c r="Q78" s="73"/>
    </row>
    <row r="79" spans="1:17" x14ac:dyDescent="0.25">
      <c r="A79" s="21" t="s">
        <v>229</v>
      </c>
      <c r="B79" s="22" t="s">
        <v>126</v>
      </c>
      <c r="C79" s="54">
        <v>1.017243446859903</v>
      </c>
      <c r="D79" s="54">
        <v>3.0397500000000001E-2</v>
      </c>
      <c r="E79" s="54">
        <v>-0.61941550000000001</v>
      </c>
      <c r="F79" s="8" t="s">
        <v>17</v>
      </c>
      <c r="G79" s="52"/>
      <c r="O79" s="73"/>
      <c r="P79" s="73"/>
      <c r="Q79" s="73"/>
    </row>
    <row r="80" spans="1:17" x14ac:dyDescent="0.25">
      <c r="A80" s="5" t="s">
        <v>220</v>
      </c>
      <c r="B80" s="7" t="s">
        <v>138</v>
      </c>
      <c r="C80" s="55">
        <v>0.95873687383442507</v>
      </c>
      <c r="D80" s="55">
        <v>-0.58628302052000025</v>
      </c>
      <c r="E80" s="55">
        <v>0.4217814876</v>
      </c>
      <c r="F80" s="6" t="s">
        <v>17</v>
      </c>
      <c r="G80" s="52"/>
      <c r="O80" s="73"/>
      <c r="P80" s="73"/>
      <c r="Q80" s="73"/>
    </row>
    <row r="81" spans="1:17" x14ac:dyDescent="0.25">
      <c r="A81" s="21" t="s">
        <v>258</v>
      </c>
      <c r="B81" s="22" t="s">
        <v>257</v>
      </c>
      <c r="C81" s="54">
        <v>0.94303741062801938</v>
      </c>
      <c r="D81" s="54">
        <v>20.566126499999999</v>
      </c>
      <c r="E81" s="54">
        <v>3.0081500000000001E-2</v>
      </c>
      <c r="F81" s="8" t="s">
        <v>158</v>
      </c>
      <c r="G81" s="52"/>
      <c r="O81" s="73"/>
      <c r="P81" s="73"/>
      <c r="Q81" s="73"/>
    </row>
    <row r="82" spans="1:17" x14ac:dyDescent="0.25">
      <c r="A82" s="5" t="s">
        <v>231</v>
      </c>
      <c r="B82" s="7" t="s">
        <v>145</v>
      </c>
      <c r="C82" s="55">
        <v>0.88689222415458935</v>
      </c>
      <c r="D82" s="55">
        <v>5.0400289999999996</v>
      </c>
      <c r="E82" s="55">
        <v>0.26581100000000002</v>
      </c>
      <c r="F82" s="6" t="s">
        <v>158</v>
      </c>
      <c r="G82" s="52"/>
      <c r="O82" s="73"/>
      <c r="P82" s="73"/>
      <c r="Q82" s="73"/>
    </row>
    <row r="83" spans="1:17" x14ac:dyDescent="0.25">
      <c r="A83" s="21" t="s">
        <v>234</v>
      </c>
      <c r="B83" s="22" t="s">
        <v>156</v>
      </c>
      <c r="C83" s="54">
        <v>0.88169535700483093</v>
      </c>
      <c r="D83" s="54">
        <v>1.4237902</v>
      </c>
      <c r="E83" s="54">
        <v>0.59838379999999991</v>
      </c>
      <c r="F83" s="8" t="s">
        <v>14</v>
      </c>
      <c r="G83" s="52"/>
      <c r="O83" s="73"/>
      <c r="P83" s="73"/>
      <c r="Q83" s="73"/>
    </row>
    <row r="84" spans="1:17" x14ac:dyDescent="0.25">
      <c r="A84" s="5" t="s">
        <v>268</v>
      </c>
      <c r="B84" s="7" t="s">
        <v>152</v>
      </c>
      <c r="C84" s="55">
        <v>0.83533083236714978</v>
      </c>
      <c r="D84" s="55">
        <v>0.84325450000000002</v>
      </c>
      <c r="E84" s="55">
        <v>-5.7001000000000003E-2</v>
      </c>
      <c r="F84" s="6" t="s">
        <v>14</v>
      </c>
      <c r="G84" s="52"/>
      <c r="O84" s="73"/>
      <c r="P84" s="73"/>
      <c r="Q84" s="73"/>
    </row>
    <row r="85" spans="1:17" x14ac:dyDescent="0.25">
      <c r="A85" s="21" t="s">
        <v>237</v>
      </c>
      <c r="B85" s="22" t="s">
        <v>154</v>
      </c>
      <c r="C85" s="54">
        <v>0.79799459768115943</v>
      </c>
      <c r="D85" s="54">
        <v>-13.464521</v>
      </c>
      <c r="E85" s="54">
        <v>0.23385</v>
      </c>
      <c r="F85" s="8" t="s">
        <v>160</v>
      </c>
      <c r="G85" s="52"/>
      <c r="O85" s="73"/>
      <c r="P85" s="73"/>
      <c r="Q85" s="73"/>
    </row>
    <row r="86" spans="1:17" x14ac:dyDescent="0.25">
      <c r="A86" s="5" t="s">
        <v>218</v>
      </c>
      <c r="B86" s="7" t="s">
        <v>134</v>
      </c>
      <c r="C86" s="55">
        <v>0.79229563478260867</v>
      </c>
      <c r="D86" s="55">
        <v>-11.691971499999999</v>
      </c>
      <c r="E86" s="55">
        <v>-0.58839249999999998</v>
      </c>
      <c r="F86" s="6" t="s">
        <v>17</v>
      </c>
      <c r="G86" s="52"/>
      <c r="O86" s="73"/>
      <c r="P86" s="73"/>
      <c r="Q86" s="73"/>
    </row>
    <row r="87" spans="1:17" x14ac:dyDescent="0.25">
      <c r="A87" s="21" t="s">
        <v>226</v>
      </c>
      <c r="B87" s="22" t="s">
        <v>144</v>
      </c>
      <c r="C87" s="54">
        <v>0.7875331294685991</v>
      </c>
      <c r="D87" s="54">
        <v>2.1049505000000002</v>
      </c>
      <c r="E87" s="54">
        <v>-0.9130355</v>
      </c>
      <c r="F87" s="8" t="s">
        <v>17</v>
      </c>
      <c r="G87" s="52"/>
      <c r="O87" s="73"/>
      <c r="P87" s="73"/>
      <c r="Q87" s="73"/>
    </row>
    <row r="88" spans="1:17" x14ac:dyDescent="0.25">
      <c r="A88" s="5" t="s">
        <v>232</v>
      </c>
      <c r="B88" s="7" t="s">
        <v>122</v>
      </c>
      <c r="C88" s="55">
        <v>0.78528600434782614</v>
      </c>
      <c r="D88" s="55">
        <v>-1.2939965</v>
      </c>
      <c r="E88" s="55">
        <v>-0.2209084</v>
      </c>
      <c r="F88" s="6" t="s">
        <v>159</v>
      </c>
      <c r="G88" s="52"/>
      <c r="O88" s="73"/>
      <c r="P88" s="73"/>
      <c r="Q88" s="73"/>
    </row>
    <row r="89" spans="1:17" x14ac:dyDescent="0.25">
      <c r="A89" s="21" t="s">
        <v>228</v>
      </c>
      <c r="B89" s="22" t="s">
        <v>135</v>
      </c>
      <c r="C89" s="54">
        <v>0.77954044801932376</v>
      </c>
      <c r="D89" s="54">
        <v>-8.5304710000000004</v>
      </c>
      <c r="E89" s="54">
        <v>3.6427500000000002E-2</v>
      </c>
      <c r="F89" s="8" t="s">
        <v>17</v>
      </c>
      <c r="G89" s="52"/>
      <c r="O89" s="73"/>
      <c r="P89" s="73"/>
      <c r="Q89" s="73"/>
    </row>
    <row r="90" spans="1:17" x14ac:dyDescent="0.25">
      <c r="A90" s="5" t="s">
        <v>210</v>
      </c>
      <c r="B90" s="7" t="s">
        <v>136</v>
      </c>
      <c r="C90" s="55">
        <v>0.7730616555555555</v>
      </c>
      <c r="D90" s="55">
        <v>-3.7431114999999999</v>
      </c>
      <c r="E90" s="55">
        <v>-0.27162799999999998</v>
      </c>
      <c r="F90" s="6" t="s">
        <v>11</v>
      </c>
      <c r="G90" s="52"/>
      <c r="O90" s="73"/>
      <c r="P90" s="73"/>
      <c r="Q90" s="73"/>
    </row>
    <row r="91" spans="1:17" x14ac:dyDescent="0.25">
      <c r="A91" s="21" t="s">
        <v>215</v>
      </c>
      <c r="B91" s="22" t="s">
        <v>150</v>
      </c>
      <c r="C91" s="54">
        <v>0.77061649130434773</v>
      </c>
      <c r="D91" s="54">
        <v>-0.84505029999999992</v>
      </c>
      <c r="E91" s="54">
        <v>-6.9101999999999992E-3</v>
      </c>
      <c r="F91" s="8" t="s">
        <v>14</v>
      </c>
      <c r="G91" s="52"/>
      <c r="O91" s="73"/>
      <c r="P91" s="73"/>
      <c r="Q91" s="73"/>
    </row>
    <row r="92" spans="1:17" x14ac:dyDescent="0.25">
      <c r="A92" s="5" t="s">
        <v>225</v>
      </c>
      <c r="B92" s="7" t="s">
        <v>124</v>
      </c>
      <c r="C92" s="55">
        <v>0.73532368059768116</v>
      </c>
      <c r="D92" s="55">
        <v>5.1020063047999997</v>
      </c>
      <c r="E92" s="55">
        <v>-8.134185716999999E-2</v>
      </c>
      <c r="F92" s="6" t="s">
        <v>17</v>
      </c>
      <c r="G92" s="52"/>
      <c r="O92" s="73"/>
      <c r="P92" s="73"/>
      <c r="Q92" s="73"/>
    </row>
    <row r="93" spans="1:17" x14ac:dyDescent="0.25">
      <c r="A93" s="21" t="s">
        <v>269</v>
      </c>
      <c r="B93" s="22" t="s">
        <v>267</v>
      </c>
      <c r="C93" s="54">
        <v>0.67480382173913045</v>
      </c>
      <c r="D93" s="54">
        <v>11.494177199999999</v>
      </c>
      <c r="E93" s="54">
        <v>2.7758595000000001</v>
      </c>
      <c r="F93" s="8" t="s">
        <v>14</v>
      </c>
      <c r="G93" s="52"/>
      <c r="O93" s="73"/>
      <c r="P93" s="73"/>
      <c r="Q93" s="73"/>
    </row>
    <row r="94" spans="1:17" x14ac:dyDescent="0.25">
      <c r="A94" s="5" t="s">
        <v>252</v>
      </c>
      <c r="B94" s="7" t="s">
        <v>251</v>
      </c>
      <c r="C94" s="55">
        <v>0.66925455192546579</v>
      </c>
      <c r="D94" s="55">
        <v>-6.0680794999999996</v>
      </c>
      <c r="E94" s="55">
        <v>-6.5070000000000003E-2</v>
      </c>
      <c r="F94" s="6" t="s">
        <v>14</v>
      </c>
      <c r="G94" s="52"/>
      <c r="O94" s="73"/>
      <c r="P94" s="73"/>
      <c r="Q94" s="73"/>
    </row>
    <row r="95" spans="1:17" x14ac:dyDescent="0.25">
      <c r="A95" s="21" t="s">
        <v>240</v>
      </c>
      <c r="B95" s="22" t="s">
        <v>155</v>
      </c>
      <c r="C95" s="54">
        <v>0.57636586714975846</v>
      </c>
      <c r="D95" s="54">
        <v>8.7595270000000003</v>
      </c>
      <c r="E95" s="54">
        <v>-0.37987700000000002</v>
      </c>
      <c r="F95" s="8" t="s">
        <v>14</v>
      </c>
      <c r="G95" s="52"/>
      <c r="O95" s="73"/>
      <c r="P95" s="73"/>
      <c r="Q95" s="73"/>
    </row>
    <row r="96" spans="1:17" x14ac:dyDescent="0.25">
      <c r="A96" s="5" t="s">
        <v>259</v>
      </c>
      <c r="B96" s="7" t="s">
        <v>260</v>
      </c>
      <c r="C96" s="55">
        <v>0.55167556038647347</v>
      </c>
      <c r="D96" s="55">
        <v>-10.040596000000001</v>
      </c>
      <c r="E96" s="55">
        <v>-0.51644800000000002</v>
      </c>
      <c r="F96" s="6" t="s">
        <v>17</v>
      </c>
      <c r="G96" s="52"/>
      <c r="O96" s="73"/>
      <c r="P96" s="73"/>
      <c r="Q96" s="73"/>
    </row>
    <row r="97" spans="1:17" x14ac:dyDescent="0.25">
      <c r="A97" s="21" t="s">
        <v>230</v>
      </c>
      <c r="B97" s="22" t="s">
        <v>86</v>
      </c>
      <c r="C97" s="54">
        <v>0.53787850241545887</v>
      </c>
      <c r="D97" s="54">
        <v>-0.19091849999999999</v>
      </c>
      <c r="E97" s="54">
        <v>-0.14028399999999999</v>
      </c>
      <c r="F97" s="8" t="s">
        <v>11</v>
      </c>
      <c r="G97" s="52"/>
      <c r="O97" s="73"/>
      <c r="P97" s="73"/>
      <c r="Q97" s="73"/>
    </row>
    <row r="98" spans="1:17" x14ac:dyDescent="0.25">
      <c r="A98" s="5" t="s">
        <v>238</v>
      </c>
      <c r="B98" s="7" t="s">
        <v>137</v>
      </c>
      <c r="C98" s="55">
        <v>0.511980906763285</v>
      </c>
      <c r="D98" s="55">
        <v>-10.414424</v>
      </c>
      <c r="E98" s="55">
        <v>-3.2535000000000001E-2</v>
      </c>
      <c r="F98" s="6" t="s">
        <v>11</v>
      </c>
      <c r="G98" s="52"/>
      <c r="O98" s="73"/>
      <c r="P98" s="73"/>
      <c r="Q98" s="73"/>
    </row>
    <row r="99" spans="1:17" x14ac:dyDescent="0.25">
      <c r="A99" s="21" t="s">
        <v>261</v>
      </c>
      <c r="B99" s="22" t="s">
        <v>262</v>
      </c>
      <c r="C99" s="54">
        <v>0.50834637681159422</v>
      </c>
      <c r="D99" s="54">
        <v>-7.9813964999999998</v>
      </c>
      <c r="E99" s="54">
        <v>0.97889649999999995</v>
      </c>
      <c r="F99" s="8" t="s">
        <v>16</v>
      </c>
      <c r="G99" s="52"/>
      <c r="O99" s="73"/>
      <c r="P99" s="73"/>
      <c r="Q99" s="73"/>
    </row>
    <row r="100" spans="1:17" x14ac:dyDescent="0.25">
      <c r="A100" s="5" t="s">
        <v>233</v>
      </c>
      <c r="B100" s="7" t="s">
        <v>153</v>
      </c>
      <c r="C100" s="55">
        <v>0.47316347004830916</v>
      </c>
      <c r="D100" s="55">
        <v>-1.1765099999999999</v>
      </c>
      <c r="E100" s="55">
        <v>-0.17996799999999999</v>
      </c>
      <c r="F100" s="6" t="s">
        <v>14</v>
      </c>
      <c r="G100" s="52"/>
      <c r="O100" s="73"/>
      <c r="P100" s="73"/>
      <c r="Q100" s="73"/>
    </row>
    <row r="101" spans="1:17" x14ac:dyDescent="0.25">
      <c r="A101" s="75" t="s">
        <v>254</v>
      </c>
      <c r="B101" s="76" t="s">
        <v>253</v>
      </c>
      <c r="C101" s="77">
        <v>0.44891741545893715</v>
      </c>
      <c r="D101" s="77">
        <v>-1.2677366000000001</v>
      </c>
      <c r="E101" s="77">
        <v>-8.7790999999999998E-3</v>
      </c>
      <c r="F101" s="9" t="s">
        <v>14</v>
      </c>
      <c r="G101" s="52"/>
      <c r="O101" s="73"/>
      <c r="P101" s="73"/>
      <c r="Q101" s="73"/>
    </row>
    <row r="102" spans="1:17" x14ac:dyDescent="0.25">
      <c r="A102" s="45"/>
      <c r="B102" s="10"/>
      <c r="C102" s="10"/>
      <c r="D102" s="10"/>
      <c r="E102" s="10"/>
      <c r="F102" s="46"/>
    </row>
    <row r="105" spans="1:17" x14ac:dyDescent="0.25">
      <c r="A105" s="11" t="s">
        <v>80</v>
      </c>
    </row>
    <row r="106" spans="1:17" x14ac:dyDescent="0.25">
      <c r="A106" s="11" t="s">
        <v>141</v>
      </c>
    </row>
    <row r="107" spans="1:17" x14ac:dyDescent="0.25">
      <c r="A107" s="11" t="s">
        <v>140</v>
      </c>
    </row>
    <row r="108" spans="1:17" x14ac:dyDescent="0.25">
      <c r="A108" s="11" t="s">
        <v>146</v>
      </c>
    </row>
    <row r="109" spans="1:17" x14ac:dyDescent="0.25">
      <c r="A109" s="11" t="s">
        <v>73</v>
      </c>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6 B38"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Grace Lam</cp:lastModifiedBy>
  <cp:lastPrinted>2024-07-01T01:26:22Z</cp:lastPrinted>
  <dcterms:created xsi:type="dcterms:W3CDTF">2020-01-13T01:31:10Z</dcterms:created>
  <dcterms:modified xsi:type="dcterms:W3CDTF">2024-10-28T02:52:00Z</dcterms:modified>
</cp:coreProperties>
</file>