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1D2DA71-3BA3-4E44-A870-548BCF99C19D}"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2" l="1"/>
  <c r="A6" i="3" l="1"/>
  <c r="A1" i="5" l="1"/>
  <c r="C32" i="4" l="1"/>
  <c r="D32" i="4"/>
  <c r="A1" i="4" l="1"/>
  <c r="C18" i="1" l="1"/>
  <c r="F18" i="1" s="1"/>
  <c r="F5" i="1"/>
</calcChain>
</file>

<file path=xl/sharedStrings.xml><?xml version="1.0" encoding="utf-8"?>
<sst xmlns="http://schemas.openxmlformats.org/spreadsheetml/2006/main" count="520" uniqueCount="279">
  <si>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</si>
  <si>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</si>
  <si>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</si>
  <si>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</si>
  <si>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</si>
  <si>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</si>
  <si>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</si>
  <si>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</si>
  <si>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</si>
  <si>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</si>
  <si>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</si>
  <si>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</si>
  <si>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</si>
  <si>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</si>
  <si>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</si>
  <si>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</si>
  <si>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</si>
  <si>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</si>
  <si>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</si>
  <si>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</si>
  <si>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</si>
  <si>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</si>
  <si>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</si>
  <si>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</si>
  <si>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</si>
  <si>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</si>
  <si>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</si>
  <si>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</si>
  <si>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</si>
  <si>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</si>
  <si>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</si>
  <si>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</si>
  <si>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</si>
  <si>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</si>
  <si>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</si>
  <si>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</si>
  <si>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</si>
  <si>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</si>
  <si>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</si>
  <si>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</si>
  <si>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</si>
  <si>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</si>
  <si>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</si>
  <si>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</si>
  <si>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</si>
  <si>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</si>
  <si>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</si>
  <si>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</si>
  <si>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</si>
  <si>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</si>
  <si>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</si>
  <si>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</si>
  <si>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</si>
  <si>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</si>
  <si>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</si>
  <si>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</si>
  <si>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</si>
  <si>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</si>
  <si>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</si>
  <si>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</si>
  <si>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</si>
  <si>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</si>
  <si>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</si>
  <si>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</si>
  <si>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</si>
  <si>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</si>
  <si>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</si>
  <si>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</si>
  <si>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</si>
  <si>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</si>
  <si>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</si>
  <si>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</si>
  <si>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</si>
  <si>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</si>
  <si>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</si>
  <si>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</si>
  <si>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</si>
  <si>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</si>
  <si>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</si>
  <si>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</si>
  <si>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</si>
  <si>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</si>
  <si>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</si>
  <si>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</si>
  <si>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</si>
  <si>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</si>
  <si>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</si>
  <si>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</si>
  <si>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</si>
  <si>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</si>
  <si>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</si>
  <si>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</si>
  <si>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</si>
  <si>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</si>
  <si>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</si>
  <si>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</si>
  <si>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</si>
  <si>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</si>
  <si>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</si>
  <si>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</si>
  <si>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</si>
  <si>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</si>
  <si>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</si>
  <si>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</si>
  <si>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</si>
  <si>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</si>
  <si>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</si>
  <si>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</si>
  <si>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</si>
  <si>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</si>
  <si>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</si>
  <si>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</si>
  <si>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</si>
  <si>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</si>
  <si>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</si>
  <si>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</si>
  <si>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</si>
  <si>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</si>
  <si>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</si>
  <si>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</si>
  <si>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</si>
  <si>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</si>
  <si>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</si>
  <si>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</si>
  <si>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</si>
  <si>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</si>
  <si>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</si>
  <si>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</si>
  <si>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</si>
  <si>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</si>
  <si>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</si>
  <si>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</si>
  <si>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</si>
  <si>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</si>
  <si>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</si>
  <si>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</si>
  <si>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</si>
  <si>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</si>
  <si>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</si>
  <si>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</si>
  <si>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</si>
  <si>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</si>
  <si>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</si>
  <si>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</si>
  <si>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</si>
  <si>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</si>
  <si>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</si>
  <si>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</si>
  <si>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</si>
  <si>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</si>
  <si>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</si>
  <si>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</si>
  <si>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</si>
  <si>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</si>
  <si>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</si>
  <si>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</si>
  <si>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</si>
  <si>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</si>
  <si>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</si>
  <si>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</si>
  <si>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</si>
  <si>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</si>
  <si>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</si>
  <si>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</si>
  <si>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</si>
  <si>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</si>
  <si>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</si>
  <si>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</si>
  <si>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</si>
  <si>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</si>
  <si>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</si>
  <si>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</si>
  <si>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</si>
  <si>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</si>
  <si>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</si>
  <si>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</si>
  <si>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</si>
  <si>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</si>
  <si>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</si>
  <si>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</si>
  <si>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</si>
  <si>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</si>
  <si>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</si>
  <si>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</si>
  <si>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</si>
  <si>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</si>
  <si>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</si>
  <si>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</si>
  <si>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</si>
  <si>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</si>
  <si>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</si>
  <si>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</si>
  <si>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</si>
  <si>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</si>
  <si>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</si>
  <si>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</si>
  <si>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</si>
  <si>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</si>
  <si>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</si>
  <si>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</si>
  <si>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</si>
  <si>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</si>
  <si>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</si>
  <si>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</si>
  <si>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</si>
  <si>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</si>
  <si>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</si>
  <si>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</si>
  <si>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</si>
  <si>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</si>
  <si>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</si>
  <si>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</si>
  <si>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</si>
  <si>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</si>
  <si>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</si>
  <si>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</si>
  <si>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</si>
  <si>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</si>
  <si>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</si>
  <si>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</si>
  <si>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</si>
  <si>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</si>
  <si>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</si>
  <si>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</si>
  <si>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</si>
  <si>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</si>
  <si>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</si>
  <si>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</si>
  <si>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</si>
  <si>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</si>
  <si>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</si>
  <si>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</si>
  <si>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</si>
  <si>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</si>
  <si>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</si>
  <si>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</si>
  <si>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</si>
  <si>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</si>
  <si>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</si>
  <si>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</si>
  <si>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</si>
  <si>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</si>
  <si>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</si>
  <si>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</si>
  <si>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</si>
  <si>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</si>
  <si>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</si>
  <si>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</si>
  <si>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</si>
  <si>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</si>
  <si>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</si>
  <si>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</si>
  <si>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</si>
  <si>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</si>
  <si>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</si>
  <si>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</si>
  <si>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</si>
  <si>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</si>
  <si>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</si>
  <si>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</si>
  <si>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</si>
  <si>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</si>
  <si>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</si>
  <si>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</si>
  <si>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</si>
  <si>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</si>
  <si>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</si>
  <si>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iFast Corporation</t>
  </si>
  <si>
    <t>Japfa</t>
  </si>
  <si>
    <t>UD2</t>
  </si>
  <si>
    <t>AEM Holdings</t>
  </si>
  <si>
    <t>Week of 27 November 2023</t>
  </si>
  <si>
    <r>
      <t>Institutional investors net</t>
    </r>
    <r>
      <rPr>
        <b/>
        <sz val="11"/>
        <rFont val="Arial"/>
        <family val="2"/>
      </rPr>
      <t xml:space="preserve"> sell</t>
    </r>
    <r>
      <rPr>
        <sz val="11"/>
        <rFont val="Arial"/>
        <family val="2"/>
      </rPr>
      <t xml:space="preserve"> (-S$100.3m) vs. (-S$227.6m) a week ago</t>
    </r>
  </si>
  <si>
    <r>
      <t>Retail investors net</t>
    </r>
    <r>
      <rPr>
        <b/>
        <sz val="11"/>
        <rFont val="Arial"/>
        <family val="2"/>
      </rPr>
      <t xml:space="preserve"> buy</t>
    </r>
    <r>
      <rPr>
        <sz val="11"/>
        <rFont val="Arial"/>
        <family val="2"/>
      </rPr>
      <t xml:space="preserve"> (+S$109.6m) vs. (+S$229.0m) a week ago</t>
    </r>
  </si>
  <si>
    <t xml:space="preserve">Hongkong Land </t>
  </si>
  <si>
    <t xml:space="preserve">Sembcorp Industries </t>
  </si>
  <si>
    <t xml:space="preserve">Seatrium </t>
  </si>
  <si>
    <t>Lendlease Global Commercial REIT</t>
  </si>
  <si>
    <t>Keppel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</si>
</sst>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271</v>
      </c>
    </row>
    <row r="2" spans="1:13" x14ac:dyDescent="0.25">
      <c r="A2" s="56" t="s">
        <v>272</v>
      </c>
    </row>
    <row r="3" spans="1:13" x14ac:dyDescent="0.25">
      <c r="A3" s="56" t="s">
        <v>273</v>
      </c>
    </row>
    <row r="5" spans="1:13" ht="29.25" customHeight="1" x14ac:dyDescent="0.25">
      <c r="A5" s="3" t="s">
        <v>0</v>
      </c>
      <c r="B5" s="3" t="s">
        <v>1</v>
      </c>
      <c r="C5" s="4" t="s">
        <v>271</v>
      </c>
      <c r="D5" s="45" t="s">
        <v>2</v>
      </c>
      <c r="E5" s="45" t="s">
        <v>1</v>
      </c>
      <c r="F5" s="57" t="str">
        <f>+C5</f>
        <v>Week of 27 November 2023</v>
      </c>
    </row>
    <row r="6" spans="1:13" ht="14.4" x14ac:dyDescent="0.3">
      <c r="A6" s="41" t="s">
        <v>35</v>
      </c>
      <c r="B6" s="39" t="s">
        <v>33</v>
      </c>
      <c r="C6" s="7">
        <v>41.600152999999999</v>
      </c>
      <c r="D6" s="41" t="s">
        <v>27</v>
      </c>
      <c r="E6" s="39" t="s">
        <v>22</v>
      </c>
      <c r="F6" s="7">
        <v>-61.540599</v>
      </c>
      <c r="K6" s="53"/>
      <c r="L6"/>
      <c r="M6"/>
    </row>
    <row r="7" spans="1:13" ht="14.4" x14ac:dyDescent="0.3">
      <c r="A7" s="42" t="s">
        <v>92</v>
      </c>
      <c r="B7" s="11" t="s">
        <v>26</v>
      </c>
      <c r="C7" s="9">
        <v>41.060212999999997</v>
      </c>
      <c r="D7" s="42" t="s">
        <v>28</v>
      </c>
      <c r="E7" s="11" t="s">
        <v>23</v>
      </c>
      <c r="F7" s="9">
        <v>-57.997835000000002</v>
      </c>
      <c r="K7" s="53"/>
      <c r="L7"/>
      <c r="M7"/>
    </row>
    <row r="8" spans="1:13" ht="14.4" x14ac:dyDescent="0.3">
      <c r="A8" s="43" t="s">
        <v>51</v>
      </c>
      <c r="B8" s="39" t="s">
        <v>49</v>
      </c>
      <c r="C8" s="7">
        <v>28.17358909999999</v>
      </c>
      <c r="D8" s="43" t="s">
        <v>81</v>
      </c>
      <c r="E8" s="39" t="s">
        <v>58</v>
      </c>
      <c r="F8" s="7">
        <v>-32.228166999999999</v>
      </c>
      <c r="K8" s="53"/>
      <c r="L8"/>
      <c r="M8"/>
    </row>
    <row r="9" spans="1:13" ht="14.4" x14ac:dyDescent="0.3">
      <c r="A9" s="42" t="s">
        <v>42</v>
      </c>
      <c r="B9" s="11" t="s">
        <v>40</v>
      </c>
      <c r="C9" s="9">
        <v>7.6521790000000003</v>
      </c>
      <c r="D9" s="42" t="s">
        <v>29</v>
      </c>
      <c r="E9" s="11" t="s">
        <v>24</v>
      </c>
      <c r="F9" s="9">
        <v>-17.57424348</v>
      </c>
      <c r="K9" s="53"/>
      <c r="L9"/>
      <c r="M9"/>
    </row>
    <row r="10" spans="1:13" ht="14.4" x14ac:dyDescent="0.3">
      <c r="A10" s="43" t="s">
        <v>267</v>
      </c>
      <c r="B10" s="39" t="s">
        <v>134</v>
      </c>
      <c r="C10" s="7">
        <v>7.5535500000000004</v>
      </c>
      <c r="D10" s="43" t="s">
        <v>276</v>
      </c>
      <c r="E10" s="39" t="s">
        <v>93</v>
      </c>
      <c r="F10" s="7">
        <v>-14.603415500000001</v>
      </c>
      <c r="K10" s="53"/>
      <c r="L10"/>
      <c r="M10"/>
    </row>
    <row r="11" spans="1:13" ht="14.4" x14ac:dyDescent="0.3">
      <c r="A11" s="42" t="s">
        <v>274</v>
      </c>
      <c r="B11" s="11" t="s">
        <v>57</v>
      </c>
      <c r="C11" s="9">
        <v>6.1782861227000039</v>
      </c>
      <c r="D11" s="42" t="s">
        <v>62</v>
      </c>
      <c r="E11" s="11" t="s">
        <v>53</v>
      </c>
      <c r="F11" s="9">
        <v>-12.420302</v>
      </c>
      <c r="K11" s="53"/>
      <c r="L11"/>
      <c r="M11"/>
    </row>
    <row r="12" spans="1:13" ht="14.4" x14ac:dyDescent="0.3">
      <c r="A12" s="43" t="s">
        <v>275</v>
      </c>
      <c r="B12" s="39" t="s">
        <v>44</v>
      </c>
      <c r="C12" s="7">
        <v>4.9449100000000001</v>
      </c>
      <c r="D12" s="43" t="s">
        <v>67</v>
      </c>
      <c r="E12" s="39" t="s">
        <v>61</v>
      </c>
      <c r="F12" s="7">
        <v>-10.790452</v>
      </c>
      <c r="K12" s="53"/>
      <c r="L12"/>
      <c r="M12"/>
    </row>
    <row r="13" spans="1:13" ht="14.4" x14ac:dyDescent="0.3">
      <c r="A13" s="42" t="s">
        <v>48</v>
      </c>
      <c r="B13" s="11" t="s">
        <v>45</v>
      </c>
      <c r="C13" s="9">
        <v>4.7888210000000004</v>
      </c>
      <c r="D13" s="42" t="s">
        <v>88</v>
      </c>
      <c r="E13" s="11" t="s">
        <v>87</v>
      </c>
      <c r="F13" s="9">
        <v>-9.0252110000000023</v>
      </c>
      <c r="K13" s="53"/>
      <c r="L13"/>
      <c r="M13"/>
    </row>
    <row r="14" spans="1:13" ht="14.4" x14ac:dyDescent="0.3">
      <c r="A14" s="43" t="s">
        <v>65</v>
      </c>
      <c r="B14" s="39" t="s">
        <v>56</v>
      </c>
      <c r="C14" s="7">
        <v>3.719808</v>
      </c>
      <c r="D14" s="43" t="s">
        <v>30</v>
      </c>
      <c r="E14" s="39" t="s">
        <v>25</v>
      </c>
      <c r="F14" s="7">
        <v>-7.7932030000000001</v>
      </c>
      <c r="K14" s="53"/>
      <c r="L14"/>
      <c r="M14"/>
    </row>
    <row r="15" spans="1:13" ht="14.4" x14ac:dyDescent="0.3">
      <c r="A15" s="44" t="s">
        <v>34</v>
      </c>
      <c r="B15" s="40" t="s">
        <v>32</v>
      </c>
      <c r="C15" s="10">
        <v>3.4503740000000001</v>
      </c>
      <c r="D15" s="44" t="s">
        <v>52</v>
      </c>
      <c r="E15" s="40" t="s">
        <v>50</v>
      </c>
      <c r="F15" s="10">
        <v>-6.5993979999999999</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27 November 2023</v>
      </c>
      <c r="D18" s="5" t="s">
        <v>4</v>
      </c>
      <c r="E18" s="45" t="s">
        <v>1</v>
      </c>
      <c r="F18" s="57" t="str">
        <f>+C18</f>
        <v>Week of 27 November 2023</v>
      </c>
    </row>
    <row r="19" spans="1:13" ht="14.4" x14ac:dyDescent="0.3">
      <c r="A19" s="41" t="s">
        <v>27</v>
      </c>
      <c r="B19" s="39" t="s">
        <v>22</v>
      </c>
      <c r="C19" s="7">
        <v>50.404204999999997</v>
      </c>
      <c r="D19" s="41" t="s">
        <v>35</v>
      </c>
      <c r="E19" s="39" t="s">
        <v>33</v>
      </c>
      <c r="F19" s="7">
        <v>-36.000450000000001</v>
      </c>
      <c r="H19"/>
      <c r="I19" s="46"/>
      <c r="K19" s="53"/>
      <c r="L19"/>
      <c r="M19"/>
    </row>
    <row r="20" spans="1:13" ht="14.4" x14ac:dyDescent="0.3">
      <c r="A20" s="42" t="s">
        <v>28</v>
      </c>
      <c r="B20" s="11" t="s">
        <v>23</v>
      </c>
      <c r="C20" s="9">
        <v>33.194369000000002</v>
      </c>
      <c r="D20" s="42" t="s">
        <v>267</v>
      </c>
      <c r="E20" s="11" t="s">
        <v>134</v>
      </c>
      <c r="F20" s="9">
        <v>-11.519734</v>
      </c>
      <c r="H20"/>
      <c r="I20" s="46"/>
      <c r="K20" s="53"/>
      <c r="L20"/>
      <c r="M20"/>
    </row>
    <row r="21" spans="1:13" ht="14.4" x14ac:dyDescent="0.3">
      <c r="A21" s="43" t="s">
        <v>276</v>
      </c>
      <c r="B21" s="39" t="s">
        <v>93</v>
      </c>
      <c r="C21" s="7">
        <v>23.621386399999999</v>
      </c>
      <c r="D21" s="43" t="s">
        <v>92</v>
      </c>
      <c r="E21" s="39" t="s">
        <v>26</v>
      </c>
      <c r="F21" s="7">
        <v>-8.3175249999999998</v>
      </c>
      <c r="H21"/>
      <c r="I21" s="46"/>
      <c r="K21" s="53"/>
      <c r="L21"/>
      <c r="M21"/>
    </row>
    <row r="22" spans="1:13" ht="14.4" x14ac:dyDescent="0.3">
      <c r="A22" s="42" t="s">
        <v>62</v>
      </c>
      <c r="B22" s="11" t="s">
        <v>53</v>
      </c>
      <c r="C22" s="9">
        <v>17.410359499999998</v>
      </c>
      <c r="D22" s="42" t="s">
        <v>51</v>
      </c>
      <c r="E22" s="11" t="s">
        <v>49</v>
      </c>
      <c r="F22" s="9">
        <v>-6.6288185000000004</v>
      </c>
      <c r="H22"/>
      <c r="I22" s="46"/>
      <c r="K22" s="53"/>
      <c r="L22"/>
      <c r="M22"/>
    </row>
    <row r="23" spans="1:13" ht="14.4" x14ac:dyDescent="0.3">
      <c r="A23" s="43" t="s">
        <v>67</v>
      </c>
      <c r="B23" s="39" t="s">
        <v>61</v>
      </c>
      <c r="C23" s="7">
        <v>8.1124349999999996</v>
      </c>
      <c r="D23" s="43" t="s">
        <v>34</v>
      </c>
      <c r="E23" s="39" t="s">
        <v>32</v>
      </c>
      <c r="F23" s="7">
        <v>-5.6462440000000003</v>
      </c>
      <c r="H23"/>
      <c r="I23" s="58"/>
      <c r="K23" s="53"/>
      <c r="L23"/>
      <c r="M23"/>
    </row>
    <row r="24" spans="1:13" ht="14.4" x14ac:dyDescent="0.3">
      <c r="A24" s="42" t="s">
        <v>270</v>
      </c>
      <c r="B24" s="11" t="s">
        <v>95</v>
      </c>
      <c r="C24" s="9">
        <v>6.9064969999999999</v>
      </c>
      <c r="D24" s="42" t="s">
        <v>275</v>
      </c>
      <c r="E24" s="11" t="s">
        <v>44</v>
      </c>
      <c r="F24" s="9">
        <v>-5.1041059999999998</v>
      </c>
      <c r="H24"/>
      <c r="I24" s="46"/>
      <c r="K24" s="53"/>
      <c r="L24"/>
      <c r="M24"/>
    </row>
    <row r="25" spans="1:13" ht="14.4" x14ac:dyDescent="0.3">
      <c r="A25" s="43" t="s">
        <v>88</v>
      </c>
      <c r="B25" s="39" t="s">
        <v>87</v>
      </c>
      <c r="C25" s="7">
        <v>6.7959740000000002</v>
      </c>
      <c r="D25" s="43" t="s">
        <v>48</v>
      </c>
      <c r="E25" s="39" t="s">
        <v>45</v>
      </c>
      <c r="F25" s="7">
        <v>-2.756122</v>
      </c>
      <c r="H25"/>
      <c r="I25" s="46"/>
      <c r="K25" s="53"/>
      <c r="L25"/>
      <c r="M25"/>
    </row>
    <row r="26" spans="1:13" ht="14.4" x14ac:dyDescent="0.3">
      <c r="A26" s="42" t="s">
        <v>29</v>
      </c>
      <c r="B26" s="11" t="s">
        <v>24</v>
      </c>
      <c r="C26" s="9">
        <v>3.762184</v>
      </c>
      <c r="D26" s="42" t="s">
        <v>277</v>
      </c>
      <c r="E26" s="11" t="s">
        <v>116</v>
      </c>
      <c r="F26" s="9">
        <v>-2.5425995000000001</v>
      </c>
      <c r="H26"/>
      <c r="I26" s="46"/>
      <c r="K26" s="53"/>
      <c r="L26"/>
      <c r="M26"/>
    </row>
    <row r="27" spans="1:13" ht="14.4" x14ac:dyDescent="0.3">
      <c r="A27" s="43" t="s">
        <v>274</v>
      </c>
      <c r="B27" s="39" t="s">
        <v>57</v>
      </c>
      <c r="C27" s="7">
        <v>3.6735162505000001</v>
      </c>
      <c r="D27" s="43" t="s">
        <v>42</v>
      </c>
      <c r="E27" s="39" t="s">
        <v>40</v>
      </c>
      <c r="F27" s="7">
        <v>-2.2720210000000001</v>
      </c>
      <c r="H27"/>
      <c r="I27" s="46"/>
      <c r="K27" s="53"/>
      <c r="L27"/>
      <c r="M27"/>
    </row>
    <row r="28" spans="1:13" ht="14.4" x14ac:dyDescent="0.3">
      <c r="A28" s="44" t="s">
        <v>41</v>
      </c>
      <c r="B28" s="40" t="s">
        <v>39</v>
      </c>
      <c r="C28" s="10">
        <v>3.3150089999999999</v>
      </c>
      <c r="D28" s="44" t="s">
        <v>278</v>
      </c>
      <c r="E28" s="40" t="s">
        <v>109</v>
      </c>
      <c r="F28" s="10">
        <v>-2.0467909999999998</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6" t="s">
        <v>244</v>
      </c>
      <c r="B40" s="66"/>
      <c r="C40" s="66"/>
      <c r="D40" s="66"/>
      <c r="E40" s="66"/>
      <c r="F40" s="66"/>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7" t="s">
        <v>7</v>
      </c>
      <c r="B1" s="14" t="s">
        <v>8</v>
      </c>
      <c r="C1" s="69" t="s">
        <v>9</v>
      </c>
      <c r="D1" s="70"/>
      <c r="E1" s="70"/>
      <c r="F1" s="70"/>
      <c r="G1" s="70"/>
      <c r="H1" s="70"/>
      <c r="I1" s="70"/>
      <c r="J1" s="70"/>
      <c r="K1" s="70"/>
      <c r="L1" s="70"/>
      <c r="M1" s="70"/>
      <c r="N1" s="71"/>
    </row>
    <row r="2" spans="1:15" ht="65.849999999999994" customHeight="1" x14ac:dyDescent="0.25">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5" si="0">SUM(C3:N3)</f>
        <v>-348.78370972871994</v>
      </c>
      <c r="B3" s="17">
        <v>45236</v>
      </c>
      <c r="C3" s="18">
        <v>-14.766528904470002</v>
      </c>
      <c r="D3" s="18">
        <v>-6.2968730393999994</v>
      </c>
      <c r="E3" s="18">
        <v>-3.5901890000000001</v>
      </c>
      <c r="F3" s="18">
        <v>-85.2605468</v>
      </c>
      <c r="G3" s="18">
        <v>-9.6304048598000005</v>
      </c>
      <c r="H3" s="18">
        <v>-124.63580817774999</v>
      </c>
      <c r="I3" s="18">
        <v>-3.6440925000000006</v>
      </c>
      <c r="J3" s="18">
        <v>-18.710571984600001</v>
      </c>
      <c r="K3" s="18">
        <v>-47.260179562700003</v>
      </c>
      <c r="L3" s="18">
        <v>7.5801027000000021</v>
      </c>
      <c r="M3" s="18">
        <v>-46.203189499999986</v>
      </c>
      <c r="N3" s="18">
        <v>3.6345718999999996</v>
      </c>
      <c r="O3" s="16"/>
    </row>
    <row r="4" spans="1:15" x14ac:dyDescent="0.25">
      <c r="A4" s="55">
        <f t="shared" si="0"/>
        <v>-111.53014116169</v>
      </c>
      <c r="B4" s="13">
        <v>45243</v>
      </c>
      <c r="C4" s="15">
        <v>29.848065112899999</v>
      </c>
      <c r="D4" s="15">
        <v>-5.5164378000999958</v>
      </c>
      <c r="E4" s="15">
        <v>-0.67062760000000021</v>
      </c>
      <c r="F4" s="15">
        <v>-127.0125036</v>
      </c>
      <c r="G4" s="15">
        <v>1.6066938644999995</v>
      </c>
      <c r="H4" s="15">
        <v>-9.0218180438300042</v>
      </c>
      <c r="I4" s="15">
        <v>0.36236181499999998</v>
      </c>
      <c r="J4" s="15">
        <v>-18.770824069100001</v>
      </c>
      <c r="K4" s="15">
        <v>19.82845735894</v>
      </c>
      <c r="L4" s="15">
        <v>6.7756631999999968</v>
      </c>
      <c r="M4" s="15">
        <v>-10.508839499999997</v>
      </c>
      <c r="N4" s="15">
        <v>1.5496681000000001</v>
      </c>
      <c r="O4" s="16"/>
    </row>
    <row r="5" spans="1:15" x14ac:dyDescent="0.25">
      <c r="A5" s="55">
        <f t="shared" si="0"/>
        <v>-227.56417156383003</v>
      </c>
      <c r="B5" s="17">
        <v>45250</v>
      </c>
      <c r="C5" s="18">
        <v>3.3744998685699992</v>
      </c>
      <c r="D5" s="18">
        <v>-2.2352028089</v>
      </c>
      <c r="E5" s="18">
        <v>-0.77330219999999972</v>
      </c>
      <c r="F5" s="18">
        <v>-179.13299970000003</v>
      </c>
      <c r="G5" s="18">
        <v>-1.0262038644</v>
      </c>
      <c r="H5" s="18">
        <v>1.8966453843099982</v>
      </c>
      <c r="I5" s="18">
        <v>-2.3569530000000003</v>
      </c>
      <c r="J5" s="18">
        <v>1.1828463244999992</v>
      </c>
      <c r="K5" s="18">
        <v>17.438376732089999</v>
      </c>
      <c r="L5" s="18">
        <v>19.090749000000002</v>
      </c>
      <c r="M5" s="18">
        <v>-84.796669200000011</v>
      </c>
      <c r="N5" s="18">
        <v>-0.22595810000000002</v>
      </c>
      <c r="O5" s="16"/>
    </row>
    <row r="6" spans="1:15" x14ac:dyDescent="0.25">
      <c r="A6" s="55">
        <f t="shared" ref="A6" si="1">SUM(C6:N6)</f>
        <v>-100.34839260276</v>
      </c>
      <c r="B6" s="13">
        <v>45257</v>
      </c>
      <c r="C6" s="15">
        <v>-8.5774764789400013</v>
      </c>
      <c r="D6" s="15">
        <v>-15.229255864499999</v>
      </c>
      <c r="E6" s="15">
        <v>-1.7439017000000001</v>
      </c>
      <c r="F6" s="15">
        <v>-155.24416847999996</v>
      </c>
      <c r="G6" s="15">
        <v>-0.19804328760000017</v>
      </c>
      <c r="H6" s="15">
        <v>28.988735471619982</v>
      </c>
      <c r="I6" s="15">
        <v>-1.5936349999999997</v>
      </c>
      <c r="J6" s="15">
        <v>-2.730461977299993</v>
      </c>
      <c r="K6" s="15">
        <v>13.114124713959994</v>
      </c>
      <c r="L6" s="15">
        <v>9.3989656000000021</v>
      </c>
      <c r="M6" s="15">
        <v>28.700715599999992</v>
      </c>
      <c r="N6" s="15">
        <v>4.7660087999999998</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s="65"/>
      <c r="D16" s="65"/>
      <c r="E16" s="65"/>
      <c r="F16" s="65"/>
      <c r="G16" s="65"/>
      <c r="H16" s="65"/>
      <c r="I16" s="65"/>
      <c r="J16" s="65"/>
      <c r="K16" s="65"/>
      <c r="L16" s="65"/>
      <c r="M16" s="65"/>
      <c r="N16" s="65"/>
      <c r="O16" s="65"/>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7" t="s">
        <v>7</v>
      </c>
      <c r="B1" s="14" t="s">
        <v>8</v>
      </c>
      <c r="C1" s="69" t="s">
        <v>9</v>
      </c>
      <c r="D1" s="70"/>
      <c r="E1" s="70"/>
      <c r="F1" s="70"/>
      <c r="G1" s="70"/>
      <c r="H1" s="70"/>
      <c r="I1" s="70"/>
      <c r="J1" s="70"/>
      <c r="K1" s="70"/>
      <c r="L1" s="70"/>
      <c r="M1" s="70"/>
      <c r="N1" s="71"/>
    </row>
    <row r="2" spans="1:18" ht="55.2" x14ac:dyDescent="0.25">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211.78449305869003</v>
      </c>
      <c r="B3" s="17">
        <v>45236</v>
      </c>
      <c r="C3" s="18">
        <v>6.0357249389899996</v>
      </c>
      <c r="D3" s="18">
        <v>-0.33656466900000021</v>
      </c>
      <c r="E3" s="18">
        <v>6.3098073000000001</v>
      </c>
      <c r="F3" s="18">
        <v>8.8142286000000034</v>
      </c>
      <c r="G3" s="18">
        <v>10.730708524400001</v>
      </c>
      <c r="H3" s="18">
        <v>92.984882410639997</v>
      </c>
      <c r="I3" s="18">
        <v>3.9183601000000006</v>
      </c>
      <c r="J3" s="18">
        <v>21.937594133499999</v>
      </c>
      <c r="K3" s="18">
        <v>12.137037620160003</v>
      </c>
      <c r="L3" s="18">
        <v>2.8233188000000005</v>
      </c>
      <c r="M3" s="18">
        <v>54.218381299999997</v>
      </c>
      <c r="N3" s="18">
        <v>-7.7889859999999995</v>
      </c>
      <c r="O3" s="16"/>
    </row>
    <row r="4" spans="1:18" x14ac:dyDescent="0.25">
      <c r="A4" s="55">
        <f>SUM(C4:N4)</f>
        <v>-7.1437361004899973</v>
      </c>
      <c r="B4" s="13">
        <v>45243</v>
      </c>
      <c r="C4" s="15">
        <v>-42.680655286939995</v>
      </c>
      <c r="D4" s="15">
        <v>-0.60378924519999999</v>
      </c>
      <c r="E4" s="15">
        <v>4.8637000000000229E-2</v>
      </c>
      <c r="F4" s="15">
        <v>88.703192399999992</v>
      </c>
      <c r="G4" s="15">
        <v>-1.9467369257000002</v>
      </c>
      <c r="H4" s="15">
        <v>-20.027620638349983</v>
      </c>
      <c r="I4" s="15">
        <v>0.69287028500000014</v>
      </c>
      <c r="J4" s="15">
        <v>-4.5412243246000017</v>
      </c>
      <c r="K4" s="15">
        <v>-43.014424364700012</v>
      </c>
      <c r="L4" s="15">
        <v>-2.8302894999999988</v>
      </c>
      <c r="M4" s="15">
        <v>17.994414200000001</v>
      </c>
      <c r="N4" s="15">
        <v>1.0618903</v>
      </c>
      <c r="O4" s="16"/>
    </row>
    <row r="5" spans="1:18" x14ac:dyDescent="0.25">
      <c r="A5" s="55">
        <f>SUM(C5:N5)</f>
        <v>229.00112052735005</v>
      </c>
      <c r="B5" s="17">
        <v>45250</v>
      </c>
      <c r="C5" s="18">
        <v>3.2733508750400002</v>
      </c>
      <c r="D5" s="18">
        <v>-7.6832983324000015</v>
      </c>
      <c r="E5" s="18">
        <v>0.40411760000000013</v>
      </c>
      <c r="F5" s="18">
        <v>201.65086800000003</v>
      </c>
      <c r="G5" s="18">
        <v>0.14442418919999986</v>
      </c>
      <c r="H5" s="18">
        <v>-5.9278346354999982</v>
      </c>
      <c r="I5" s="18">
        <v>2.5902129</v>
      </c>
      <c r="J5" s="18">
        <v>2.7562120128000012</v>
      </c>
      <c r="K5" s="18">
        <v>-26.550666381789998</v>
      </c>
      <c r="L5" s="18">
        <v>-15.7849223</v>
      </c>
      <c r="M5" s="18">
        <v>75.420471600000013</v>
      </c>
      <c r="N5" s="18">
        <v>-1.2918149999999999</v>
      </c>
      <c r="O5" s="16"/>
    </row>
    <row r="6" spans="1:18" x14ac:dyDescent="0.25">
      <c r="A6" s="55">
        <f>SUM(C6:N6)</f>
        <v>109.64883783418003</v>
      </c>
      <c r="B6" s="13">
        <v>45257</v>
      </c>
      <c r="C6" s="15">
        <v>6.4908048765500004</v>
      </c>
      <c r="D6" s="15">
        <v>18.6192566024</v>
      </c>
      <c r="E6" s="15">
        <v>2.4223913000000001</v>
      </c>
      <c r="F6" s="15">
        <v>97.024940700000002</v>
      </c>
      <c r="G6" s="15">
        <v>0.94088013770000034</v>
      </c>
      <c r="H6" s="15">
        <v>-9.3093896063500168</v>
      </c>
      <c r="I6" s="15">
        <v>0.16013220000000003</v>
      </c>
      <c r="J6" s="15">
        <v>17.351684950500001</v>
      </c>
      <c r="K6" s="15">
        <v>-1.2638673266199971</v>
      </c>
      <c r="L6" s="15">
        <v>-10.241138199999996</v>
      </c>
      <c r="M6" s="15">
        <v>-7.6337571000000004</v>
      </c>
      <c r="N6" s="15">
        <v>-4.9131006999999993</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5"/>
      <c r="D16" s="65"/>
      <c r="E16" s="65"/>
      <c r="F16" s="65"/>
      <c r="G16" s="65"/>
      <c r="H16" s="65"/>
      <c r="I16" s="65"/>
      <c r="J16" s="65"/>
      <c r="K16" s="65"/>
      <c r="L16" s="65"/>
      <c r="M16" s="65"/>
      <c r="N16" s="65"/>
      <c r="O16"/>
    </row>
    <row r="17" spans="3:14" ht="14.4" x14ac:dyDescent="0.3">
      <c r="C17"/>
      <c r="D17"/>
      <c r="E17"/>
      <c r="F17"/>
      <c r="G17"/>
      <c r="H17"/>
      <c r="I17"/>
      <c r="J17"/>
      <c r="K17"/>
      <c r="L17"/>
      <c r="M17"/>
      <c r="N17"/>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election activeCell="E37" sqref="E37"/>
    </sheetView>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27 November 2023</v>
      </c>
      <c r="B1" s="21" t="s">
        <v>1</v>
      </c>
      <c r="C1" s="22" t="s">
        <v>75</v>
      </c>
      <c r="D1" s="22" t="s">
        <v>76</v>
      </c>
    </row>
    <row r="2" spans="1:8" x14ac:dyDescent="0.3">
      <c r="A2" s="23" t="s">
        <v>92</v>
      </c>
      <c r="B2" s="24" t="s">
        <v>26</v>
      </c>
      <c r="C2" s="25">
        <v>41.060212999999997</v>
      </c>
      <c r="D2" s="25">
        <v>-8.3175249999999998</v>
      </c>
      <c r="E2" s="46"/>
      <c r="F2" s="50"/>
      <c r="H2" s="51"/>
    </row>
    <row r="3" spans="1:8" x14ac:dyDescent="0.3">
      <c r="A3" s="26" t="s">
        <v>81</v>
      </c>
      <c r="B3" s="27" t="s">
        <v>58</v>
      </c>
      <c r="C3" s="9">
        <v>-32.228166999999999</v>
      </c>
      <c r="D3" s="9">
        <v>1.5455909999999999</v>
      </c>
      <c r="E3" s="46"/>
      <c r="F3" s="50"/>
      <c r="H3" s="51"/>
    </row>
    <row r="4" spans="1:8" x14ac:dyDescent="0.3">
      <c r="A4" s="6" t="s">
        <v>88</v>
      </c>
      <c r="B4" s="8" t="s">
        <v>87</v>
      </c>
      <c r="C4" s="7">
        <v>-9.0252110000000023</v>
      </c>
      <c r="D4" s="7">
        <v>6.7959740000000002</v>
      </c>
      <c r="E4" s="46"/>
      <c r="F4" s="50"/>
      <c r="H4" s="51"/>
    </row>
    <row r="5" spans="1:8" x14ac:dyDescent="0.3">
      <c r="A5" s="26" t="s">
        <v>65</v>
      </c>
      <c r="B5" s="27" t="s">
        <v>56</v>
      </c>
      <c r="C5" s="9">
        <v>3.719808</v>
      </c>
      <c r="D5" s="9">
        <v>2.3152729999999999</v>
      </c>
      <c r="E5" s="46"/>
      <c r="F5" s="50"/>
      <c r="H5" s="51"/>
    </row>
    <row r="6" spans="1:8" x14ac:dyDescent="0.3">
      <c r="A6" s="6" t="s">
        <v>89</v>
      </c>
      <c r="B6" s="8" t="s">
        <v>59</v>
      </c>
      <c r="C6" s="7">
        <v>0.17849433550000021</v>
      </c>
      <c r="D6" s="7">
        <v>-0.73793079759999991</v>
      </c>
      <c r="E6" s="46"/>
      <c r="F6" s="50"/>
      <c r="H6" s="51"/>
    </row>
    <row r="7" spans="1:8" x14ac:dyDescent="0.3">
      <c r="A7" s="26" t="s">
        <v>27</v>
      </c>
      <c r="B7" s="27" t="s">
        <v>22</v>
      </c>
      <c r="C7" s="9">
        <v>-61.540599</v>
      </c>
      <c r="D7" s="9">
        <v>50.404204999999997</v>
      </c>
      <c r="E7" s="46"/>
      <c r="F7" s="50"/>
      <c r="H7" s="51"/>
    </row>
    <row r="8" spans="1:8" x14ac:dyDescent="0.3">
      <c r="A8" s="6" t="s">
        <v>90</v>
      </c>
      <c r="B8" s="8" t="s">
        <v>91</v>
      </c>
      <c r="C8" s="54">
        <v>0.42941649999999998</v>
      </c>
      <c r="D8" s="54">
        <v>-0.42911850000000001</v>
      </c>
      <c r="E8" s="46"/>
      <c r="F8" s="50"/>
      <c r="H8" s="51"/>
    </row>
    <row r="9" spans="1:8" x14ac:dyDescent="0.3">
      <c r="A9" s="26" t="s">
        <v>83</v>
      </c>
      <c r="B9" s="27" t="s">
        <v>82</v>
      </c>
      <c r="C9" s="9">
        <v>2.6139130000000002</v>
      </c>
      <c r="D9" s="9">
        <v>0.82602100000000001</v>
      </c>
      <c r="E9" s="46"/>
      <c r="F9" s="50"/>
      <c r="H9" s="51"/>
    </row>
    <row r="10" spans="1:8" x14ac:dyDescent="0.3">
      <c r="A10" s="6" t="s">
        <v>38</v>
      </c>
      <c r="B10" s="8" t="s">
        <v>37</v>
      </c>
      <c r="C10" s="7">
        <v>2.8621395000000001</v>
      </c>
      <c r="D10" s="7">
        <v>-0.208954</v>
      </c>
      <c r="E10" s="46"/>
      <c r="F10" s="50"/>
      <c r="H10" s="51"/>
    </row>
    <row r="11" spans="1:8" x14ac:dyDescent="0.3">
      <c r="A11" s="26" t="s">
        <v>66</v>
      </c>
      <c r="B11" s="27" t="s">
        <v>57</v>
      </c>
      <c r="C11" s="9">
        <v>6.1782861227000039</v>
      </c>
      <c r="D11" s="9">
        <v>3.6735162505000001</v>
      </c>
      <c r="E11" s="46"/>
      <c r="F11" s="50"/>
      <c r="H11" s="51"/>
    </row>
    <row r="12" spans="1:8" x14ac:dyDescent="0.3">
      <c r="A12" s="6" t="s">
        <v>52</v>
      </c>
      <c r="B12" s="8" t="s">
        <v>50</v>
      </c>
      <c r="C12" s="7">
        <v>-6.5993979999999999</v>
      </c>
      <c r="D12" s="7">
        <v>2.682016</v>
      </c>
      <c r="E12" s="46"/>
      <c r="F12" s="50"/>
      <c r="H12" s="51"/>
    </row>
    <row r="13" spans="1:8" x14ac:dyDescent="0.3">
      <c r="A13" s="26" t="s">
        <v>64</v>
      </c>
      <c r="B13" s="27" t="s">
        <v>54</v>
      </c>
      <c r="C13" s="9">
        <v>-3.1999595427000052</v>
      </c>
      <c r="D13" s="9">
        <v>2.3491568222999999</v>
      </c>
      <c r="E13" s="46"/>
      <c r="F13" s="50"/>
      <c r="H13" s="51"/>
    </row>
    <row r="14" spans="1:8" x14ac:dyDescent="0.3">
      <c r="A14" s="6" t="s">
        <v>35</v>
      </c>
      <c r="B14" s="8" t="s">
        <v>33</v>
      </c>
      <c r="C14" s="7">
        <v>41.600152999999999</v>
      </c>
      <c r="D14" s="7">
        <v>-36.000450000000001</v>
      </c>
      <c r="E14" s="46"/>
      <c r="F14" s="50"/>
      <c r="H14" s="51"/>
    </row>
    <row r="15" spans="1:8" x14ac:dyDescent="0.3">
      <c r="A15" s="26" t="s">
        <v>255</v>
      </c>
      <c r="B15" s="27" t="s">
        <v>60</v>
      </c>
      <c r="C15" s="9">
        <v>-3.807137</v>
      </c>
      <c r="D15" s="9">
        <v>1.861208</v>
      </c>
      <c r="E15" s="46"/>
      <c r="F15" s="50"/>
      <c r="H15" s="51"/>
    </row>
    <row r="16" spans="1:8" x14ac:dyDescent="0.3">
      <c r="A16" s="6" t="s">
        <v>79</v>
      </c>
      <c r="B16" s="8" t="s">
        <v>78</v>
      </c>
      <c r="C16" s="7">
        <v>-2.6679740000000001</v>
      </c>
      <c r="D16" s="7">
        <v>1.0774360000000001</v>
      </c>
      <c r="E16" s="46"/>
      <c r="F16" s="50"/>
      <c r="H16" s="51"/>
    </row>
    <row r="17" spans="1:8" x14ac:dyDescent="0.3">
      <c r="A17" s="26" t="s">
        <v>42</v>
      </c>
      <c r="B17" s="27" t="s">
        <v>40</v>
      </c>
      <c r="C17" s="9">
        <v>7.6521790000000003</v>
      </c>
      <c r="D17" s="9">
        <v>-2.2720210000000001</v>
      </c>
      <c r="E17" s="46"/>
      <c r="F17" s="50"/>
      <c r="H17" s="51"/>
    </row>
    <row r="18" spans="1:8" x14ac:dyDescent="0.3">
      <c r="A18" s="6" t="s">
        <v>28</v>
      </c>
      <c r="B18" s="8" t="s">
        <v>23</v>
      </c>
      <c r="C18" s="7">
        <v>-57.997835000000002</v>
      </c>
      <c r="D18" s="7">
        <v>33.194369000000002</v>
      </c>
      <c r="E18" s="46"/>
      <c r="F18" s="50"/>
      <c r="H18" s="51"/>
    </row>
    <row r="19" spans="1:8" x14ac:dyDescent="0.3">
      <c r="A19" s="26" t="s">
        <v>36</v>
      </c>
      <c r="B19" s="27" t="s">
        <v>31</v>
      </c>
      <c r="C19" s="9">
        <v>2.739239</v>
      </c>
      <c r="D19" s="9">
        <v>-1.6269009999999999</v>
      </c>
      <c r="E19" s="46"/>
      <c r="F19" s="50"/>
      <c r="H19" s="51"/>
    </row>
    <row r="20" spans="1:8" x14ac:dyDescent="0.3">
      <c r="A20" s="6" t="s">
        <v>250</v>
      </c>
      <c r="B20" s="8" t="s">
        <v>93</v>
      </c>
      <c r="C20" s="7">
        <v>-14.603415500000001</v>
      </c>
      <c r="D20" s="7">
        <v>23.621386399999999</v>
      </c>
      <c r="E20" s="46"/>
      <c r="F20" s="50"/>
      <c r="H20" s="51"/>
    </row>
    <row r="21" spans="1:8" x14ac:dyDescent="0.3">
      <c r="A21" s="26" t="s">
        <v>47</v>
      </c>
      <c r="B21" s="27" t="s">
        <v>44</v>
      </c>
      <c r="C21" s="9">
        <v>4.9449100000000001</v>
      </c>
      <c r="D21" s="9">
        <v>-5.1041059999999998</v>
      </c>
      <c r="E21" s="46"/>
      <c r="F21" s="50"/>
      <c r="H21" s="51"/>
    </row>
    <row r="22" spans="1:8" x14ac:dyDescent="0.3">
      <c r="A22" s="6" t="s">
        <v>30</v>
      </c>
      <c r="B22" s="8" t="s">
        <v>25</v>
      </c>
      <c r="C22" s="7">
        <v>-7.7932030000000001</v>
      </c>
      <c r="D22" s="7">
        <v>1.2330000000000001</v>
      </c>
      <c r="E22" s="46"/>
      <c r="F22" s="50"/>
      <c r="H22" s="51"/>
    </row>
    <row r="23" spans="1:8" x14ac:dyDescent="0.3">
      <c r="A23" s="26" t="s">
        <v>34</v>
      </c>
      <c r="B23" s="27" t="s">
        <v>32</v>
      </c>
      <c r="C23" s="9">
        <v>3.4503740000000001</v>
      </c>
      <c r="D23" s="9">
        <v>-5.6462440000000003</v>
      </c>
      <c r="E23" s="46"/>
      <c r="F23" s="50"/>
      <c r="H23" s="51"/>
    </row>
    <row r="24" spans="1:8" x14ac:dyDescent="0.3">
      <c r="A24" s="6" t="s">
        <v>51</v>
      </c>
      <c r="B24" s="8" t="s">
        <v>49</v>
      </c>
      <c r="C24" s="7">
        <v>28.17358909999999</v>
      </c>
      <c r="D24" s="7">
        <v>-6.6288185000000004</v>
      </c>
      <c r="E24" s="46"/>
      <c r="F24" s="50"/>
      <c r="H24" s="51"/>
    </row>
    <row r="25" spans="1:8" x14ac:dyDescent="0.3">
      <c r="A25" s="26" t="s">
        <v>41</v>
      </c>
      <c r="B25" s="27" t="s">
        <v>39</v>
      </c>
      <c r="C25" s="9">
        <v>-2.7997230000000002</v>
      </c>
      <c r="D25" s="9">
        <v>3.3150089999999999</v>
      </c>
      <c r="E25" s="46"/>
      <c r="F25" s="50"/>
      <c r="H25" s="51"/>
    </row>
    <row r="26" spans="1:8" x14ac:dyDescent="0.3">
      <c r="A26" s="6" t="s">
        <v>62</v>
      </c>
      <c r="B26" s="8" t="s">
        <v>53</v>
      </c>
      <c r="C26" s="7">
        <v>-12.420302</v>
      </c>
      <c r="D26" s="7">
        <v>17.410359499999998</v>
      </c>
      <c r="E26" s="46"/>
      <c r="F26" s="50"/>
      <c r="H26" s="51"/>
    </row>
    <row r="27" spans="1:8" x14ac:dyDescent="0.3">
      <c r="A27" s="26" t="s">
        <v>29</v>
      </c>
      <c r="B27" s="27" t="s">
        <v>24</v>
      </c>
      <c r="C27" s="9">
        <v>-17.57424348</v>
      </c>
      <c r="D27" s="9">
        <v>3.762184</v>
      </c>
      <c r="E27" s="46"/>
      <c r="F27" s="50"/>
      <c r="H27" s="51"/>
    </row>
    <row r="28" spans="1:8" x14ac:dyDescent="0.3">
      <c r="A28" s="6" t="s">
        <v>67</v>
      </c>
      <c r="B28" s="8" t="s">
        <v>61</v>
      </c>
      <c r="C28" s="7">
        <v>-10.790452</v>
      </c>
      <c r="D28" s="7">
        <v>8.1124349999999996</v>
      </c>
      <c r="E28" s="46"/>
      <c r="F28" s="50"/>
      <c r="H28" s="51"/>
    </row>
    <row r="29" spans="1:8" x14ac:dyDescent="0.3">
      <c r="A29" s="26" t="s">
        <v>48</v>
      </c>
      <c r="B29" s="27" t="s">
        <v>45</v>
      </c>
      <c r="C29" s="9">
        <v>4.7888210000000004</v>
      </c>
      <c r="D29" s="9">
        <v>-2.756122</v>
      </c>
      <c r="E29" s="46"/>
      <c r="F29" s="50"/>
      <c r="H29" s="51"/>
    </row>
    <row r="30" spans="1:8" x14ac:dyDescent="0.3">
      <c r="A30" s="6" t="s">
        <v>46</v>
      </c>
      <c r="B30" s="8" t="s">
        <v>43</v>
      </c>
      <c r="C30" s="7">
        <v>-3.0037000000000001E-2</v>
      </c>
      <c r="D30" s="7">
        <v>-0.423209</v>
      </c>
      <c r="E30" s="46"/>
      <c r="F30" s="50"/>
      <c r="H30" s="51"/>
    </row>
    <row r="31" spans="1:8" ht="15" thickBot="1" x14ac:dyDescent="0.35">
      <c r="A31" s="26" t="s">
        <v>63</v>
      </c>
      <c r="B31" s="27" t="s">
        <v>55</v>
      </c>
      <c r="C31" s="9">
        <v>2.1775009999999999</v>
      </c>
      <c r="D31" s="9">
        <v>1.6182909999999999</v>
      </c>
      <c r="E31" s="46"/>
      <c r="F31" s="50"/>
      <c r="H31" s="51"/>
    </row>
    <row r="32" spans="1:8" ht="21" customHeight="1" thickBot="1" x14ac:dyDescent="0.35">
      <c r="A32" s="72" t="s">
        <v>68</v>
      </c>
      <c r="B32" s="73"/>
      <c r="C32" s="28">
        <f>SUM(C2:C31)</f>
        <v>-90.508619964500042</v>
      </c>
      <c r="D32" s="28">
        <f>SUM(D2:D31)</f>
        <v>95.646031175200022</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27 November 2023</v>
      </c>
      <c r="B1" s="21" t="s">
        <v>1</v>
      </c>
      <c r="C1" s="61" t="s">
        <v>105</v>
      </c>
      <c r="D1" s="22" t="s">
        <v>104</v>
      </c>
      <c r="E1" s="22" t="s">
        <v>106</v>
      </c>
      <c r="F1" s="22" t="s">
        <v>107</v>
      </c>
      <c r="H1" s="50"/>
    </row>
    <row r="2" spans="1:10" x14ac:dyDescent="0.3">
      <c r="A2" s="23" t="s">
        <v>27</v>
      </c>
      <c r="B2" s="24" t="s">
        <v>22</v>
      </c>
      <c r="C2" s="25">
        <v>121.0842204916348</v>
      </c>
      <c r="D2" s="25">
        <v>-1394.1218289999999</v>
      </c>
      <c r="E2" s="25">
        <v>-61.540599</v>
      </c>
      <c r="F2" s="25" t="s">
        <v>14</v>
      </c>
      <c r="J2" s="51"/>
    </row>
    <row r="3" spans="1:10" x14ac:dyDescent="0.3">
      <c r="A3" s="26" t="s">
        <v>29</v>
      </c>
      <c r="B3" s="27" t="s">
        <v>24</v>
      </c>
      <c r="C3" s="9">
        <v>79.615492632152169</v>
      </c>
      <c r="D3" s="9">
        <v>-899.83827448</v>
      </c>
      <c r="E3" s="9">
        <v>-17.57424348</v>
      </c>
      <c r="F3" s="9" t="s">
        <v>14</v>
      </c>
      <c r="J3" s="51"/>
    </row>
    <row r="4" spans="1:10" x14ac:dyDescent="0.3">
      <c r="A4" s="6" t="s">
        <v>247</v>
      </c>
      <c r="B4" s="8" t="s">
        <v>23</v>
      </c>
      <c r="C4" s="7">
        <v>60.58131544434783</v>
      </c>
      <c r="D4" s="7">
        <v>119.20434299999999</v>
      </c>
      <c r="E4" s="7">
        <v>-57.997835000000002</v>
      </c>
      <c r="F4" s="7" t="s">
        <v>14</v>
      </c>
      <c r="J4" s="51"/>
    </row>
    <row r="5" spans="1:10" x14ac:dyDescent="0.3">
      <c r="A5" s="26" t="s">
        <v>51</v>
      </c>
      <c r="B5" s="27" t="s">
        <v>49</v>
      </c>
      <c r="C5" s="9">
        <v>50.037942775782611</v>
      </c>
      <c r="D5" s="9">
        <v>-375.08295730000003</v>
      </c>
      <c r="E5" s="9">
        <v>28.173589100000001</v>
      </c>
      <c r="F5" s="9" t="s">
        <v>240</v>
      </c>
      <c r="J5" s="51"/>
    </row>
    <row r="6" spans="1:10" x14ac:dyDescent="0.3">
      <c r="A6" s="6" t="s">
        <v>34</v>
      </c>
      <c r="B6" s="8" t="s">
        <v>32</v>
      </c>
      <c r="C6" s="7">
        <v>44.161856102000002</v>
      </c>
      <c r="D6" s="7">
        <v>-72.311785</v>
      </c>
      <c r="E6" s="7">
        <v>3.4503740000000001</v>
      </c>
      <c r="F6" s="7" t="s">
        <v>15</v>
      </c>
      <c r="J6" s="51"/>
    </row>
    <row r="7" spans="1:10" x14ac:dyDescent="0.3">
      <c r="A7" s="26" t="s">
        <v>250</v>
      </c>
      <c r="B7" s="27" t="s">
        <v>93</v>
      </c>
      <c r="C7" s="9">
        <v>40.99933044426956</v>
      </c>
      <c r="D7" s="9">
        <v>68.534943900000002</v>
      </c>
      <c r="E7" s="9">
        <v>-14.603415500000001</v>
      </c>
      <c r="F7" s="9" t="s">
        <v>15</v>
      </c>
      <c r="J7" s="51"/>
    </row>
    <row r="8" spans="1:10" x14ac:dyDescent="0.3">
      <c r="A8" s="6" t="s">
        <v>161</v>
      </c>
      <c r="B8" s="8" t="s">
        <v>55</v>
      </c>
      <c r="C8" s="7">
        <v>34.035274124608705</v>
      </c>
      <c r="D8" s="7">
        <v>6.8890989999999999</v>
      </c>
      <c r="E8" s="7">
        <v>2.1775009999999999</v>
      </c>
      <c r="F8" s="54" t="s">
        <v>15</v>
      </c>
      <c r="J8" s="51"/>
    </row>
    <row r="9" spans="1:10" x14ac:dyDescent="0.3">
      <c r="A9" s="26" t="s">
        <v>160</v>
      </c>
      <c r="B9" s="27" t="s">
        <v>58</v>
      </c>
      <c r="C9" s="9">
        <v>33.606728386652172</v>
      </c>
      <c r="D9" s="9">
        <v>-175.42020199999999</v>
      </c>
      <c r="E9" s="9">
        <v>-32.228166999999999</v>
      </c>
      <c r="F9" s="9" t="s">
        <v>18</v>
      </c>
      <c r="J9" s="51"/>
    </row>
    <row r="10" spans="1:10" x14ac:dyDescent="0.3">
      <c r="A10" s="6" t="s">
        <v>163</v>
      </c>
      <c r="B10" s="8" t="s">
        <v>26</v>
      </c>
      <c r="C10" s="7">
        <v>33.373555213869558</v>
      </c>
      <c r="D10" s="7">
        <v>29.855087000000001</v>
      </c>
      <c r="E10" s="7">
        <v>41.060212999999997</v>
      </c>
      <c r="F10" s="7" t="s">
        <v>18</v>
      </c>
      <c r="J10" s="51"/>
    </row>
    <row r="11" spans="1:10" x14ac:dyDescent="0.3">
      <c r="A11" s="26" t="s">
        <v>162</v>
      </c>
      <c r="B11" s="27" t="s">
        <v>37</v>
      </c>
      <c r="C11" s="9">
        <v>29.720107180500001</v>
      </c>
      <c r="D11" s="9">
        <v>87.047058000000007</v>
      </c>
      <c r="E11" s="9">
        <v>2.8621395000000001</v>
      </c>
      <c r="F11" s="9" t="s">
        <v>11</v>
      </c>
      <c r="J11" s="51"/>
    </row>
    <row r="12" spans="1:10" x14ac:dyDescent="0.3">
      <c r="A12" s="6" t="s">
        <v>164</v>
      </c>
      <c r="B12" s="8" t="s">
        <v>33</v>
      </c>
      <c r="C12" s="7">
        <v>26.97284936486956</v>
      </c>
      <c r="D12" s="7">
        <v>-188.04288399999999</v>
      </c>
      <c r="E12" s="7">
        <v>41.600152999999999</v>
      </c>
      <c r="F12" s="7" t="s">
        <v>15</v>
      </c>
      <c r="J12" s="51"/>
    </row>
    <row r="13" spans="1:10" x14ac:dyDescent="0.3">
      <c r="A13" s="26" t="s">
        <v>171</v>
      </c>
      <c r="B13" s="27" t="s">
        <v>44</v>
      </c>
      <c r="C13" s="9">
        <v>25.683564724</v>
      </c>
      <c r="D13" s="9">
        <v>190.691822</v>
      </c>
      <c r="E13" s="9">
        <v>4.9449100000000001</v>
      </c>
      <c r="F13" s="9" t="s">
        <v>20</v>
      </c>
      <c r="J13" s="51"/>
    </row>
    <row r="14" spans="1:10" x14ac:dyDescent="0.3">
      <c r="A14" s="6" t="s">
        <v>167</v>
      </c>
      <c r="B14" s="8" t="s">
        <v>87</v>
      </c>
      <c r="C14" s="7">
        <v>23.967381370434779</v>
      </c>
      <c r="D14" s="7">
        <v>-138.340282</v>
      </c>
      <c r="E14" s="7">
        <v>-9.0252110000000005</v>
      </c>
      <c r="F14" s="7" t="s">
        <v>14</v>
      </c>
      <c r="J14" s="51"/>
    </row>
    <row r="15" spans="1:10" x14ac:dyDescent="0.3">
      <c r="A15" s="26" t="s">
        <v>165</v>
      </c>
      <c r="B15" s="27" t="s">
        <v>40</v>
      </c>
      <c r="C15" s="9">
        <v>22.950023166695651</v>
      </c>
      <c r="D15" s="9">
        <v>-33.476615000000002</v>
      </c>
      <c r="E15" s="9">
        <v>7.6521790000000003</v>
      </c>
      <c r="F15" s="9" t="s">
        <v>18</v>
      </c>
      <c r="J15" s="51"/>
    </row>
    <row r="16" spans="1:10" x14ac:dyDescent="0.3">
      <c r="A16" s="6" t="s">
        <v>166</v>
      </c>
      <c r="B16" s="8" t="s">
        <v>43</v>
      </c>
      <c r="C16" s="7">
        <v>21.103631429347821</v>
      </c>
      <c r="D16" s="7">
        <v>43.474648999999999</v>
      </c>
      <c r="E16" s="7">
        <v>-3.0037000000000001E-2</v>
      </c>
      <c r="F16" s="7" t="s">
        <v>12</v>
      </c>
      <c r="J16" s="51"/>
    </row>
    <row r="17" spans="1:10" x14ac:dyDescent="0.3">
      <c r="A17" s="26" t="s">
        <v>175</v>
      </c>
      <c r="B17" s="27" t="s">
        <v>45</v>
      </c>
      <c r="C17" s="9">
        <v>18.43589472469565</v>
      </c>
      <c r="D17" s="9">
        <v>-251.82825600000001</v>
      </c>
      <c r="E17" s="9">
        <v>4.7888210000000004</v>
      </c>
      <c r="F17" s="9" t="s">
        <v>241</v>
      </c>
      <c r="J17" s="51"/>
    </row>
    <row r="18" spans="1:10" x14ac:dyDescent="0.3">
      <c r="A18" s="6" t="s">
        <v>169</v>
      </c>
      <c r="B18" s="8" t="s">
        <v>54</v>
      </c>
      <c r="C18" s="7">
        <v>17.013202104747897</v>
      </c>
      <c r="D18" s="7">
        <v>-44.189868366099994</v>
      </c>
      <c r="E18" s="7">
        <v>-3.1999595426999994</v>
      </c>
      <c r="F18" s="7" t="s">
        <v>15</v>
      </c>
      <c r="J18" s="51"/>
    </row>
    <row r="19" spans="1:10" x14ac:dyDescent="0.3">
      <c r="A19" s="26" t="s">
        <v>30</v>
      </c>
      <c r="B19" s="27" t="s">
        <v>25</v>
      </c>
      <c r="C19" s="9">
        <v>16.59500252973913</v>
      </c>
      <c r="D19" s="9">
        <v>129.20325800000001</v>
      </c>
      <c r="E19" s="9">
        <v>-7.7932030000000001</v>
      </c>
      <c r="F19" s="9" t="s">
        <v>14</v>
      </c>
      <c r="J19" s="51"/>
    </row>
    <row r="20" spans="1:10" x14ac:dyDescent="0.3">
      <c r="A20" s="6" t="s">
        <v>41</v>
      </c>
      <c r="B20" s="8" t="s">
        <v>39</v>
      </c>
      <c r="C20" s="7">
        <v>15.107958150304349</v>
      </c>
      <c r="D20" s="7">
        <v>125.532713</v>
      </c>
      <c r="E20" s="7">
        <v>-2.7997230000000002</v>
      </c>
      <c r="F20" s="7" t="s">
        <v>15</v>
      </c>
      <c r="J20" s="51"/>
    </row>
    <row r="21" spans="1:10" x14ac:dyDescent="0.3">
      <c r="A21" s="26" t="s">
        <v>170</v>
      </c>
      <c r="B21" s="27" t="s">
        <v>53</v>
      </c>
      <c r="C21" s="9">
        <v>14.96881624582609</v>
      </c>
      <c r="D21" s="9">
        <v>-116.3195125</v>
      </c>
      <c r="E21" s="9">
        <v>-12.420302</v>
      </c>
      <c r="F21" s="9" t="s">
        <v>12</v>
      </c>
      <c r="J21" s="51"/>
    </row>
    <row r="22" spans="1:10" x14ac:dyDescent="0.3">
      <c r="A22" s="6" t="s">
        <v>168</v>
      </c>
      <c r="B22" s="8" t="s">
        <v>60</v>
      </c>
      <c r="C22" s="7">
        <v>14.28543315726087</v>
      </c>
      <c r="D22" s="7">
        <v>-108.050271</v>
      </c>
      <c r="E22" s="7">
        <v>-3.807137</v>
      </c>
      <c r="F22" s="7" t="s">
        <v>18</v>
      </c>
      <c r="J22" s="51"/>
    </row>
    <row r="23" spans="1:10" x14ac:dyDescent="0.3">
      <c r="A23" s="26" t="s">
        <v>36</v>
      </c>
      <c r="B23" s="27" t="s">
        <v>31</v>
      </c>
      <c r="C23" s="9">
        <v>13.509374012891309</v>
      </c>
      <c r="D23" s="9">
        <v>-46.032634999999999</v>
      </c>
      <c r="E23" s="9">
        <v>2.739239</v>
      </c>
      <c r="F23" s="9" t="s">
        <v>15</v>
      </c>
      <c r="J23" s="51"/>
    </row>
    <row r="24" spans="1:10" x14ac:dyDescent="0.3">
      <c r="A24" s="6" t="s">
        <v>173</v>
      </c>
      <c r="B24" s="8" t="s">
        <v>56</v>
      </c>
      <c r="C24" s="7">
        <v>12.56339477265217</v>
      </c>
      <c r="D24" s="7">
        <v>-200.83863700000001</v>
      </c>
      <c r="E24" s="7">
        <v>3.719808</v>
      </c>
      <c r="F24" s="7" t="s">
        <v>17</v>
      </c>
      <c r="J24" s="51"/>
    </row>
    <row r="25" spans="1:10" x14ac:dyDescent="0.3">
      <c r="A25" s="26" t="s">
        <v>172</v>
      </c>
      <c r="B25" s="27" t="s">
        <v>50</v>
      </c>
      <c r="C25" s="9">
        <v>11.71059595625217</v>
      </c>
      <c r="D25" s="9">
        <v>-12.1148782</v>
      </c>
      <c r="E25" s="9">
        <v>-6.5993979999999999</v>
      </c>
      <c r="F25" s="9" t="s">
        <v>11</v>
      </c>
      <c r="J25" s="51"/>
    </row>
    <row r="26" spans="1:10" x14ac:dyDescent="0.3">
      <c r="A26" s="6" t="s">
        <v>174</v>
      </c>
      <c r="B26" s="8" t="s">
        <v>82</v>
      </c>
      <c r="C26" s="7">
        <v>11.180528469521741</v>
      </c>
      <c r="D26" s="7">
        <v>-52.212477999999997</v>
      </c>
      <c r="E26" s="7">
        <v>2.613913000000001</v>
      </c>
      <c r="F26" s="7" t="s">
        <v>18</v>
      </c>
      <c r="J26" s="51"/>
    </row>
    <row r="27" spans="1:10" x14ac:dyDescent="0.3">
      <c r="A27" s="26" t="s">
        <v>177</v>
      </c>
      <c r="B27" s="27" t="s">
        <v>80</v>
      </c>
      <c r="C27" s="9">
        <v>10.701303410978259</v>
      </c>
      <c r="D27" s="9">
        <v>14.855043999999999</v>
      </c>
      <c r="E27" s="9">
        <v>1.4359150000000001</v>
      </c>
      <c r="F27" s="9" t="s">
        <v>18</v>
      </c>
      <c r="J27" s="51"/>
    </row>
    <row r="28" spans="1:10" x14ac:dyDescent="0.3">
      <c r="A28" s="6" t="s">
        <v>178</v>
      </c>
      <c r="B28" s="8" t="s">
        <v>78</v>
      </c>
      <c r="C28" s="7">
        <v>10.319172941478261</v>
      </c>
      <c r="D28" s="7">
        <v>-9.7625960000000021</v>
      </c>
      <c r="E28" s="7">
        <v>-2.6679740000000001</v>
      </c>
      <c r="F28" s="7" t="s">
        <v>18</v>
      </c>
      <c r="J28" s="51"/>
    </row>
    <row r="29" spans="1:10" x14ac:dyDescent="0.3">
      <c r="A29" s="26" t="s">
        <v>179</v>
      </c>
      <c r="B29" s="27" t="s">
        <v>57</v>
      </c>
      <c r="C29" s="9">
        <v>9.7464601118975978</v>
      </c>
      <c r="D29" s="9">
        <v>-32.472028950000002</v>
      </c>
      <c r="E29" s="9">
        <v>6.1782861226999994</v>
      </c>
      <c r="F29" s="9" t="s">
        <v>17</v>
      </c>
      <c r="J29" s="51"/>
    </row>
    <row r="30" spans="1:10" x14ac:dyDescent="0.3">
      <c r="A30" s="6" t="s">
        <v>176</v>
      </c>
      <c r="B30" s="8" t="s">
        <v>94</v>
      </c>
      <c r="C30" s="7">
        <v>8.5423039623913031</v>
      </c>
      <c r="D30" s="7">
        <v>-181.81287699999999</v>
      </c>
      <c r="E30" s="7">
        <v>1.1700630000000001</v>
      </c>
      <c r="F30" s="7" t="s">
        <v>18</v>
      </c>
      <c r="J30" s="51"/>
    </row>
    <row r="31" spans="1:10" x14ac:dyDescent="0.3">
      <c r="A31" s="26" t="s">
        <v>180</v>
      </c>
      <c r="B31" s="27" t="s">
        <v>115</v>
      </c>
      <c r="C31" s="9">
        <v>8.4007400417391302</v>
      </c>
      <c r="D31" s="9">
        <v>64.293413000000001</v>
      </c>
      <c r="E31" s="9">
        <v>3.3912999999999999E-2</v>
      </c>
      <c r="F31" s="9" t="s">
        <v>15</v>
      </c>
      <c r="J31" s="51"/>
    </row>
    <row r="32" spans="1:10" x14ac:dyDescent="0.3">
      <c r="A32" s="6" t="s">
        <v>182</v>
      </c>
      <c r="B32" s="8" t="s">
        <v>61</v>
      </c>
      <c r="C32" s="7">
        <v>8.1054377070434782</v>
      </c>
      <c r="D32" s="7">
        <v>-0.11659600000000001</v>
      </c>
      <c r="E32" s="7">
        <v>-10.790452</v>
      </c>
      <c r="F32" s="7" t="s">
        <v>17</v>
      </c>
      <c r="J32" s="51"/>
    </row>
    <row r="33" spans="1:10" x14ac:dyDescent="0.3">
      <c r="A33" s="26" t="s">
        <v>114</v>
      </c>
      <c r="B33" s="27" t="s">
        <v>109</v>
      </c>
      <c r="C33" s="9">
        <v>7.9095641511304349</v>
      </c>
      <c r="D33" s="9">
        <v>-46.306137999999997</v>
      </c>
      <c r="E33" s="9">
        <v>2.4853689999999999</v>
      </c>
      <c r="F33" s="9" t="s">
        <v>18</v>
      </c>
      <c r="J33" s="51"/>
    </row>
    <row r="34" spans="1:10" x14ac:dyDescent="0.3">
      <c r="A34" s="6" t="s">
        <v>183</v>
      </c>
      <c r="B34" s="8" t="s">
        <v>97</v>
      </c>
      <c r="C34" s="7">
        <v>7.1462487209565211</v>
      </c>
      <c r="D34" s="7">
        <v>-32.933353799999999</v>
      </c>
      <c r="E34" s="7">
        <v>3.2786955</v>
      </c>
      <c r="F34" s="7" t="s">
        <v>18</v>
      </c>
      <c r="J34" s="51"/>
    </row>
    <row r="35" spans="1:10" x14ac:dyDescent="0.3">
      <c r="A35" s="26" t="s">
        <v>181</v>
      </c>
      <c r="B35" s="27" t="s">
        <v>251</v>
      </c>
      <c r="C35" s="9">
        <v>5.882936819782608</v>
      </c>
      <c r="D35" s="9">
        <v>59.311765999999999</v>
      </c>
      <c r="E35" s="9">
        <v>0.30999599999999999</v>
      </c>
      <c r="F35" s="9" t="s">
        <v>241</v>
      </c>
      <c r="J35" s="51"/>
    </row>
    <row r="36" spans="1:10" x14ac:dyDescent="0.3">
      <c r="A36" s="6" t="s">
        <v>186</v>
      </c>
      <c r="B36" s="8" t="s">
        <v>95</v>
      </c>
      <c r="C36" s="7">
        <v>5.849494820180869</v>
      </c>
      <c r="D36" s="7">
        <v>31.422884094200001</v>
      </c>
      <c r="E36" s="7">
        <v>-5.8007819999999999</v>
      </c>
      <c r="F36" s="7" t="s">
        <v>241</v>
      </c>
      <c r="J36" s="51"/>
    </row>
    <row r="37" spans="1:10" x14ac:dyDescent="0.3">
      <c r="A37" s="26" t="s">
        <v>188</v>
      </c>
      <c r="B37" s="27" t="s">
        <v>118</v>
      </c>
      <c r="C37" s="9">
        <v>5.7419725609999999</v>
      </c>
      <c r="D37" s="9">
        <v>-10.173330999999999</v>
      </c>
      <c r="E37" s="9">
        <v>-1.816352</v>
      </c>
      <c r="F37" s="9" t="s">
        <v>18</v>
      </c>
      <c r="J37" s="51"/>
    </row>
    <row r="38" spans="1:10" x14ac:dyDescent="0.3">
      <c r="A38" s="6" t="s">
        <v>184</v>
      </c>
      <c r="B38" s="8" t="s">
        <v>116</v>
      </c>
      <c r="C38" s="7">
        <v>4.9102433651130442</v>
      </c>
      <c r="D38" s="7">
        <v>-96.118737999999993</v>
      </c>
      <c r="E38" s="7">
        <v>2.0637059999999998</v>
      </c>
      <c r="F38" s="7" t="s">
        <v>18</v>
      </c>
      <c r="J38" s="51"/>
    </row>
    <row r="39" spans="1:10" x14ac:dyDescent="0.3">
      <c r="A39" s="26" t="s">
        <v>189</v>
      </c>
      <c r="B39" s="27" t="s">
        <v>119</v>
      </c>
      <c r="C39" s="9">
        <v>4.4283284814782604</v>
      </c>
      <c r="D39" s="9">
        <v>13.3284065</v>
      </c>
      <c r="E39" s="9">
        <v>1.1837310000000001</v>
      </c>
      <c r="F39" s="9" t="s">
        <v>241</v>
      </c>
      <c r="J39" s="51"/>
    </row>
    <row r="40" spans="1:10" x14ac:dyDescent="0.3">
      <c r="A40" s="6" t="s">
        <v>185</v>
      </c>
      <c r="B40" s="8" t="s">
        <v>117</v>
      </c>
      <c r="C40" s="7">
        <v>3.9916119373478263</v>
      </c>
      <c r="D40" s="7">
        <v>36.369825499999997</v>
      </c>
      <c r="E40" s="7">
        <v>0.13076599999999999</v>
      </c>
      <c r="F40" s="7" t="s">
        <v>12</v>
      </c>
      <c r="J40" s="51"/>
    </row>
    <row r="41" spans="1:10" x14ac:dyDescent="0.3">
      <c r="A41" s="26" t="s">
        <v>190</v>
      </c>
      <c r="B41" s="27" t="s">
        <v>120</v>
      </c>
      <c r="C41" s="9">
        <v>3.771598616521739</v>
      </c>
      <c r="D41" s="9">
        <v>-23.402647999999999</v>
      </c>
      <c r="E41" s="9">
        <v>1.1461645</v>
      </c>
      <c r="F41" s="9" t="s">
        <v>241</v>
      </c>
      <c r="J41" s="51"/>
    </row>
    <row r="42" spans="1:10" x14ac:dyDescent="0.3">
      <c r="A42" s="6" t="s">
        <v>110</v>
      </c>
      <c r="B42" s="8" t="s">
        <v>111</v>
      </c>
      <c r="C42" s="7">
        <v>3.3800963785217388</v>
      </c>
      <c r="D42" s="7">
        <v>3.2046095000000001</v>
      </c>
      <c r="E42" s="7">
        <v>-0.97220799999999996</v>
      </c>
      <c r="F42" s="7" t="s">
        <v>18</v>
      </c>
      <c r="J42" s="51"/>
    </row>
    <row r="43" spans="1:10" x14ac:dyDescent="0.3">
      <c r="A43" s="26" t="s">
        <v>198</v>
      </c>
      <c r="B43" s="27" t="s">
        <v>126</v>
      </c>
      <c r="C43" s="9">
        <v>3.3211901555652172</v>
      </c>
      <c r="D43" s="9">
        <v>-34.4125345</v>
      </c>
      <c r="E43" s="9">
        <v>0.53027500000000005</v>
      </c>
      <c r="F43" s="9" t="s">
        <v>240</v>
      </c>
      <c r="J43" s="51"/>
    </row>
    <row r="44" spans="1:10" x14ac:dyDescent="0.3">
      <c r="A44" s="6" t="s">
        <v>192</v>
      </c>
      <c r="B44" s="8" t="s">
        <v>101</v>
      </c>
      <c r="C44" s="7">
        <v>3.1571941047826089</v>
      </c>
      <c r="D44" s="7">
        <v>-27.621573000000001</v>
      </c>
      <c r="E44" s="7">
        <v>0.1669195</v>
      </c>
      <c r="F44" s="7" t="s">
        <v>18</v>
      </c>
      <c r="J44" s="51"/>
    </row>
    <row r="45" spans="1:10" x14ac:dyDescent="0.3">
      <c r="A45" s="26" t="s">
        <v>200</v>
      </c>
      <c r="B45" s="27" t="s">
        <v>112</v>
      </c>
      <c r="C45" s="9">
        <v>3.1476750925652173</v>
      </c>
      <c r="D45" s="9">
        <v>-55.972656899999997</v>
      </c>
      <c r="E45" s="9">
        <v>-1.139842</v>
      </c>
      <c r="F45" s="9" t="s">
        <v>16</v>
      </c>
      <c r="J45" s="51"/>
    </row>
    <row r="46" spans="1:10" x14ac:dyDescent="0.3">
      <c r="A46" s="6" t="s">
        <v>193</v>
      </c>
      <c r="B46" s="8" t="s">
        <v>122</v>
      </c>
      <c r="C46" s="7">
        <v>3.1301817706956521</v>
      </c>
      <c r="D46" s="7">
        <v>-4.0269830000000004</v>
      </c>
      <c r="E46" s="7">
        <v>-1.639365</v>
      </c>
      <c r="F46" s="7" t="s">
        <v>12</v>
      </c>
      <c r="J46" s="51"/>
    </row>
    <row r="47" spans="1:10" x14ac:dyDescent="0.3">
      <c r="A47" s="26" t="s">
        <v>194</v>
      </c>
      <c r="B47" s="27" t="s">
        <v>96</v>
      </c>
      <c r="C47" s="9">
        <v>3.0301348008695648</v>
      </c>
      <c r="D47" s="9">
        <v>-22.270565000000001</v>
      </c>
      <c r="E47" s="9">
        <v>-1.2850330000000001</v>
      </c>
      <c r="F47" s="9" t="s">
        <v>12</v>
      </c>
      <c r="J47" s="51"/>
    </row>
    <row r="48" spans="1:10" x14ac:dyDescent="0.3">
      <c r="A48" s="6" t="s">
        <v>191</v>
      </c>
      <c r="B48" s="8" t="s">
        <v>121</v>
      </c>
      <c r="C48" s="7">
        <v>3.008591043478261</v>
      </c>
      <c r="D48" s="7">
        <v>23.950129499999999</v>
      </c>
      <c r="E48" s="7">
        <v>-1.0047394999999999</v>
      </c>
      <c r="F48" s="7" t="s">
        <v>14</v>
      </c>
      <c r="J48" s="51"/>
    </row>
    <row r="49" spans="1:10" x14ac:dyDescent="0.3">
      <c r="A49" s="26" t="s">
        <v>187</v>
      </c>
      <c r="B49" s="27" t="s">
        <v>100</v>
      </c>
      <c r="C49" s="9">
        <v>2.9662927130434777</v>
      </c>
      <c r="D49" s="9">
        <v>-6.6309684999999998</v>
      </c>
      <c r="E49" s="9">
        <v>-0.21838150000000001</v>
      </c>
      <c r="F49" s="9" t="s">
        <v>15</v>
      </c>
      <c r="J49" s="51"/>
    </row>
    <row r="50" spans="1:10" x14ac:dyDescent="0.3">
      <c r="A50" s="6" t="s">
        <v>103</v>
      </c>
      <c r="B50" s="8" t="s">
        <v>102</v>
      </c>
      <c r="C50" s="7">
        <v>2.9607230017391299</v>
      </c>
      <c r="D50" s="7">
        <v>-9.6543065000000006</v>
      </c>
      <c r="E50" s="7">
        <v>-0.62097049999999998</v>
      </c>
      <c r="F50" s="7" t="s">
        <v>12</v>
      </c>
      <c r="J50" s="51"/>
    </row>
    <row r="51" spans="1:10" x14ac:dyDescent="0.3">
      <c r="A51" s="26" t="s">
        <v>204</v>
      </c>
      <c r="B51" s="27" t="s">
        <v>113</v>
      </c>
      <c r="C51" s="9">
        <v>2.9163711995652171</v>
      </c>
      <c r="D51" s="9">
        <v>-11.380328800000001</v>
      </c>
      <c r="E51" s="9">
        <v>-0.65602300000000002</v>
      </c>
      <c r="F51" s="9" t="s">
        <v>243</v>
      </c>
      <c r="J51" s="51"/>
    </row>
    <row r="52" spans="1:10" x14ac:dyDescent="0.3">
      <c r="A52" s="6" t="s">
        <v>202</v>
      </c>
      <c r="B52" s="8" t="s">
        <v>128</v>
      </c>
      <c r="C52" s="7">
        <v>2.6352029044347818</v>
      </c>
      <c r="D52" s="7">
        <v>-1.6500459999999999</v>
      </c>
      <c r="E52" s="7">
        <v>-1.4467190000000001</v>
      </c>
      <c r="F52" s="7" t="s">
        <v>18</v>
      </c>
      <c r="J52" s="51"/>
    </row>
    <row r="53" spans="1:10" x14ac:dyDescent="0.3">
      <c r="A53" s="26" t="s">
        <v>199</v>
      </c>
      <c r="B53" s="27" t="s">
        <v>127</v>
      </c>
      <c r="C53" s="9">
        <v>2.4580418708504794</v>
      </c>
      <c r="D53" s="9">
        <v>3.5438158127100001</v>
      </c>
      <c r="E53" s="9">
        <v>-1.2531987628400001</v>
      </c>
      <c r="F53" s="9" t="s">
        <v>11</v>
      </c>
      <c r="J53" s="51"/>
    </row>
    <row r="54" spans="1:10" x14ac:dyDescent="0.3">
      <c r="A54" s="6" t="s">
        <v>210</v>
      </c>
      <c r="B54" s="8" t="s">
        <v>134</v>
      </c>
      <c r="C54" s="7">
        <v>2.399322573913043</v>
      </c>
      <c r="D54" s="7">
        <v>45.699277000000002</v>
      </c>
      <c r="E54" s="7">
        <v>7.5535500000000004</v>
      </c>
      <c r="F54" s="7" t="s">
        <v>241</v>
      </c>
      <c r="J54" s="51"/>
    </row>
    <row r="55" spans="1:10" x14ac:dyDescent="0.3">
      <c r="A55" s="26" t="s">
        <v>196</v>
      </c>
      <c r="B55" s="27" t="s">
        <v>124</v>
      </c>
      <c r="C55" s="9">
        <v>2.158102551826087</v>
      </c>
      <c r="D55" s="9">
        <v>-5.8469110000000004</v>
      </c>
      <c r="E55" s="9">
        <v>-1.0390820000000001</v>
      </c>
      <c r="F55" s="9" t="s">
        <v>242</v>
      </c>
      <c r="J55" s="51"/>
    </row>
    <row r="56" spans="1:10" x14ac:dyDescent="0.3">
      <c r="A56" s="6" t="s">
        <v>205</v>
      </c>
      <c r="B56" s="8" t="s">
        <v>130</v>
      </c>
      <c r="C56" s="7">
        <v>2.1401160756521742</v>
      </c>
      <c r="D56" s="7">
        <v>-32.265794999999997</v>
      </c>
      <c r="E56" s="7">
        <v>-1.8441780000000001</v>
      </c>
      <c r="F56" s="7" t="s">
        <v>18</v>
      </c>
      <c r="J56" s="51"/>
    </row>
    <row r="57" spans="1:10" x14ac:dyDescent="0.3">
      <c r="A57" s="26" t="s">
        <v>203</v>
      </c>
      <c r="B57" s="27" t="s">
        <v>129</v>
      </c>
      <c r="C57" s="9">
        <v>2.0531814294051038</v>
      </c>
      <c r="D57" s="9">
        <v>-8.29060924765</v>
      </c>
      <c r="E57" s="9">
        <v>1.0941074777500002</v>
      </c>
      <c r="F57" s="9" t="s">
        <v>18</v>
      </c>
      <c r="J57" s="51"/>
    </row>
    <row r="58" spans="1:10" x14ac:dyDescent="0.3">
      <c r="A58" s="6" t="s">
        <v>216</v>
      </c>
      <c r="B58" s="8" t="s">
        <v>140</v>
      </c>
      <c r="C58" s="7">
        <v>1.8846763134782609</v>
      </c>
      <c r="D58" s="7">
        <v>8.9657789999999995</v>
      </c>
      <c r="E58" s="7">
        <v>-0.83141849999999995</v>
      </c>
      <c r="F58" s="7" t="s">
        <v>243</v>
      </c>
      <c r="J58" s="51"/>
    </row>
    <row r="59" spans="1:10" x14ac:dyDescent="0.3">
      <c r="A59" s="26" t="s">
        <v>215</v>
      </c>
      <c r="B59" s="27" t="s">
        <v>139</v>
      </c>
      <c r="C59" s="9">
        <v>1.7660093995652171</v>
      </c>
      <c r="D59" s="9">
        <v>5.9575319999999996</v>
      </c>
      <c r="E59" s="9">
        <v>-0.210229</v>
      </c>
      <c r="F59" s="9" t="s">
        <v>18</v>
      </c>
      <c r="J59" s="51"/>
    </row>
    <row r="60" spans="1:10" x14ac:dyDescent="0.3">
      <c r="A60" s="6" t="s">
        <v>201</v>
      </c>
      <c r="B60" s="8" t="s">
        <v>59</v>
      </c>
      <c r="C60" s="7">
        <v>1.691220552528196</v>
      </c>
      <c r="D60" s="7">
        <v>9.5643345687000014</v>
      </c>
      <c r="E60" s="7">
        <v>0.17849433549999999</v>
      </c>
      <c r="F60" s="7" t="s">
        <v>12</v>
      </c>
      <c r="J60" s="51"/>
    </row>
    <row r="61" spans="1:10" x14ac:dyDescent="0.3">
      <c r="A61" s="26" t="s">
        <v>207</v>
      </c>
      <c r="B61" s="27" t="s">
        <v>132</v>
      </c>
      <c r="C61" s="9">
        <v>1.6015346448695651</v>
      </c>
      <c r="D61" s="9">
        <v>-32.029352000000003</v>
      </c>
      <c r="E61" s="9">
        <v>-2.2305359999999999</v>
      </c>
      <c r="F61" s="9" t="s">
        <v>18</v>
      </c>
      <c r="J61" s="51"/>
    </row>
    <row r="62" spans="1:10" x14ac:dyDescent="0.3">
      <c r="A62" s="6" t="s">
        <v>211</v>
      </c>
      <c r="B62" s="8" t="s">
        <v>135</v>
      </c>
      <c r="C62" s="7">
        <v>1.5179161306229829</v>
      </c>
      <c r="D62" s="7">
        <v>-36.275578765380004</v>
      </c>
      <c r="E62" s="7">
        <v>-2.13525410973</v>
      </c>
      <c r="F62" s="7" t="s">
        <v>18</v>
      </c>
      <c r="J62" s="51"/>
    </row>
    <row r="63" spans="1:10" x14ac:dyDescent="0.3">
      <c r="A63" s="26" t="s">
        <v>206</v>
      </c>
      <c r="B63" s="27" t="s">
        <v>131</v>
      </c>
      <c r="C63" s="9">
        <v>1.516701240434783</v>
      </c>
      <c r="D63" s="9">
        <v>-20.180296500000001</v>
      </c>
      <c r="E63" s="9">
        <v>-0.15216300000000008</v>
      </c>
      <c r="F63" s="9" t="s">
        <v>243</v>
      </c>
      <c r="J63" s="51"/>
    </row>
    <row r="64" spans="1:10" x14ac:dyDescent="0.3">
      <c r="A64" s="6" t="s">
        <v>195</v>
      </c>
      <c r="B64" s="8" t="s">
        <v>123</v>
      </c>
      <c r="C64" s="7">
        <v>1.5096100504347831</v>
      </c>
      <c r="D64" s="7">
        <v>-20.213894</v>
      </c>
      <c r="E64" s="7">
        <v>0.491367</v>
      </c>
      <c r="F64" s="7" t="s">
        <v>242</v>
      </c>
      <c r="J64" s="51"/>
    </row>
    <row r="65" spans="1:10" x14ac:dyDescent="0.3">
      <c r="A65" s="26" t="s">
        <v>197</v>
      </c>
      <c r="B65" s="27" t="s">
        <v>125</v>
      </c>
      <c r="C65" s="9">
        <v>1.3831949999565218</v>
      </c>
      <c r="D65" s="9">
        <v>23.821673000000001</v>
      </c>
      <c r="E65" s="9">
        <v>0.18020700000000001</v>
      </c>
      <c r="F65" s="9" t="s">
        <v>11</v>
      </c>
      <c r="J65" s="51"/>
    </row>
    <row r="66" spans="1:10" x14ac:dyDescent="0.3">
      <c r="A66" s="6" t="s">
        <v>208</v>
      </c>
      <c r="B66" s="8" t="s">
        <v>98</v>
      </c>
      <c r="C66" s="7">
        <v>1.304930486742762</v>
      </c>
      <c r="D66" s="7">
        <v>-4.6952286393799998</v>
      </c>
      <c r="E66" s="7">
        <v>-0.76181368567999996</v>
      </c>
      <c r="F66" s="7" t="s">
        <v>15</v>
      </c>
      <c r="J66" s="51"/>
    </row>
    <row r="67" spans="1:10" x14ac:dyDescent="0.3">
      <c r="A67" s="26" t="s">
        <v>209</v>
      </c>
      <c r="B67" s="27" t="s">
        <v>133</v>
      </c>
      <c r="C67" s="9">
        <v>1.261426915652174</v>
      </c>
      <c r="D67" s="9">
        <v>2.8506947999999999</v>
      </c>
      <c r="E67" s="9">
        <v>-0.110883</v>
      </c>
      <c r="F67" s="9" t="s">
        <v>243</v>
      </c>
      <c r="J67" s="51"/>
    </row>
    <row r="68" spans="1:10" x14ac:dyDescent="0.3">
      <c r="A68" s="6" t="s">
        <v>212</v>
      </c>
      <c r="B68" s="8" t="s">
        <v>136</v>
      </c>
      <c r="C68" s="7">
        <v>1.1834472356521741</v>
      </c>
      <c r="D68" s="7">
        <v>7.7705166999999999</v>
      </c>
      <c r="E68" s="7">
        <v>0.32858549999999997</v>
      </c>
      <c r="F68" s="7" t="s">
        <v>242</v>
      </c>
      <c r="J68" s="51"/>
    </row>
    <row r="69" spans="1:10" x14ac:dyDescent="0.3">
      <c r="A69" s="26" t="s">
        <v>224</v>
      </c>
      <c r="B69" s="27" t="s">
        <v>147</v>
      </c>
      <c r="C69" s="9">
        <v>1.1761659761739132</v>
      </c>
      <c r="D69" s="9">
        <v>12.7504475</v>
      </c>
      <c r="E69" s="9">
        <v>5.33765E-2</v>
      </c>
      <c r="F69" s="9" t="s">
        <v>15</v>
      </c>
      <c r="J69" s="51"/>
    </row>
    <row r="70" spans="1:10" x14ac:dyDescent="0.3">
      <c r="A70" s="6" t="s">
        <v>217</v>
      </c>
      <c r="B70" s="8" t="s">
        <v>141</v>
      </c>
      <c r="C70" s="7">
        <v>1.1204714102608699</v>
      </c>
      <c r="D70" s="7">
        <v>19.553872999999999</v>
      </c>
      <c r="E70" s="7">
        <v>1.4928000000000009E-2</v>
      </c>
      <c r="F70" s="7" t="s">
        <v>240</v>
      </c>
      <c r="J70" s="51"/>
    </row>
    <row r="71" spans="1:10" x14ac:dyDescent="0.3">
      <c r="A71" s="26" t="s">
        <v>220</v>
      </c>
      <c r="B71" s="27" t="s">
        <v>143</v>
      </c>
      <c r="C71" s="9">
        <v>1.0316598180702279</v>
      </c>
      <c r="D71" s="9">
        <v>-48.711481574610005</v>
      </c>
      <c r="E71" s="9">
        <v>-0.39697627700999988</v>
      </c>
      <c r="F71" s="9" t="s">
        <v>18</v>
      </c>
      <c r="J71" s="51"/>
    </row>
    <row r="72" spans="1:10" x14ac:dyDescent="0.3">
      <c r="A72" s="6" t="s">
        <v>222</v>
      </c>
      <c r="B72" s="8" t="s">
        <v>145</v>
      </c>
      <c r="C72" s="7">
        <v>0.99852766626086964</v>
      </c>
      <c r="D72" s="7">
        <v>-12.556865</v>
      </c>
      <c r="E72" s="7">
        <v>-1.0823480000000001</v>
      </c>
      <c r="F72" s="7" t="s">
        <v>17</v>
      </c>
      <c r="J72" s="51"/>
    </row>
    <row r="73" spans="1:10" x14ac:dyDescent="0.3">
      <c r="A73" s="26" t="s">
        <v>233</v>
      </c>
      <c r="B73" s="27" t="s">
        <v>252</v>
      </c>
      <c r="C73" s="9">
        <v>0.99219496000000007</v>
      </c>
      <c r="D73" s="9">
        <v>-3.1183686000000002</v>
      </c>
      <c r="E73" s="9">
        <v>-9.103449999999999E-2</v>
      </c>
      <c r="F73" s="9" t="s">
        <v>242</v>
      </c>
      <c r="J73" s="51"/>
    </row>
    <row r="74" spans="1:10" x14ac:dyDescent="0.3">
      <c r="A74" s="6" t="s">
        <v>214</v>
      </c>
      <c r="B74" s="8" t="s">
        <v>138</v>
      </c>
      <c r="C74" s="7">
        <v>0.93552959782608691</v>
      </c>
      <c r="D74" s="7">
        <v>18.183133000000002</v>
      </c>
      <c r="E74" s="7">
        <v>-0.60634299999999997</v>
      </c>
      <c r="F74" s="7" t="s">
        <v>18</v>
      </c>
      <c r="J74" s="51"/>
    </row>
    <row r="75" spans="1:10" x14ac:dyDescent="0.3">
      <c r="A75" s="26" t="s">
        <v>256</v>
      </c>
      <c r="B75" s="27" t="s">
        <v>257</v>
      </c>
      <c r="C75" s="9">
        <v>0.87717240269565222</v>
      </c>
      <c r="D75" s="9">
        <v>-23.458191500000002</v>
      </c>
      <c r="E75" s="9">
        <v>-0.2478775</v>
      </c>
      <c r="F75" s="9" t="s">
        <v>18</v>
      </c>
      <c r="J75" s="51"/>
    </row>
    <row r="76" spans="1:10" x14ac:dyDescent="0.3">
      <c r="A76" s="6" t="s">
        <v>229</v>
      </c>
      <c r="B76" s="8" t="s">
        <v>152</v>
      </c>
      <c r="C76" s="7">
        <v>0.87288497521739139</v>
      </c>
      <c r="D76" s="7">
        <v>12.474707</v>
      </c>
      <c r="E76" s="7">
        <v>1.474181</v>
      </c>
      <c r="F76" s="7" t="s">
        <v>18</v>
      </c>
      <c r="J76" s="51"/>
    </row>
    <row r="77" spans="1:10" x14ac:dyDescent="0.3">
      <c r="A77" s="26" t="s">
        <v>235</v>
      </c>
      <c r="B77" s="27" t="s">
        <v>156</v>
      </c>
      <c r="C77" s="9">
        <v>0.85501692347826086</v>
      </c>
      <c r="D77" s="9">
        <v>-2.2787514999999998</v>
      </c>
      <c r="E77" s="9">
        <v>-0.53107400000000016</v>
      </c>
      <c r="F77" s="9" t="s">
        <v>12</v>
      </c>
      <c r="J77" s="51"/>
    </row>
    <row r="78" spans="1:10" x14ac:dyDescent="0.3">
      <c r="A78" s="6" t="s">
        <v>238</v>
      </c>
      <c r="B78" s="8" t="s">
        <v>158</v>
      </c>
      <c r="C78" s="7">
        <v>0.81715765434782617</v>
      </c>
      <c r="D78" s="7">
        <v>-0.30766999999999983</v>
      </c>
      <c r="E78" s="7">
        <v>0.12660679999999999</v>
      </c>
      <c r="F78" s="7" t="s">
        <v>15</v>
      </c>
      <c r="J78" s="51"/>
    </row>
    <row r="79" spans="1:10" x14ac:dyDescent="0.3">
      <c r="A79" s="26" t="s">
        <v>219</v>
      </c>
      <c r="B79" s="27" t="s">
        <v>142</v>
      </c>
      <c r="C79" s="9">
        <v>0.81195482765217397</v>
      </c>
      <c r="D79" s="9">
        <v>7.2490315000000001</v>
      </c>
      <c r="E79" s="9">
        <v>0.235821</v>
      </c>
      <c r="F79" s="9" t="s">
        <v>242</v>
      </c>
      <c r="J79" s="51"/>
    </row>
    <row r="80" spans="1:10" x14ac:dyDescent="0.3">
      <c r="A80" s="6" t="s">
        <v>221</v>
      </c>
      <c r="B80" s="8" t="s">
        <v>144</v>
      </c>
      <c r="C80" s="7">
        <v>0.78790326739130434</v>
      </c>
      <c r="D80" s="7">
        <v>-22.449914</v>
      </c>
      <c r="E80" s="7">
        <v>-0.29564400000000002</v>
      </c>
      <c r="F80" s="7" t="s">
        <v>18</v>
      </c>
      <c r="J80" s="51"/>
    </row>
    <row r="81" spans="1:10" x14ac:dyDescent="0.3">
      <c r="A81" s="26" t="s">
        <v>213</v>
      </c>
      <c r="B81" s="27" t="s">
        <v>137</v>
      </c>
      <c r="C81" s="9">
        <v>0.765513325652174</v>
      </c>
      <c r="D81" s="9">
        <v>-0.33920400000000001</v>
      </c>
      <c r="E81" s="9">
        <v>1.7465499999999998E-2</v>
      </c>
      <c r="F81" s="9" t="s">
        <v>241</v>
      </c>
      <c r="J81" s="51"/>
    </row>
    <row r="82" spans="1:10" x14ac:dyDescent="0.3">
      <c r="A82" s="6" t="s">
        <v>231</v>
      </c>
      <c r="B82" s="8" t="s">
        <v>153</v>
      </c>
      <c r="C82" s="7">
        <v>0.7507383614782609</v>
      </c>
      <c r="D82" s="7">
        <v>-11.768454999999999</v>
      </c>
      <c r="E82" s="7">
        <v>-0.26808149999999997</v>
      </c>
      <c r="F82" s="7" t="s">
        <v>18</v>
      </c>
      <c r="J82" s="51"/>
    </row>
    <row r="83" spans="1:10" x14ac:dyDescent="0.3">
      <c r="A83" s="26" t="s">
        <v>230</v>
      </c>
      <c r="B83" s="27" t="s">
        <v>91</v>
      </c>
      <c r="C83" s="9">
        <v>0.74348294782608704</v>
      </c>
      <c r="D83" s="9">
        <v>0.29525750000000001</v>
      </c>
      <c r="E83" s="9">
        <v>0.42941649999999998</v>
      </c>
      <c r="F83" s="9" t="s">
        <v>12</v>
      </c>
      <c r="J83" s="51"/>
    </row>
    <row r="84" spans="1:10" x14ac:dyDescent="0.3">
      <c r="A84" s="6" t="s">
        <v>234</v>
      </c>
      <c r="B84" s="8" t="s">
        <v>155</v>
      </c>
      <c r="C84" s="7">
        <v>0.73616027478260859</v>
      </c>
      <c r="D84" s="7">
        <v>15.030277999999999</v>
      </c>
      <c r="E84" s="7">
        <v>0.25839299999999998</v>
      </c>
      <c r="F84" s="7" t="s">
        <v>12</v>
      </c>
      <c r="J84" s="51"/>
    </row>
    <row r="85" spans="1:10" x14ac:dyDescent="0.3">
      <c r="A85" s="26" t="s">
        <v>218</v>
      </c>
      <c r="B85" s="27" t="s">
        <v>108</v>
      </c>
      <c r="C85" s="9">
        <v>0.72929043770478263</v>
      </c>
      <c r="D85" s="9">
        <v>41.5888620172</v>
      </c>
      <c r="E85" s="9">
        <v>9.1655412399999983E-2</v>
      </c>
      <c r="F85" s="9" t="s">
        <v>242</v>
      </c>
      <c r="J85" s="51"/>
    </row>
    <row r="86" spans="1:10" x14ac:dyDescent="0.3">
      <c r="A86" s="6" t="s">
        <v>228</v>
      </c>
      <c r="B86" s="8" t="s">
        <v>151</v>
      </c>
      <c r="C86" s="7">
        <v>0.72485015304347822</v>
      </c>
      <c r="D86" s="7">
        <v>12.182195999999999</v>
      </c>
      <c r="E86" s="7">
        <v>0.11447400000000001</v>
      </c>
      <c r="F86" s="7" t="s">
        <v>15</v>
      </c>
      <c r="J86" s="51"/>
    </row>
    <row r="87" spans="1:10" x14ac:dyDescent="0.3">
      <c r="A87" s="26" t="s">
        <v>236</v>
      </c>
      <c r="B87" s="27" t="s">
        <v>99</v>
      </c>
      <c r="C87" s="9">
        <v>0.66684086252300001</v>
      </c>
      <c r="D87" s="9">
        <v>-27.550038989410002</v>
      </c>
      <c r="E87" s="9">
        <v>0.40414977309999989</v>
      </c>
      <c r="F87" s="9" t="s">
        <v>18</v>
      </c>
      <c r="J87" s="51"/>
    </row>
    <row r="88" spans="1:10" x14ac:dyDescent="0.3">
      <c r="A88" s="6" t="s">
        <v>258</v>
      </c>
      <c r="B88" s="8" t="s">
        <v>259</v>
      </c>
      <c r="C88" s="7">
        <v>0.64120063347826084</v>
      </c>
      <c r="D88" s="7">
        <v>-1.4010659999999999</v>
      </c>
      <c r="E88" s="7">
        <v>1.3025E-2</v>
      </c>
      <c r="F88" s="7" t="s">
        <v>241</v>
      </c>
      <c r="J88" s="51"/>
    </row>
    <row r="89" spans="1:10" x14ac:dyDescent="0.3">
      <c r="A89" s="26" t="s">
        <v>227</v>
      </c>
      <c r="B89" s="27" t="s">
        <v>150</v>
      </c>
      <c r="C89" s="9">
        <v>0.61196995434782608</v>
      </c>
      <c r="D89" s="9">
        <v>6.9145830000000004</v>
      </c>
      <c r="E89" s="9">
        <v>0.274258</v>
      </c>
      <c r="F89" s="9" t="s">
        <v>17</v>
      </c>
      <c r="J89" s="51"/>
    </row>
    <row r="90" spans="1:10" x14ac:dyDescent="0.3">
      <c r="A90" s="6" t="s">
        <v>248</v>
      </c>
      <c r="B90" s="8" t="s">
        <v>249</v>
      </c>
      <c r="C90" s="7">
        <v>0.60951839347826087</v>
      </c>
      <c r="D90" s="7">
        <v>-7.073842</v>
      </c>
      <c r="E90" s="7">
        <v>-0.344725</v>
      </c>
      <c r="F90" s="7" t="s">
        <v>17</v>
      </c>
      <c r="J90" s="51"/>
    </row>
    <row r="91" spans="1:10" x14ac:dyDescent="0.3">
      <c r="A91" s="26" t="s">
        <v>226</v>
      </c>
      <c r="B91" s="27" t="s">
        <v>149</v>
      </c>
      <c r="C91" s="9">
        <v>0.5841998834782608</v>
      </c>
      <c r="D91" s="9">
        <v>2.1544203</v>
      </c>
      <c r="E91" s="9">
        <v>1.13627E-2</v>
      </c>
      <c r="F91" s="9" t="s">
        <v>11</v>
      </c>
      <c r="J91" s="51"/>
    </row>
    <row r="92" spans="1:10" x14ac:dyDescent="0.3">
      <c r="A92" s="6" t="s">
        <v>237</v>
      </c>
      <c r="B92" s="8" t="s">
        <v>157</v>
      </c>
      <c r="C92" s="7">
        <v>0.58103876747148264</v>
      </c>
      <c r="D92" s="7">
        <v>-18.229049433499998</v>
      </c>
      <c r="E92" s="7">
        <v>-0.75852130990000011</v>
      </c>
      <c r="F92" s="7" t="s">
        <v>18</v>
      </c>
      <c r="J92" s="51"/>
    </row>
    <row r="93" spans="1:10" x14ac:dyDescent="0.3">
      <c r="A93" s="26" t="s">
        <v>223</v>
      </c>
      <c r="B93" s="27" t="s">
        <v>146</v>
      </c>
      <c r="C93" s="9">
        <v>0.55488055739130437</v>
      </c>
      <c r="D93" s="9">
        <v>-9.8203962000000011</v>
      </c>
      <c r="E93" s="9">
        <v>-7.6984200000000003E-2</v>
      </c>
      <c r="F93" s="9" t="s">
        <v>242</v>
      </c>
      <c r="J93" s="51"/>
    </row>
    <row r="94" spans="1:10" x14ac:dyDescent="0.3">
      <c r="A94" s="6" t="s">
        <v>225</v>
      </c>
      <c r="B94" s="8" t="s">
        <v>148</v>
      </c>
      <c r="C94" s="7">
        <v>0.53150809478260863</v>
      </c>
      <c r="D94" s="7">
        <v>1.442132</v>
      </c>
      <c r="E94" s="7">
        <v>-1.7274500000000002E-2</v>
      </c>
      <c r="F94" s="7" t="s">
        <v>15</v>
      </c>
      <c r="J94" s="51"/>
    </row>
    <row r="95" spans="1:10" x14ac:dyDescent="0.3">
      <c r="A95" s="26" t="s">
        <v>261</v>
      </c>
      <c r="B95" s="27" t="s">
        <v>262</v>
      </c>
      <c r="C95" s="9">
        <v>0.51504155839130439</v>
      </c>
      <c r="D95" s="9">
        <v>1.7953485</v>
      </c>
      <c r="E95" s="9">
        <v>5.4797499999999999E-2</v>
      </c>
      <c r="F95" s="9" t="s">
        <v>241</v>
      </c>
      <c r="J95" s="51"/>
    </row>
    <row r="96" spans="1:10" x14ac:dyDescent="0.3">
      <c r="A96" s="6" t="s">
        <v>254</v>
      </c>
      <c r="B96" s="8" t="s">
        <v>253</v>
      </c>
      <c r="C96" s="7">
        <v>0.49456749565217389</v>
      </c>
      <c r="D96" s="7">
        <v>25.80617899999999</v>
      </c>
      <c r="E96" s="7">
        <v>-0.39883400000000013</v>
      </c>
      <c r="F96" s="7" t="s">
        <v>14</v>
      </c>
      <c r="J96" s="51"/>
    </row>
    <row r="97" spans="1:10" x14ac:dyDescent="0.3">
      <c r="A97" s="26" t="s">
        <v>239</v>
      </c>
      <c r="B97" s="27" t="s">
        <v>159</v>
      </c>
      <c r="C97" s="9">
        <v>0.46093694173913041</v>
      </c>
      <c r="D97" s="9">
        <v>-7.5878857000000002</v>
      </c>
      <c r="E97" s="9">
        <v>-0.20370949999999999</v>
      </c>
      <c r="F97" s="9" t="s">
        <v>16</v>
      </c>
      <c r="J97" s="51"/>
    </row>
    <row r="98" spans="1:10" x14ac:dyDescent="0.3">
      <c r="A98" s="6" t="s">
        <v>266</v>
      </c>
      <c r="B98" s="8" t="s">
        <v>265</v>
      </c>
      <c r="C98" s="7">
        <v>0.44991794565217391</v>
      </c>
      <c r="D98" s="7">
        <v>5.0059895000000001</v>
      </c>
      <c r="E98" s="7">
        <v>-7.6490000000000002E-2</v>
      </c>
      <c r="F98" s="7" t="s">
        <v>18</v>
      </c>
      <c r="J98" s="51"/>
    </row>
    <row r="99" spans="1:10" x14ac:dyDescent="0.3">
      <c r="A99" s="26" t="s">
        <v>263</v>
      </c>
      <c r="B99" s="27" t="s">
        <v>264</v>
      </c>
      <c r="C99" s="9">
        <v>0.40957277204347819</v>
      </c>
      <c r="D99" s="9">
        <v>-3.5458775</v>
      </c>
      <c r="E99" s="9">
        <v>-4.82765E-2</v>
      </c>
      <c r="F99" s="9" t="s">
        <v>12</v>
      </c>
      <c r="J99" s="51"/>
    </row>
    <row r="100" spans="1:10" x14ac:dyDescent="0.3">
      <c r="A100" s="6" t="s">
        <v>268</v>
      </c>
      <c r="B100" s="8" t="s">
        <v>269</v>
      </c>
      <c r="C100" s="7">
        <v>0.38428364521739133</v>
      </c>
      <c r="D100" s="7">
        <v>-7.1387328999999999</v>
      </c>
      <c r="E100" s="7">
        <v>-9.8895499999999997E-2</v>
      </c>
      <c r="F100" s="7" t="s">
        <v>12</v>
      </c>
      <c r="J100" s="51"/>
    </row>
    <row r="101" spans="1:10" x14ac:dyDescent="0.3">
      <c r="A101" s="62" t="s">
        <v>232</v>
      </c>
      <c r="B101" s="63" t="s">
        <v>154</v>
      </c>
      <c r="C101" s="10">
        <v>0.36358028917391305</v>
      </c>
      <c r="D101" s="10">
        <v>5.3391780000000004</v>
      </c>
      <c r="E101" s="10">
        <v>2.4487999999999999E-2</v>
      </c>
      <c r="F101" s="10" t="s">
        <v>18</v>
      </c>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2023-12-04T07:07:08Z</dcterms:modified>
</cp:coreProperties>
</file>