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C36CE1C8-B1C8-4B49-B457-608306366412}" xr6:coauthVersionLast="47" xr6:coauthVersionMax="47" xr10:uidLastSave="{00000000-0000-0000-0000-000000000000}"/>
  <bookViews>
    <workbookView xWindow="-108" yWindow="312" windowWidth="23256" windowHeight="12156"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 i="2" l="1"/>
  <c r="A5" i="2"/>
  <c r="A6" i="2"/>
  <c r="A3" i="2"/>
  <c r="A4" i="3"/>
  <c r="A3" i="3"/>
  <c r="A5" i="3"/>
  <c r="A6" i="3"/>
  <c r="A1" i="5" l="1"/>
  <c r="C32" i="4" l="1"/>
  <c r="D32" i="4"/>
  <c r="A1" i="4" l="1"/>
  <c r="C18" i="1" l="1"/>
  <c r="F18" i="1" s="1"/>
  <c r="F5" i="1"/>
</calcChain>
</file>

<file path=xl/sharedStrings.xml><?xml version="1.0" encoding="utf-8"?>
<sst xmlns="http://schemas.openxmlformats.org/spreadsheetml/2006/main" count="520" uniqueCount="285">
  <si>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</si>
  <si>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</si>
  <si>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</si>
  <si>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</si>
  <si>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</si>
  <si>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</si>
  <si>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</si>
  <si>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</si>
  <si>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</si>
  <si>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</si>
  <si>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</si>
  <si>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</si>
  <si>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</si>
  <si>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</si>
  <si>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</si>
  <si>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</si>
  <si>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</si>
  <si>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</si>
  <si>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</si>
  <si>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</si>
  <si>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</si>
  <si>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</si>
  <si>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</si>
  <si>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</si>
  <si>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</si>
  <si>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</si>
  <si>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</si>
  <si>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</si>
  <si>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</si>
  <si>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</si>
  <si>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</si>
  <si>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</si>
  <si>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</si>
  <si>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</si>
  <si>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</si>
  <si>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</si>
  <si>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</si>
  <si>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</si>
  <si>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</si>
  <si>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</si>
  <si>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</si>
  <si>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</si>
  <si>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</si>
  <si>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</si>
  <si>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</si>
  <si>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</si>
  <si>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</si>
  <si>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</si>
  <si>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</si>
  <si>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</si>
  <si>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</si>
  <si>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</si>
  <si>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</si>
  <si>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</si>
  <si>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</si>
  <si>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</si>
  <si>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</si>
  <si>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</si>
  <si>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</si>
  <si>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</si>
  <si>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</si>
  <si>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</si>
  <si>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</si>
  <si>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</si>
  <si>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</si>
  <si>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</si>
  <si>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</si>
  <si>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</si>
  <si>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</si>
  <si>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</si>
  <si>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</si>
  <si>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</si>
  <si>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</si>
  <si>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</si>
  <si>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</si>
  <si>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</si>
  <si>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</si>
  <si>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</si>
  <si>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</si>
  <si>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</si>
  <si>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</si>
  <si>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</si>
  <si>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</si>
  <si>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</si>
  <si>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</si>
  <si>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</si>
  <si>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</si>
  <si>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</si>
  <si>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</si>
  <si>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</si>
  <si>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</si>
  <si>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</si>
  <si>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</si>
  <si>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</si>
  <si>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</si>
  <si>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</si>
  <si>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</si>
  <si>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</si>
  <si>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</si>
  <si>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</si>
  <si>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</si>
  <si>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</si>
  <si>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</si>
  <si>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</si>
  <si>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</si>
  <si>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</si>
  <si>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</si>
  <si>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</si>
  <si>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</si>
  <si>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</si>
  <si>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</si>
  <si>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</si>
  <si>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</si>
  <si>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</si>
  <si>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</si>
  <si>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</si>
  <si>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</si>
  <si>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</si>
  <si>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</si>
  <si>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</si>
  <si>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</si>
  <si>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</si>
  <si>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</si>
  <si>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</si>
  <si>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</si>
  <si>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</si>
  <si>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</si>
  <si>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</si>
  <si>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</si>
  <si>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</si>
  <si>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</si>
  <si>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</si>
  <si>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</si>
  <si>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</si>
  <si>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</si>
  <si>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</si>
  <si>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</si>
  <si>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</si>
  <si>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</si>
  <si>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</si>
  <si>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</si>
  <si>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</si>
  <si>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</si>
  <si>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</si>
  <si>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</si>
  <si>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</si>
  <si>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</si>
  <si>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</si>
  <si>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</si>
  <si>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</si>
  <si>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</si>
  <si>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UD2</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</si>
  <si>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</si>
  <si>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</si>
  <si>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</si>
  <si>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</si>
  <si>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</si>
  <si>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</si>
  <si>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</si>
  <si>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</si>
  <si>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</si>
  <si>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</si>
  <si>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</si>
  <si>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</si>
  <si>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</si>
  <si>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</si>
  <si>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</si>
  <si>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</si>
  <si>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</si>
  <si>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</si>
  <si>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</si>
  <si>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</si>
  <si>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</si>
  <si>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</si>
  <si>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</si>
  <si>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</si>
  <si>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</si>
  <si>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</si>
  <si>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</si>
  <si>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</si>
  <si>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</si>
  <si>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</si>
  <si>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</si>
  <si>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</si>
  <si>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</si>
  <si>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</si>
  <si>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</si>
  <si>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</si>
  <si>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</si>
  <si>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</si>
  <si>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</si>
  <si>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</si>
  <si>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</si>
  <si>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</si>
  <si>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</si>
  <si>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</si>
  <si>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</si>
  <si>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</si>
  <si>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</si>
  <si>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</si>
  <si>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</si>
  <si>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</si>
  <si>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</si>
  <si>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</si>
  <si>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</si>
  <si>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</si>
  <si>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</si>
  <si>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</si>
  <si>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</si>
  <si>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</si>
  <si>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</si>
  <si>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</si>
  <si>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</si>
  <si>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</si>
  <si>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</si>
  <si>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</si>
  <si>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</si>
  <si>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</si>
  <si>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</si>
  <si>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</si>
  <si>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</si>
  <si>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</si>
  <si>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</si>
  <si>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</si>
  <si>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</si>
  <si>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</si>
  <si>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</si>
  <si>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</si>
  <si>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</si>
  <si>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</si>
  <si>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</si>
  <si>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</si>
  <si>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</si>
  <si>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</si>
  <si>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</si>
  <si>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</si>
  <si>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</si>
  <si>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</si>
  <si>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</si>
  <si>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</si>
  <si>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</si>
  <si>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</si>
  <si>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</si>
  <si>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</si>
  <si>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</si>
  <si>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</si>
  <si>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</si>
  <si>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</si>
  <si>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</si>
  <si>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</si>
  <si>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</si>
  <si>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</si>
  <si>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</si>
  <si>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</si>
  <si>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</si>
  <si>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</si>
  <si>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</si>
  <si>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</si>
  <si>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</si>
  <si>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</si>
  <si>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</si>
  <si>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</si>
  <si>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</si>
  <si>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</si>
  <si>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</si>
  <si>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</si>
  <si>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</si>
  <si>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 xml:space="preserve">Sembcorp Industries </t>
  </si>
  <si>
    <t xml:space="preserve">Seatrium </t>
  </si>
  <si>
    <t>Acesian Partners</t>
  </si>
  <si>
    <t>5FW</t>
  </si>
  <si>
    <t xml:space="preserve">AEM Holdings </t>
  </si>
  <si>
    <t xml:space="preserve">Hongkong Land </t>
  </si>
  <si>
    <t>Week of 16 October 2023</t>
  </si>
  <si>
    <r>
      <t>Institutional investors net</t>
    </r>
    <r>
      <rPr>
        <b/>
        <sz val="11"/>
        <rFont val="Arial"/>
        <family val="2"/>
      </rPr>
      <t xml:space="preserve"> sell</t>
    </r>
    <r>
      <rPr>
        <sz val="11"/>
        <rFont val="Arial"/>
        <family val="2"/>
      </rPr>
      <t xml:space="preserve"> (-S$230.0m) vs. (-S$52.9m) a week ago</t>
    </r>
  </si>
  <si>
    <r>
      <t>Retail investors net</t>
    </r>
    <r>
      <rPr>
        <b/>
        <sz val="11"/>
        <rFont val="Arial"/>
        <family val="2"/>
      </rPr>
      <t xml:space="preserve"> buy</t>
    </r>
    <r>
      <rPr>
        <sz val="11"/>
        <rFont val="Arial"/>
        <family val="2"/>
      </rPr>
      <t xml:space="preserve"> (+S$342.8m) vs. (-S$186.0m) a week ago</t>
    </r>
  </si>
  <si>
    <t xml:space="preserve">Genting Singapore </t>
  </si>
  <si>
    <t>UMS Holdings</t>
  </si>
  <si>
    <t>Keppel DC REIT</t>
  </si>
  <si>
    <t xml:space="preserve">Jardine Cycle &amp; Carriage </t>
  </si>
  <si>
    <t xml:space="preserve">UOL Group </t>
  </si>
  <si>
    <t xml:space="preserve">City Developments </t>
  </si>
  <si>
    <t>Aztech Global</t>
  </si>
  <si>
    <t xml:space="preserve">Golden Agri-Resources </t>
  </si>
  <si>
    <t>OUE Commercial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</si>
</sst>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4" fillId="5" borderId="5" xfId="0" applyFont="1" applyFill="1" applyBorder="1" applyAlignment="1">
      <alignment vertical="center"/>
    </xf>
    <xf numFmtId="168" fontId="0" fillId="0" borderId="0" xfId="0" applyNumberForma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273</v>
      </c>
    </row>
    <row r="2" spans="1:13" x14ac:dyDescent="0.25">
      <c r="A2" s="56" t="s">
        <v>274</v>
      </c>
    </row>
    <row r="3" spans="1:13" x14ac:dyDescent="0.25">
      <c r="A3" s="56" t="s">
        <v>275</v>
      </c>
    </row>
    <row r="5" spans="1:13" ht="29.25" customHeight="1" x14ac:dyDescent="0.25">
      <c r="A5" s="3" t="s">
        <v>0</v>
      </c>
      <c r="B5" s="3" t="s">
        <v>1</v>
      </c>
      <c r="C5" s="4" t="s">
        <v>273</v>
      </c>
      <c r="D5" s="45" t="s">
        <v>2</v>
      </c>
      <c r="E5" s="45" t="s">
        <v>1</v>
      </c>
      <c r="F5" s="57" t="str">
        <f>+C5</f>
        <v>Week of 16 October 2023</v>
      </c>
    </row>
    <row r="6" spans="1:13" ht="14.4" x14ac:dyDescent="0.3">
      <c r="A6" s="41" t="s">
        <v>28</v>
      </c>
      <c r="B6" s="39" t="s">
        <v>23</v>
      </c>
      <c r="C6" s="7">
        <v>29.404714999999999</v>
      </c>
      <c r="D6" s="41" t="s">
        <v>29</v>
      </c>
      <c r="E6" s="39" t="s">
        <v>24</v>
      </c>
      <c r="F6" s="7">
        <v>-56.278061999999998</v>
      </c>
      <c r="K6" s="53"/>
      <c r="L6"/>
      <c r="M6"/>
    </row>
    <row r="7" spans="1:13" ht="14.4" x14ac:dyDescent="0.3">
      <c r="A7" s="42" t="s">
        <v>276</v>
      </c>
      <c r="B7" s="11" t="s">
        <v>37</v>
      </c>
      <c r="C7" s="9">
        <v>16.500634999999999</v>
      </c>
      <c r="D7" s="42" t="s">
        <v>92</v>
      </c>
      <c r="E7" s="11" t="s">
        <v>26</v>
      </c>
      <c r="F7" s="9">
        <v>-32.195467999999998</v>
      </c>
      <c r="K7" s="53"/>
      <c r="L7"/>
      <c r="M7"/>
    </row>
    <row r="8" spans="1:13" ht="14.4" x14ac:dyDescent="0.3">
      <c r="A8" s="43" t="s">
        <v>181</v>
      </c>
      <c r="B8" s="39" t="s">
        <v>115</v>
      </c>
      <c r="C8" s="7">
        <v>6.7708630000000003</v>
      </c>
      <c r="D8" s="43" t="s">
        <v>34</v>
      </c>
      <c r="E8" s="39" t="s">
        <v>32</v>
      </c>
      <c r="F8" s="7">
        <v>-30.622350000000001</v>
      </c>
      <c r="K8" s="53"/>
      <c r="L8"/>
      <c r="M8"/>
    </row>
    <row r="9" spans="1:13" ht="14.4" x14ac:dyDescent="0.3">
      <c r="A9" s="42" t="s">
        <v>88</v>
      </c>
      <c r="B9" s="11" t="s">
        <v>87</v>
      </c>
      <c r="C9" s="9">
        <v>6.0561780000000001</v>
      </c>
      <c r="D9" s="42" t="s">
        <v>27</v>
      </c>
      <c r="E9" s="11" t="s">
        <v>22</v>
      </c>
      <c r="F9" s="9">
        <v>-25.778067</v>
      </c>
      <c r="K9" s="53"/>
      <c r="L9"/>
      <c r="M9"/>
    </row>
    <row r="10" spans="1:13" ht="14.4" x14ac:dyDescent="0.3">
      <c r="A10" s="43" t="s">
        <v>47</v>
      </c>
      <c r="B10" s="39" t="s">
        <v>44</v>
      </c>
      <c r="C10" s="7">
        <v>6.0405670000000002</v>
      </c>
      <c r="D10" s="43" t="s">
        <v>35</v>
      </c>
      <c r="E10" s="39" t="s">
        <v>33</v>
      </c>
      <c r="F10" s="7">
        <v>-25.206966999999999</v>
      </c>
      <c r="K10" s="53"/>
      <c r="L10"/>
      <c r="M10"/>
    </row>
    <row r="11" spans="1:13" ht="14.4" x14ac:dyDescent="0.3">
      <c r="A11" s="42" t="s">
        <v>277</v>
      </c>
      <c r="B11" s="11" t="s">
        <v>253</v>
      </c>
      <c r="C11" s="9">
        <v>4.6959140000000001</v>
      </c>
      <c r="D11" s="42" t="s">
        <v>278</v>
      </c>
      <c r="E11" s="11" t="s">
        <v>80</v>
      </c>
      <c r="F11" s="9">
        <v>-20.871269999999999</v>
      </c>
      <c r="K11" s="53"/>
      <c r="L11"/>
      <c r="M11"/>
    </row>
    <row r="12" spans="1:13" ht="14.4" x14ac:dyDescent="0.3">
      <c r="A12" s="43" t="s">
        <v>272</v>
      </c>
      <c r="B12" s="39" t="s">
        <v>57</v>
      </c>
      <c r="C12" s="7">
        <v>4.1319609034000004</v>
      </c>
      <c r="D12" s="43" t="s">
        <v>279</v>
      </c>
      <c r="E12" s="39" t="s">
        <v>50</v>
      </c>
      <c r="F12" s="7">
        <v>-13.303392000000001</v>
      </c>
      <c r="K12" s="53"/>
      <c r="L12"/>
      <c r="M12"/>
    </row>
    <row r="13" spans="1:13" ht="14.4" x14ac:dyDescent="0.3">
      <c r="A13" s="42" t="s">
        <v>62</v>
      </c>
      <c r="B13" s="11" t="s">
        <v>53</v>
      </c>
      <c r="C13" s="9">
        <v>3.4800580000000001</v>
      </c>
      <c r="D13" s="42" t="s">
        <v>42</v>
      </c>
      <c r="E13" s="11" t="s">
        <v>40</v>
      </c>
      <c r="F13" s="9">
        <v>-12.664241000000001</v>
      </c>
      <c r="K13" s="53"/>
      <c r="L13"/>
      <c r="M13"/>
    </row>
    <row r="14" spans="1:13" ht="14.4" x14ac:dyDescent="0.3">
      <c r="A14" s="43" t="s">
        <v>30</v>
      </c>
      <c r="B14" s="39" t="s">
        <v>25</v>
      </c>
      <c r="C14" s="7">
        <v>2.9044539999999999</v>
      </c>
      <c r="D14" s="43" t="s">
        <v>268</v>
      </c>
      <c r="E14" s="39" t="s">
        <v>93</v>
      </c>
      <c r="F14" s="7">
        <v>-12.5292238</v>
      </c>
      <c r="K14" s="53"/>
      <c r="L14"/>
      <c r="M14"/>
    </row>
    <row r="15" spans="1:13" ht="14.4" x14ac:dyDescent="0.3">
      <c r="A15" s="44" t="s">
        <v>271</v>
      </c>
      <c r="B15" s="40" t="s">
        <v>95</v>
      </c>
      <c r="C15" s="10">
        <v>1.1619090000000001</v>
      </c>
      <c r="D15" s="44" t="s">
        <v>81</v>
      </c>
      <c r="E15" s="40" t="s">
        <v>58</v>
      </c>
      <c r="F15" s="10">
        <v>-10.64072</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16 October 2023</v>
      </c>
      <c r="D18" s="5" t="s">
        <v>4</v>
      </c>
      <c r="E18" s="45" t="s">
        <v>1</v>
      </c>
      <c r="F18" s="57" t="str">
        <f>+C18</f>
        <v>Week of 16 October 2023</v>
      </c>
    </row>
    <row r="19" spans="1:13" ht="14.4" x14ac:dyDescent="0.3">
      <c r="A19" s="41" t="s">
        <v>29</v>
      </c>
      <c r="B19" s="39" t="s">
        <v>24</v>
      </c>
      <c r="C19" s="7">
        <v>49.163083999999998</v>
      </c>
      <c r="D19" s="41" t="s">
        <v>63</v>
      </c>
      <c r="E19" s="39" t="s">
        <v>55</v>
      </c>
      <c r="F19" s="7">
        <v>-14.904125000000001</v>
      </c>
      <c r="H19"/>
      <c r="I19" s="46"/>
      <c r="K19" s="53"/>
      <c r="L19"/>
      <c r="M19"/>
    </row>
    <row r="20" spans="1:13" ht="14.4" x14ac:dyDescent="0.3">
      <c r="A20" s="42" t="s">
        <v>27</v>
      </c>
      <c r="B20" s="11" t="s">
        <v>22</v>
      </c>
      <c r="C20" s="9">
        <v>48.270885</v>
      </c>
      <c r="D20" s="42" t="s">
        <v>28</v>
      </c>
      <c r="E20" s="11" t="s">
        <v>23</v>
      </c>
      <c r="F20" s="9">
        <v>-13.491716</v>
      </c>
      <c r="H20"/>
      <c r="I20" s="46"/>
      <c r="K20" s="53"/>
      <c r="L20"/>
      <c r="M20"/>
    </row>
    <row r="21" spans="1:13" ht="14.4" x14ac:dyDescent="0.3">
      <c r="A21" s="43" t="s">
        <v>34</v>
      </c>
      <c r="B21" s="39" t="s">
        <v>32</v>
      </c>
      <c r="C21" s="7">
        <v>36.024776000000003</v>
      </c>
      <c r="D21" s="43" t="s">
        <v>267</v>
      </c>
      <c r="E21" s="39" t="s">
        <v>44</v>
      </c>
      <c r="F21" s="7">
        <v>-11.447542</v>
      </c>
      <c r="H21"/>
      <c r="I21" s="46"/>
      <c r="K21" s="53"/>
      <c r="L21"/>
      <c r="M21"/>
    </row>
    <row r="22" spans="1:13" ht="14.4" x14ac:dyDescent="0.3">
      <c r="A22" s="42" t="s">
        <v>35</v>
      </c>
      <c r="B22" s="11" t="s">
        <v>33</v>
      </c>
      <c r="C22" s="9">
        <v>31.646861999999999</v>
      </c>
      <c r="D22" s="42" t="s">
        <v>277</v>
      </c>
      <c r="E22" s="11" t="s">
        <v>253</v>
      </c>
      <c r="F22" s="9">
        <v>-4.3459649999999996</v>
      </c>
      <c r="H22"/>
      <c r="I22" s="46"/>
      <c r="K22" s="53"/>
      <c r="L22"/>
      <c r="M22"/>
    </row>
    <row r="23" spans="1:13" ht="14.4" x14ac:dyDescent="0.3">
      <c r="A23" s="43" t="s">
        <v>92</v>
      </c>
      <c r="B23" s="39" t="s">
        <v>26</v>
      </c>
      <c r="C23" s="7">
        <v>26.201243000000002</v>
      </c>
      <c r="D23" s="43" t="s">
        <v>181</v>
      </c>
      <c r="E23" s="39" t="s">
        <v>115</v>
      </c>
      <c r="F23" s="7">
        <v>-4.0938840000000001</v>
      </c>
      <c r="H23"/>
      <c r="I23" s="58"/>
      <c r="K23" s="53"/>
      <c r="L23"/>
      <c r="M23"/>
    </row>
    <row r="24" spans="1:13" ht="14.4" x14ac:dyDescent="0.3">
      <c r="A24" s="42" t="s">
        <v>278</v>
      </c>
      <c r="B24" s="11" t="s">
        <v>80</v>
      </c>
      <c r="C24" s="9">
        <v>18.171991999999999</v>
      </c>
      <c r="D24" s="42" t="s">
        <v>62</v>
      </c>
      <c r="E24" s="11" t="s">
        <v>53</v>
      </c>
      <c r="F24" s="9">
        <v>-2.1602885000000001</v>
      </c>
      <c r="H24"/>
      <c r="I24" s="46"/>
      <c r="K24" s="53"/>
      <c r="L24"/>
      <c r="M24"/>
    </row>
    <row r="25" spans="1:13" ht="14.4" x14ac:dyDescent="0.3">
      <c r="A25" s="43" t="s">
        <v>252</v>
      </c>
      <c r="B25" s="39" t="s">
        <v>93</v>
      </c>
      <c r="C25" s="7">
        <v>15.4364516</v>
      </c>
      <c r="D25" s="43" t="s">
        <v>282</v>
      </c>
      <c r="E25" s="39" t="s">
        <v>261</v>
      </c>
      <c r="F25" s="7">
        <v>-1.2127805</v>
      </c>
      <c r="H25"/>
      <c r="I25" s="46"/>
      <c r="K25" s="53"/>
      <c r="L25"/>
      <c r="M25"/>
    </row>
    <row r="26" spans="1:13" ht="14.4" x14ac:dyDescent="0.3">
      <c r="A26" s="42" t="s">
        <v>81</v>
      </c>
      <c r="B26" s="11" t="s">
        <v>58</v>
      </c>
      <c r="C26" s="9">
        <v>15.417388000000001</v>
      </c>
      <c r="D26" s="42" t="s">
        <v>283</v>
      </c>
      <c r="E26" s="11" t="s">
        <v>117</v>
      </c>
      <c r="F26" s="9">
        <v>-1.0633764999999999</v>
      </c>
      <c r="H26"/>
      <c r="I26" s="46"/>
      <c r="K26" s="53"/>
      <c r="L26"/>
      <c r="M26"/>
    </row>
    <row r="27" spans="1:13" ht="14.4" x14ac:dyDescent="0.3">
      <c r="A27" s="43" t="s">
        <v>280</v>
      </c>
      <c r="B27" s="39" t="s">
        <v>61</v>
      </c>
      <c r="C27" s="7">
        <v>12.550940000000001</v>
      </c>
      <c r="D27" s="43" t="s">
        <v>284</v>
      </c>
      <c r="E27" s="39" t="s">
        <v>259</v>
      </c>
      <c r="F27" s="7">
        <v>-0.92737899999999995</v>
      </c>
      <c r="H27"/>
      <c r="I27" s="46"/>
      <c r="K27" s="53"/>
      <c r="L27"/>
      <c r="M27"/>
    </row>
    <row r="28" spans="1:13" ht="14.4" x14ac:dyDescent="0.3">
      <c r="A28" s="44" t="s">
        <v>281</v>
      </c>
      <c r="B28" s="40" t="s">
        <v>56</v>
      </c>
      <c r="C28" s="10">
        <v>11.54349</v>
      </c>
      <c r="D28" s="65" t="s">
        <v>276</v>
      </c>
      <c r="E28" s="40" t="s">
        <v>37</v>
      </c>
      <c r="F28" s="10">
        <v>-0.68865399999999999</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7" t="s">
        <v>246</v>
      </c>
      <c r="B40" s="67"/>
      <c r="C40" s="67"/>
      <c r="D40" s="67"/>
      <c r="E40" s="67"/>
      <c r="F40" s="67"/>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B11 E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8" t="s">
        <v>7</v>
      </c>
      <c r="B1" s="14" t="s">
        <v>8</v>
      </c>
      <c r="C1" s="70" t="s">
        <v>9</v>
      </c>
      <c r="D1" s="71"/>
      <c r="E1" s="71"/>
      <c r="F1" s="71"/>
      <c r="G1" s="71"/>
      <c r="H1" s="71"/>
      <c r="I1" s="71"/>
      <c r="J1" s="71"/>
      <c r="K1" s="71"/>
      <c r="L1" s="71"/>
      <c r="M1" s="71"/>
      <c r="N1" s="72"/>
    </row>
    <row r="2" spans="1:15" ht="65.849999999999994" customHeight="1" x14ac:dyDescent="0.25">
      <c r="A2" s="69"/>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f>SUM(C3:N3)</f>
        <v>144.44842935736003</v>
      </c>
      <c r="B3" s="17">
        <v>45194</v>
      </c>
      <c r="C3" s="18">
        <v>5.2116109289400017</v>
      </c>
      <c r="D3" s="18">
        <v>14.483764151700001</v>
      </c>
      <c r="E3" s="18">
        <v>-1.8858075000000003</v>
      </c>
      <c r="F3" s="18">
        <v>165.05624990000004</v>
      </c>
      <c r="G3" s="18">
        <v>1.1490314702000002</v>
      </c>
      <c r="H3" s="18">
        <v>3.2133047169299962</v>
      </c>
      <c r="I3" s="18">
        <v>0.12564900000000001</v>
      </c>
      <c r="J3" s="18">
        <v>-2.6816267115999994</v>
      </c>
      <c r="K3" s="18">
        <v>-29.692856198810002</v>
      </c>
      <c r="L3" s="18">
        <v>-14.700586000000005</v>
      </c>
      <c r="M3" s="18">
        <v>4.2305468999999984</v>
      </c>
      <c r="N3" s="18">
        <v>-6.0851299999999768E-2</v>
      </c>
      <c r="O3" s="16"/>
    </row>
    <row r="4" spans="1:15" x14ac:dyDescent="0.25">
      <c r="A4" s="55">
        <f t="shared" ref="A4:A6" si="0">SUM(C4:N4)</f>
        <v>144.84124317077999</v>
      </c>
      <c r="B4" s="13">
        <v>45201</v>
      </c>
      <c r="C4" s="15">
        <v>-1.8581999947200014</v>
      </c>
      <c r="D4" s="15">
        <v>-22.314237888599997</v>
      </c>
      <c r="E4" s="15">
        <v>-2.8494550000000003</v>
      </c>
      <c r="F4" s="15">
        <v>210.6616847</v>
      </c>
      <c r="G4" s="15">
        <v>0.29000022239999995</v>
      </c>
      <c r="H4" s="15">
        <v>-1.1049432377200072</v>
      </c>
      <c r="I4" s="15">
        <v>0.66254750000000007</v>
      </c>
      <c r="J4" s="15">
        <v>0.73918108359999979</v>
      </c>
      <c r="K4" s="15">
        <v>-65.968316114179999</v>
      </c>
      <c r="L4" s="15">
        <v>11.3748656</v>
      </c>
      <c r="M4" s="15">
        <v>11.713479499999998</v>
      </c>
      <c r="N4" s="15">
        <v>3.4946367999999999</v>
      </c>
      <c r="O4" s="16"/>
    </row>
    <row r="5" spans="1:15" x14ac:dyDescent="0.25">
      <c r="A5" s="55">
        <f t="shared" si="0"/>
        <v>-52.911281865850007</v>
      </c>
      <c r="B5" s="17">
        <v>45208</v>
      </c>
      <c r="C5" s="18">
        <v>3.1019128047199986</v>
      </c>
      <c r="D5" s="18">
        <v>-24.004971338900003</v>
      </c>
      <c r="E5" s="18">
        <v>-2.7242845000000004</v>
      </c>
      <c r="F5" s="18">
        <v>-0.82859259999999968</v>
      </c>
      <c r="G5" s="18">
        <v>-0.52679623170000001</v>
      </c>
      <c r="H5" s="18">
        <v>15.977366257330003</v>
      </c>
      <c r="I5" s="18">
        <v>1.2609253999999999</v>
      </c>
      <c r="J5" s="18">
        <v>-5.9345909506999996</v>
      </c>
      <c r="K5" s="18">
        <v>-26.174498206600003</v>
      </c>
      <c r="L5" s="18">
        <v>17.605578900000008</v>
      </c>
      <c r="M5" s="18">
        <v>-17.327061300000008</v>
      </c>
      <c r="N5" s="18">
        <v>-13.3362701</v>
      </c>
      <c r="O5" s="16"/>
    </row>
    <row r="6" spans="1:15" x14ac:dyDescent="0.25">
      <c r="A6" s="55">
        <f t="shared" si="0"/>
        <v>-230.04979074088999</v>
      </c>
      <c r="B6" s="13">
        <v>45215</v>
      </c>
      <c r="C6" s="15">
        <v>3.6720552209599986</v>
      </c>
      <c r="D6" s="15">
        <v>-0.51777842519999906</v>
      </c>
      <c r="E6" s="15">
        <v>-1.8743584999999998</v>
      </c>
      <c r="F6" s="15">
        <v>-42.609332500000001</v>
      </c>
      <c r="G6" s="15">
        <v>-0.1004407078000001</v>
      </c>
      <c r="H6" s="15">
        <v>-78.929837107760036</v>
      </c>
      <c r="I6" s="15">
        <v>-4.7819800000000008</v>
      </c>
      <c r="J6" s="15">
        <v>-13.304538296599999</v>
      </c>
      <c r="K6" s="15">
        <v>-95.472321824489967</v>
      </c>
      <c r="L6" s="15">
        <v>3.1714940000000009</v>
      </c>
      <c r="M6" s="15">
        <v>-5.3232966000000008</v>
      </c>
      <c r="N6" s="15">
        <v>6.0205440000000001</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s="66"/>
      <c r="D14" s="66"/>
      <c r="E14" s="66"/>
      <c r="F14" s="66"/>
      <c r="G14" s="66"/>
      <c r="H14" s="66"/>
      <c r="I14" s="66"/>
      <c r="J14" s="66"/>
      <c r="K14" s="66"/>
      <c r="L14" s="66"/>
      <c r="M14" s="66"/>
      <c r="N14" s="66"/>
    </row>
    <row r="15" spans="1:15" ht="14.4" x14ac:dyDescent="0.3">
      <c r="C15"/>
      <c r="D15"/>
      <c r="E15"/>
      <c r="F15"/>
      <c r="G15"/>
      <c r="H15"/>
      <c r="I15"/>
      <c r="J15"/>
      <c r="K15"/>
      <c r="L15"/>
      <c r="M15"/>
      <c r="N15"/>
      <c r="O15" s="52"/>
    </row>
    <row r="16" spans="1:15" ht="14.4" x14ac:dyDescent="0.3">
      <c r="C16" s="66"/>
      <c r="D16" s="66"/>
      <c r="E16" s="66"/>
      <c r="F16" s="66"/>
      <c r="G16" s="66"/>
      <c r="H16" s="66"/>
      <c r="I16" s="66"/>
      <c r="J16" s="66"/>
      <c r="K16" s="66"/>
      <c r="L16" s="66"/>
      <c r="M16" s="66"/>
      <c r="N16" s="66"/>
    </row>
    <row r="17" spans="3:15" ht="14.4" x14ac:dyDescent="0.3">
      <c r="C17" s="52"/>
      <c r="D17" s="52"/>
      <c r="E17" s="52"/>
      <c r="F17" s="52"/>
      <c r="G17" s="52"/>
      <c r="H17" s="52"/>
      <c r="I17" s="52"/>
      <c r="J17" s="52"/>
      <c r="K17" s="52"/>
      <c r="L17" s="52"/>
      <c r="M17" s="52"/>
      <c r="N17" s="52"/>
      <c r="O17" s="52"/>
    </row>
    <row r="18" spans="3:15" ht="14.4" x14ac:dyDescent="0.3">
      <c r="C18" s="50"/>
      <c r="D18" s="50"/>
      <c r="E18" s="50"/>
      <c r="F18" s="50"/>
      <c r="G18" s="50"/>
      <c r="H18" s="50"/>
      <c r="I18" s="50"/>
      <c r="J18" s="50"/>
      <c r="K18" s="50"/>
      <c r="L18" s="50"/>
      <c r="M18" s="50"/>
      <c r="N18" s="50"/>
      <c r="O18" s="50"/>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row r="24" spans="3:15"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8" t="s">
        <v>7</v>
      </c>
      <c r="B1" s="14" t="s">
        <v>8</v>
      </c>
      <c r="C1" s="70" t="s">
        <v>9</v>
      </c>
      <c r="D1" s="71"/>
      <c r="E1" s="71"/>
      <c r="F1" s="71"/>
      <c r="G1" s="71"/>
      <c r="H1" s="71"/>
      <c r="I1" s="71"/>
      <c r="J1" s="71"/>
      <c r="K1" s="71"/>
      <c r="L1" s="71"/>
      <c r="M1" s="71"/>
      <c r="N1" s="72"/>
    </row>
    <row r="2" spans="1:18" ht="55.2" x14ac:dyDescent="0.25">
      <c r="A2" s="69"/>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f>SUM(C3:N3)</f>
        <v>67.974007266779992</v>
      </c>
      <c r="B3" s="17">
        <v>45194</v>
      </c>
      <c r="C3" s="18">
        <v>5.3612537147099983</v>
      </c>
      <c r="D3" s="18">
        <v>-19.3556354087</v>
      </c>
      <c r="E3" s="18">
        <v>0.13123319999999938</v>
      </c>
      <c r="F3" s="18">
        <v>-4.1006593999999996</v>
      </c>
      <c r="G3" s="18">
        <v>4.6921722700000057E-2</v>
      </c>
      <c r="H3" s="18">
        <v>22.627288746639998</v>
      </c>
      <c r="I3" s="18">
        <v>-6.2274400000000008E-2</v>
      </c>
      <c r="J3" s="18">
        <v>6.0970344966999992</v>
      </c>
      <c r="K3" s="18">
        <v>43.228262094729999</v>
      </c>
      <c r="L3" s="18">
        <v>8.9140730999999995</v>
      </c>
      <c r="M3" s="18">
        <v>-0.95387750000000127</v>
      </c>
      <c r="N3" s="18">
        <v>6.0403868999999997</v>
      </c>
      <c r="O3" s="16"/>
    </row>
    <row r="4" spans="1:18" x14ac:dyDescent="0.25">
      <c r="A4" s="55">
        <f>SUM(C4:N4)</f>
        <v>275.70935251400999</v>
      </c>
      <c r="B4" s="13">
        <v>45201</v>
      </c>
      <c r="C4" s="15">
        <v>14.114973297440001</v>
      </c>
      <c r="D4" s="15">
        <v>22.445782098699997</v>
      </c>
      <c r="E4" s="15">
        <v>9.6191663999999992</v>
      </c>
      <c r="F4" s="15">
        <v>25.646702599999998</v>
      </c>
      <c r="G4" s="15">
        <v>1.0598759370000002</v>
      </c>
      <c r="H4" s="15">
        <v>75.23750679442</v>
      </c>
      <c r="I4" s="15">
        <v>-0.33885779999999999</v>
      </c>
      <c r="J4" s="15">
        <v>11.370702949000002</v>
      </c>
      <c r="K4" s="15">
        <v>99.595395937450007</v>
      </c>
      <c r="L4" s="15">
        <v>-7.9658152999999956</v>
      </c>
      <c r="M4" s="15">
        <v>13.1961678</v>
      </c>
      <c r="N4" s="15">
        <v>11.7277518</v>
      </c>
      <c r="O4" s="16"/>
    </row>
    <row r="5" spans="1:18" x14ac:dyDescent="0.25">
      <c r="A5" s="55">
        <f>SUM(C5:N5)</f>
        <v>-186.02939182351994</v>
      </c>
      <c r="B5" s="17">
        <v>45208</v>
      </c>
      <c r="C5" s="18">
        <v>-7.8875132137600037</v>
      </c>
      <c r="D5" s="18">
        <v>10.451220000200003</v>
      </c>
      <c r="E5" s="18">
        <v>2.7989211000000003</v>
      </c>
      <c r="F5" s="18">
        <v>-153.12450949999996</v>
      </c>
      <c r="G5" s="18">
        <v>0.88054553649999989</v>
      </c>
      <c r="H5" s="18">
        <v>-25.49828379086</v>
      </c>
      <c r="I5" s="18">
        <v>-1.1522995</v>
      </c>
      <c r="J5" s="18">
        <v>-7.8900866451000029</v>
      </c>
      <c r="K5" s="18">
        <v>14.497756989500001</v>
      </c>
      <c r="L5" s="18">
        <v>-21.241794199999994</v>
      </c>
      <c r="M5" s="18">
        <v>-4.2839946000000007</v>
      </c>
      <c r="N5" s="18">
        <v>6.4206459999999996</v>
      </c>
      <c r="O5" s="16"/>
    </row>
    <row r="6" spans="1:18" x14ac:dyDescent="0.25">
      <c r="A6" s="55">
        <f>SUM(C6:N6)</f>
        <v>342.82862871366007</v>
      </c>
      <c r="B6" s="13">
        <v>45215</v>
      </c>
      <c r="C6" s="15">
        <v>11.163191415760002</v>
      </c>
      <c r="D6" s="15">
        <v>11.639544105500001</v>
      </c>
      <c r="E6" s="15">
        <v>3.5731652</v>
      </c>
      <c r="F6" s="15">
        <v>92.176216599999989</v>
      </c>
      <c r="G6" s="15">
        <v>1.2136701095999998</v>
      </c>
      <c r="H6" s="15">
        <v>80.408719290080029</v>
      </c>
      <c r="I6" s="15">
        <v>2.5749518</v>
      </c>
      <c r="J6" s="15">
        <v>26.100375062000001</v>
      </c>
      <c r="K6" s="15">
        <v>103.52027993071997</v>
      </c>
      <c r="L6" s="15">
        <v>9.1873211000000001</v>
      </c>
      <c r="M6" s="15">
        <v>12.7024939</v>
      </c>
      <c r="N6" s="15">
        <v>-11.4312998</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s="66"/>
      <c r="D15" s="66"/>
      <c r="E15" s="66"/>
      <c r="F15" s="66"/>
      <c r="G15" s="66"/>
      <c r="H15" s="66"/>
      <c r="I15" s="66"/>
      <c r="J15" s="66"/>
      <c r="K15" s="66"/>
      <c r="L15" s="66"/>
      <c r="M15" s="66"/>
      <c r="N15" s="66"/>
      <c r="O15"/>
      <c r="P15"/>
      <c r="Q15"/>
      <c r="R15"/>
    </row>
    <row r="16" spans="1:18" ht="14.4" x14ac:dyDescent="0.3">
      <c r="C16" s="52"/>
      <c r="D16" s="52"/>
      <c r="E16" s="52"/>
      <c r="F16" s="52"/>
      <c r="G16" s="52"/>
      <c r="H16" s="52"/>
      <c r="I16" s="52"/>
      <c r="J16" s="52"/>
      <c r="K16" s="52"/>
      <c r="L16" s="52"/>
      <c r="M16" s="52"/>
      <c r="N16" s="52"/>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16 October 2023</v>
      </c>
      <c r="B1" s="21" t="s">
        <v>1</v>
      </c>
      <c r="C1" s="22" t="s">
        <v>75</v>
      </c>
      <c r="D1" s="22" t="s">
        <v>76</v>
      </c>
    </row>
    <row r="2" spans="1:8" x14ac:dyDescent="0.3">
      <c r="A2" s="23" t="s">
        <v>92</v>
      </c>
      <c r="B2" s="24" t="s">
        <v>26</v>
      </c>
      <c r="C2" s="25">
        <v>-32.195467999999998</v>
      </c>
      <c r="D2" s="25">
        <v>26.201243000000002</v>
      </c>
      <c r="E2" s="46"/>
      <c r="F2" s="50"/>
      <c r="H2" s="51"/>
    </row>
    <row r="3" spans="1:8" x14ac:dyDescent="0.3">
      <c r="A3" s="26" t="s">
        <v>81</v>
      </c>
      <c r="B3" s="27" t="s">
        <v>58</v>
      </c>
      <c r="C3" s="9">
        <v>-10.64072</v>
      </c>
      <c r="D3" s="9">
        <v>15.417388000000001</v>
      </c>
      <c r="E3" s="46"/>
      <c r="F3" s="50"/>
      <c r="H3" s="51"/>
    </row>
    <row r="4" spans="1:8" x14ac:dyDescent="0.3">
      <c r="A4" s="6" t="s">
        <v>88</v>
      </c>
      <c r="B4" s="8" t="s">
        <v>87</v>
      </c>
      <c r="C4" s="7">
        <v>6.0561780000000001</v>
      </c>
      <c r="D4" s="7">
        <v>5.2220719999999998</v>
      </c>
      <c r="E4" s="46"/>
      <c r="F4" s="50"/>
      <c r="H4" s="51"/>
    </row>
    <row r="5" spans="1:8" x14ac:dyDescent="0.3">
      <c r="A5" s="26" t="s">
        <v>65</v>
      </c>
      <c r="B5" s="27" t="s">
        <v>56</v>
      </c>
      <c r="C5" s="9">
        <v>-7.8651460000000002</v>
      </c>
      <c r="D5" s="9">
        <v>11.54349</v>
      </c>
      <c r="E5" s="46"/>
      <c r="F5" s="50"/>
      <c r="H5" s="51"/>
    </row>
    <row r="6" spans="1:8" x14ac:dyDescent="0.3">
      <c r="A6" s="6" t="s">
        <v>89</v>
      </c>
      <c r="B6" s="8" t="s">
        <v>59</v>
      </c>
      <c r="C6" s="7">
        <v>-0.46254492519999962</v>
      </c>
      <c r="D6" s="7">
        <v>0.81648400550000022</v>
      </c>
      <c r="E6" s="46"/>
      <c r="F6" s="50"/>
      <c r="H6" s="51"/>
    </row>
    <row r="7" spans="1:8" x14ac:dyDescent="0.3">
      <c r="A7" s="26" t="s">
        <v>27</v>
      </c>
      <c r="B7" s="27" t="s">
        <v>22</v>
      </c>
      <c r="C7" s="9">
        <v>-25.778067</v>
      </c>
      <c r="D7" s="9">
        <v>48.270885</v>
      </c>
      <c r="E7" s="46"/>
      <c r="F7" s="50"/>
      <c r="H7" s="51"/>
    </row>
    <row r="8" spans="1:8" x14ac:dyDescent="0.3">
      <c r="A8" s="6" t="s">
        <v>90</v>
      </c>
      <c r="B8" s="8" t="s">
        <v>91</v>
      </c>
      <c r="C8" s="54">
        <v>-0.54605199999999998</v>
      </c>
      <c r="D8" s="54">
        <v>0.56588300000000002</v>
      </c>
      <c r="E8" s="46"/>
      <c r="F8" s="50"/>
      <c r="H8" s="51"/>
    </row>
    <row r="9" spans="1:8" x14ac:dyDescent="0.3">
      <c r="A9" s="26" t="s">
        <v>83</v>
      </c>
      <c r="B9" s="27" t="s">
        <v>82</v>
      </c>
      <c r="C9" s="9">
        <v>-0.79553600000000002</v>
      </c>
      <c r="D9" s="9">
        <v>2.6394850000000001</v>
      </c>
      <c r="E9" s="46"/>
      <c r="F9" s="50"/>
      <c r="H9" s="51"/>
    </row>
    <row r="10" spans="1:8" x14ac:dyDescent="0.3">
      <c r="A10" s="6" t="s">
        <v>38</v>
      </c>
      <c r="B10" s="8" t="s">
        <v>37</v>
      </c>
      <c r="C10" s="7">
        <v>16.500634999999999</v>
      </c>
      <c r="D10" s="7">
        <v>-0.68865399999999999</v>
      </c>
      <c r="E10" s="46"/>
      <c r="F10" s="50"/>
      <c r="H10" s="51"/>
    </row>
    <row r="11" spans="1:8" x14ac:dyDescent="0.3">
      <c r="A11" s="26" t="s">
        <v>66</v>
      </c>
      <c r="B11" s="27" t="s">
        <v>57</v>
      </c>
      <c r="C11" s="9">
        <v>4.1319609034000004</v>
      </c>
      <c r="D11" s="9">
        <v>-0.66420513800000014</v>
      </c>
      <c r="E11" s="46"/>
      <c r="F11" s="50"/>
      <c r="H11" s="51"/>
    </row>
    <row r="12" spans="1:8" x14ac:dyDescent="0.3">
      <c r="A12" s="6" t="s">
        <v>52</v>
      </c>
      <c r="B12" s="8" t="s">
        <v>50</v>
      </c>
      <c r="C12" s="7">
        <v>-13.303392000000001</v>
      </c>
      <c r="D12" s="7">
        <v>9.0863080000000007</v>
      </c>
      <c r="E12" s="46"/>
      <c r="F12" s="50"/>
      <c r="H12" s="51"/>
    </row>
    <row r="13" spans="1:8" x14ac:dyDescent="0.3">
      <c r="A13" s="26" t="s">
        <v>64</v>
      </c>
      <c r="B13" s="27" t="s">
        <v>54</v>
      </c>
      <c r="C13" s="9">
        <v>-6.9783292523000036</v>
      </c>
      <c r="D13" s="9">
        <v>3.6111373464000001</v>
      </c>
      <c r="E13" s="46"/>
      <c r="F13" s="50"/>
      <c r="H13" s="51"/>
    </row>
    <row r="14" spans="1:8" x14ac:dyDescent="0.3">
      <c r="A14" s="6" t="s">
        <v>35</v>
      </c>
      <c r="B14" s="8" t="s">
        <v>33</v>
      </c>
      <c r="C14" s="7">
        <v>-25.206966999999999</v>
      </c>
      <c r="D14" s="7">
        <v>31.646861999999999</v>
      </c>
      <c r="E14" s="46"/>
      <c r="F14" s="50"/>
      <c r="H14" s="51"/>
    </row>
    <row r="15" spans="1:8" x14ac:dyDescent="0.3">
      <c r="A15" s="26" t="s">
        <v>257</v>
      </c>
      <c r="B15" s="27" t="s">
        <v>60</v>
      </c>
      <c r="C15" s="9">
        <v>-2.2885019999999998</v>
      </c>
      <c r="D15" s="9">
        <v>6.4722580000000001</v>
      </c>
      <c r="E15" s="46"/>
      <c r="F15" s="50"/>
      <c r="H15" s="51"/>
    </row>
    <row r="16" spans="1:8" x14ac:dyDescent="0.3">
      <c r="A16" s="6" t="s">
        <v>79</v>
      </c>
      <c r="B16" s="8" t="s">
        <v>78</v>
      </c>
      <c r="C16" s="7">
        <v>-0.50294799999999995</v>
      </c>
      <c r="D16" s="7">
        <v>4.8818109999999999</v>
      </c>
      <c r="E16" s="46"/>
      <c r="F16" s="50"/>
      <c r="H16" s="51"/>
    </row>
    <row r="17" spans="1:8" x14ac:dyDescent="0.3">
      <c r="A17" s="26" t="s">
        <v>42</v>
      </c>
      <c r="B17" s="27" t="s">
        <v>40</v>
      </c>
      <c r="C17" s="9">
        <v>-12.664241000000001</v>
      </c>
      <c r="D17" s="9">
        <v>9.4140090000000001</v>
      </c>
      <c r="E17" s="46"/>
      <c r="F17" s="50"/>
      <c r="H17" s="51"/>
    </row>
    <row r="18" spans="1:8" x14ac:dyDescent="0.3">
      <c r="A18" s="6" t="s">
        <v>28</v>
      </c>
      <c r="B18" s="8" t="s">
        <v>23</v>
      </c>
      <c r="C18" s="7">
        <v>29.404714999999999</v>
      </c>
      <c r="D18" s="7">
        <v>-13.491716</v>
      </c>
      <c r="E18" s="46"/>
      <c r="F18" s="50"/>
      <c r="H18" s="51"/>
    </row>
    <row r="19" spans="1:8" x14ac:dyDescent="0.3">
      <c r="A19" s="26" t="s">
        <v>36</v>
      </c>
      <c r="B19" s="27" t="s">
        <v>31</v>
      </c>
      <c r="C19" s="9">
        <v>-3.5783610000000001</v>
      </c>
      <c r="D19" s="9">
        <v>7.0918299999999999</v>
      </c>
      <c r="E19" s="46"/>
      <c r="F19" s="50"/>
      <c r="H19" s="51"/>
    </row>
    <row r="20" spans="1:8" x14ac:dyDescent="0.3">
      <c r="A20" s="6" t="s">
        <v>252</v>
      </c>
      <c r="B20" s="8" t="s">
        <v>93</v>
      </c>
      <c r="C20" s="7">
        <v>-12.5292238</v>
      </c>
      <c r="D20" s="7">
        <v>15.4364516</v>
      </c>
      <c r="E20" s="46"/>
      <c r="F20" s="50"/>
      <c r="H20" s="51"/>
    </row>
    <row r="21" spans="1:8" x14ac:dyDescent="0.3">
      <c r="A21" s="26" t="s">
        <v>47</v>
      </c>
      <c r="B21" s="27" t="s">
        <v>44</v>
      </c>
      <c r="C21" s="9">
        <v>6.0405670000000002</v>
      </c>
      <c r="D21" s="9">
        <v>-11.447542</v>
      </c>
      <c r="E21" s="46"/>
      <c r="F21" s="50"/>
      <c r="H21" s="51"/>
    </row>
    <row r="22" spans="1:8" x14ac:dyDescent="0.3">
      <c r="A22" s="6" t="s">
        <v>30</v>
      </c>
      <c r="B22" s="8" t="s">
        <v>25</v>
      </c>
      <c r="C22" s="7">
        <v>2.9044539999999999</v>
      </c>
      <c r="D22" s="7">
        <v>2.2912300000000001</v>
      </c>
      <c r="E22" s="46"/>
      <c r="F22" s="50"/>
      <c r="H22" s="51"/>
    </row>
    <row r="23" spans="1:8" x14ac:dyDescent="0.3">
      <c r="A23" s="26" t="s">
        <v>34</v>
      </c>
      <c r="B23" s="27" t="s">
        <v>32</v>
      </c>
      <c r="C23" s="9">
        <v>-30.622350000000001</v>
      </c>
      <c r="D23" s="9">
        <v>36.024776000000003</v>
      </c>
      <c r="E23" s="46"/>
      <c r="F23" s="50"/>
      <c r="H23" s="51"/>
    </row>
    <row r="24" spans="1:8" x14ac:dyDescent="0.3">
      <c r="A24" s="6" t="s">
        <v>51</v>
      </c>
      <c r="B24" s="8" t="s">
        <v>49</v>
      </c>
      <c r="C24" s="7">
        <v>-1.584993800000001</v>
      </c>
      <c r="D24" s="7">
        <v>9.5244750000000007</v>
      </c>
      <c r="E24" s="46"/>
      <c r="F24" s="50"/>
      <c r="H24" s="51"/>
    </row>
    <row r="25" spans="1:8" x14ac:dyDescent="0.3">
      <c r="A25" s="26" t="s">
        <v>41</v>
      </c>
      <c r="B25" s="27" t="s">
        <v>39</v>
      </c>
      <c r="C25" s="9">
        <v>-3.4723839999999999</v>
      </c>
      <c r="D25" s="9">
        <v>3.8293309999999998</v>
      </c>
      <c r="E25" s="46"/>
      <c r="F25" s="50"/>
      <c r="H25" s="51"/>
    </row>
    <row r="26" spans="1:8" x14ac:dyDescent="0.3">
      <c r="A26" s="6" t="s">
        <v>62</v>
      </c>
      <c r="B26" s="8" t="s">
        <v>53</v>
      </c>
      <c r="C26" s="7">
        <v>3.4800580000000001</v>
      </c>
      <c r="D26" s="7">
        <v>-2.1602885000000001</v>
      </c>
      <c r="E26" s="46"/>
      <c r="F26" s="50"/>
      <c r="H26" s="51"/>
    </row>
    <row r="27" spans="1:8" x14ac:dyDescent="0.3">
      <c r="A27" s="26" t="s">
        <v>29</v>
      </c>
      <c r="B27" s="27" t="s">
        <v>24</v>
      </c>
      <c r="C27" s="9">
        <v>-56.278061999999998</v>
      </c>
      <c r="D27" s="9">
        <v>49.163083999999998</v>
      </c>
      <c r="E27" s="46"/>
      <c r="F27" s="50"/>
      <c r="H27" s="51"/>
    </row>
    <row r="28" spans="1:8" x14ac:dyDescent="0.3">
      <c r="A28" s="6" t="s">
        <v>67</v>
      </c>
      <c r="B28" s="8" t="s">
        <v>61</v>
      </c>
      <c r="C28" s="7">
        <v>-7.4489289999999997</v>
      </c>
      <c r="D28" s="7">
        <v>12.550940000000001</v>
      </c>
      <c r="E28" s="46"/>
      <c r="F28" s="50"/>
      <c r="H28" s="51"/>
    </row>
    <row r="29" spans="1:8" x14ac:dyDescent="0.3">
      <c r="A29" s="26" t="s">
        <v>48</v>
      </c>
      <c r="B29" s="27" t="s">
        <v>45</v>
      </c>
      <c r="C29" s="9">
        <v>-4.5218920000000002</v>
      </c>
      <c r="D29" s="9">
        <v>10.331073999999999</v>
      </c>
      <c r="E29" s="46"/>
      <c r="F29" s="50"/>
      <c r="H29" s="51"/>
    </row>
    <row r="30" spans="1:8" x14ac:dyDescent="0.3">
      <c r="A30" s="6" t="s">
        <v>46</v>
      </c>
      <c r="B30" s="8" t="s">
        <v>43</v>
      </c>
      <c r="C30" s="7">
        <v>1.114932</v>
      </c>
      <c r="D30" s="7">
        <v>9.5930210000000002</v>
      </c>
      <c r="E30" s="46"/>
      <c r="F30" s="50"/>
      <c r="H30" s="51"/>
    </row>
    <row r="31" spans="1:8" ht="15" thickBot="1" x14ac:dyDescent="0.35">
      <c r="A31" s="26" t="s">
        <v>63</v>
      </c>
      <c r="B31" s="27" t="s">
        <v>55</v>
      </c>
      <c r="C31" s="9">
        <v>-3.0437669999999999</v>
      </c>
      <c r="D31" s="9">
        <v>-14.904125000000001</v>
      </c>
      <c r="E31" s="46"/>
      <c r="F31" s="50"/>
      <c r="H31" s="51"/>
    </row>
    <row r="32" spans="1:8" ht="21" customHeight="1" thickBot="1" x14ac:dyDescent="0.35">
      <c r="A32" s="73" t="s">
        <v>68</v>
      </c>
      <c r="B32" s="74"/>
      <c r="C32" s="28">
        <f>SUM(C2:C31)</f>
        <v>-192.67437587410001</v>
      </c>
      <c r="D32" s="28">
        <f>SUM(D2:D31)</f>
        <v>288.2689973139</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7" width="16.33203125" bestFit="1" customWidth="1"/>
    <col min="8" max="8" width="12.5546875" bestFit="1" customWidth="1"/>
  </cols>
  <sheetData>
    <row r="1" spans="1:10" ht="55.2" x14ac:dyDescent="0.3">
      <c r="A1" s="38" t="str">
        <f>CONCATENATE("100 Most Traded Stocks YTD - ",'Weekly Top 10'!$C$5)</f>
        <v>100 Most Traded Stocks YTD - Week of 16 October 2023</v>
      </c>
      <c r="B1" s="21" t="s">
        <v>1</v>
      </c>
      <c r="C1" s="61" t="s">
        <v>105</v>
      </c>
      <c r="D1" s="22" t="s">
        <v>104</v>
      </c>
      <c r="E1" s="22" t="s">
        <v>106</v>
      </c>
      <c r="F1" s="22" t="s">
        <v>107</v>
      </c>
      <c r="H1" s="50"/>
    </row>
    <row r="2" spans="1:10" x14ac:dyDescent="0.3">
      <c r="A2" s="23" t="s">
        <v>27</v>
      </c>
      <c r="B2" s="24" t="s">
        <v>22</v>
      </c>
      <c r="C2" s="25">
        <v>122.80003195863681</v>
      </c>
      <c r="D2" s="25">
        <v>-964.45253200000002</v>
      </c>
      <c r="E2" s="25">
        <v>-25.778067</v>
      </c>
      <c r="F2" s="25" t="s">
        <v>14</v>
      </c>
      <c r="H2" s="51"/>
      <c r="J2" s="51"/>
    </row>
    <row r="3" spans="1:10" x14ac:dyDescent="0.3">
      <c r="A3" s="26" t="s">
        <v>29</v>
      </c>
      <c r="B3" s="27" t="s">
        <v>24</v>
      </c>
      <c r="C3" s="9">
        <v>81.3570742770398</v>
      </c>
      <c r="D3" s="9">
        <v>-685.07411999999999</v>
      </c>
      <c r="E3" s="9">
        <v>-56.278061999999998</v>
      </c>
      <c r="F3" s="9" t="s">
        <v>14</v>
      </c>
      <c r="H3" s="51"/>
      <c r="J3" s="51"/>
    </row>
    <row r="4" spans="1:10" x14ac:dyDescent="0.3">
      <c r="A4" s="6" t="s">
        <v>249</v>
      </c>
      <c r="B4" s="8" t="s">
        <v>23</v>
      </c>
      <c r="C4" s="7">
        <v>61.546725641990051</v>
      </c>
      <c r="D4" s="7">
        <v>203.658975</v>
      </c>
      <c r="E4" s="7">
        <v>29.404714999999999</v>
      </c>
      <c r="F4" s="7" t="s">
        <v>14</v>
      </c>
      <c r="H4" s="51"/>
      <c r="J4" s="51"/>
    </row>
    <row r="5" spans="1:10" x14ac:dyDescent="0.3">
      <c r="A5" s="26" t="s">
        <v>51</v>
      </c>
      <c r="B5" s="27" t="s">
        <v>49</v>
      </c>
      <c r="C5" s="9">
        <v>48.957491750895521</v>
      </c>
      <c r="D5" s="9">
        <v>-284.57195619999999</v>
      </c>
      <c r="E5" s="9">
        <v>-1.5849938000000001</v>
      </c>
      <c r="F5" s="9" t="s">
        <v>242</v>
      </c>
      <c r="H5" s="51"/>
      <c r="J5" s="51"/>
    </row>
    <row r="6" spans="1:10" x14ac:dyDescent="0.3">
      <c r="A6" s="6" t="s">
        <v>34</v>
      </c>
      <c r="B6" s="8" t="s">
        <v>32</v>
      </c>
      <c r="C6" s="7">
        <v>46.093097932636809</v>
      </c>
      <c r="D6" s="7">
        <v>-38.159927000000003</v>
      </c>
      <c r="E6" s="7">
        <v>-30.622350000000001</v>
      </c>
      <c r="F6" s="7" t="s">
        <v>15</v>
      </c>
      <c r="H6" s="51"/>
      <c r="J6" s="51"/>
    </row>
    <row r="7" spans="1:10" x14ac:dyDescent="0.3">
      <c r="A7" s="26" t="s">
        <v>252</v>
      </c>
      <c r="B7" s="27" t="s">
        <v>93</v>
      </c>
      <c r="C7" s="9">
        <v>42.769642447393039</v>
      </c>
      <c r="D7" s="9">
        <v>165.88365919999998</v>
      </c>
      <c r="E7" s="9">
        <v>-12.5292238</v>
      </c>
      <c r="F7" s="9" t="s">
        <v>15</v>
      </c>
      <c r="H7" s="51"/>
      <c r="J7" s="51"/>
    </row>
    <row r="8" spans="1:10" x14ac:dyDescent="0.3">
      <c r="A8" s="6" t="s">
        <v>162</v>
      </c>
      <c r="B8" s="8" t="s">
        <v>55</v>
      </c>
      <c r="C8" s="7">
        <v>34.726250747124382</v>
      </c>
      <c r="D8" s="7">
        <v>29.582937999999999</v>
      </c>
      <c r="E8" s="7">
        <v>-3.0437669999999999</v>
      </c>
      <c r="F8" s="54" t="s">
        <v>15</v>
      </c>
      <c r="H8" s="51"/>
      <c r="J8" s="51"/>
    </row>
    <row r="9" spans="1:10" x14ac:dyDescent="0.3">
      <c r="A9" s="26" t="s">
        <v>161</v>
      </c>
      <c r="B9" s="27" t="s">
        <v>58</v>
      </c>
      <c r="C9" s="9">
        <v>34.121427046019896</v>
      </c>
      <c r="D9" s="9">
        <v>-132.57682500000001</v>
      </c>
      <c r="E9" s="9">
        <v>-10.64072</v>
      </c>
      <c r="F9" s="9" t="s">
        <v>18</v>
      </c>
      <c r="H9" s="51"/>
      <c r="J9" s="51"/>
    </row>
    <row r="10" spans="1:10" x14ac:dyDescent="0.3">
      <c r="A10" s="6" t="s">
        <v>164</v>
      </c>
      <c r="B10" s="8" t="s">
        <v>26</v>
      </c>
      <c r="C10" s="7">
        <v>32.215244124825865</v>
      </c>
      <c r="D10" s="7">
        <v>-17.980701</v>
      </c>
      <c r="E10" s="7">
        <v>-32.195467999999998</v>
      </c>
      <c r="F10" s="7" t="s">
        <v>18</v>
      </c>
      <c r="H10" s="51"/>
      <c r="J10" s="51"/>
    </row>
    <row r="11" spans="1:10" x14ac:dyDescent="0.3">
      <c r="A11" s="26" t="s">
        <v>163</v>
      </c>
      <c r="B11" s="27" t="s">
        <v>37</v>
      </c>
      <c r="C11" s="9">
        <v>30.044547387313429</v>
      </c>
      <c r="D11" s="9">
        <v>69.480834999999999</v>
      </c>
      <c r="E11" s="9">
        <v>16.500634999999999</v>
      </c>
      <c r="F11" s="9" t="s">
        <v>11</v>
      </c>
      <c r="H11" s="51"/>
      <c r="J11" s="51"/>
    </row>
    <row r="12" spans="1:10" x14ac:dyDescent="0.3">
      <c r="A12" s="6" t="s">
        <v>165</v>
      </c>
      <c r="B12" s="8" t="s">
        <v>33</v>
      </c>
      <c r="C12" s="7">
        <v>27.797429836417908</v>
      </c>
      <c r="D12" s="7">
        <v>-211.378624</v>
      </c>
      <c r="E12" s="7">
        <v>-25.206966999999999</v>
      </c>
      <c r="F12" s="7" t="s">
        <v>15</v>
      </c>
      <c r="H12" s="51"/>
      <c r="J12" s="51"/>
    </row>
    <row r="13" spans="1:10" x14ac:dyDescent="0.3">
      <c r="A13" s="26" t="s">
        <v>172</v>
      </c>
      <c r="B13" s="27" t="s">
        <v>44</v>
      </c>
      <c r="C13" s="9">
        <v>27.007829241691542</v>
      </c>
      <c r="D13" s="9">
        <v>179.12284299999999</v>
      </c>
      <c r="E13" s="9">
        <v>6.0405670000000002</v>
      </c>
      <c r="F13" s="9" t="s">
        <v>20</v>
      </c>
      <c r="H13" s="51"/>
      <c r="J13" s="51"/>
    </row>
    <row r="14" spans="1:10" x14ac:dyDescent="0.3">
      <c r="A14" s="6" t="s">
        <v>168</v>
      </c>
      <c r="B14" s="8" t="s">
        <v>87</v>
      </c>
      <c r="C14" s="7">
        <v>23.535579832388059</v>
      </c>
      <c r="D14" s="7">
        <v>-96.022338000000005</v>
      </c>
      <c r="E14" s="7">
        <v>6.0561780000000001</v>
      </c>
      <c r="F14" s="7" t="s">
        <v>14</v>
      </c>
      <c r="H14" s="51"/>
      <c r="J14" s="51"/>
    </row>
    <row r="15" spans="1:10" x14ac:dyDescent="0.3">
      <c r="A15" s="26" t="s">
        <v>166</v>
      </c>
      <c r="B15" s="27" t="s">
        <v>40</v>
      </c>
      <c r="C15" s="9">
        <v>23.169163929054729</v>
      </c>
      <c r="D15" s="9">
        <v>-19.318159000000001</v>
      </c>
      <c r="E15" s="9">
        <v>-12.664241000000001</v>
      </c>
      <c r="F15" s="9" t="s">
        <v>18</v>
      </c>
      <c r="H15" s="51"/>
      <c r="J15" s="51"/>
    </row>
    <row r="16" spans="1:10" x14ac:dyDescent="0.3">
      <c r="A16" s="6" t="s">
        <v>167</v>
      </c>
      <c r="B16" s="8" t="s">
        <v>43</v>
      </c>
      <c r="C16" s="7">
        <v>22.006155464427859</v>
      </c>
      <c r="D16" s="7">
        <v>40.020243000000001</v>
      </c>
      <c r="E16" s="7">
        <v>1.114932</v>
      </c>
      <c r="F16" s="7" t="s">
        <v>12</v>
      </c>
      <c r="H16" s="51"/>
      <c r="J16" s="51"/>
    </row>
    <row r="17" spans="1:10" x14ac:dyDescent="0.3">
      <c r="A17" s="26" t="s">
        <v>176</v>
      </c>
      <c r="B17" s="27" t="s">
        <v>45</v>
      </c>
      <c r="C17" s="9">
        <v>19.355225856616912</v>
      </c>
      <c r="D17" s="9">
        <v>-290.803878</v>
      </c>
      <c r="E17" s="9">
        <v>-4.5218920000000002</v>
      </c>
      <c r="F17" s="9" t="s">
        <v>243</v>
      </c>
      <c r="H17" s="51"/>
      <c r="J17" s="51"/>
    </row>
    <row r="18" spans="1:10" x14ac:dyDescent="0.3">
      <c r="A18" s="6" t="s">
        <v>170</v>
      </c>
      <c r="B18" s="8" t="s">
        <v>54</v>
      </c>
      <c r="C18" s="7">
        <v>16.71417744480048</v>
      </c>
      <c r="D18" s="7">
        <v>-32.682421439899997</v>
      </c>
      <c r="E18" s="7">
        <v>-6.9783292522999982</v>
      </c>
      <c r="F18" s="7" t="s">
        <v>15</v>
      </c>
      <c r="H18" s="51"/>
      <c r="J18" s="51"/>
    </row>
    <row r="19" spans="1:10" x14ac:dyDescent="0.3">
      <c r="A19" s="26" t="s">
        <v>30</v>
      </c>
      <c r="B19" s="27" t="s">
        <v>25</v>
      </c>
      <c r="C19" s="9">
        <v>16.486595805671641</v>
      </c>
      <c r="D19" s="9">
        <v>155.18051800000001</v>
      </c>
      <c r="E19" s="9">
        <v>2.9044539999999999</v>
      </c>
      <c r="F19" s="9" t="s">
        <v>14</v>
      </c>
      <c r="H19" s="51"/>
      <c r="J19" s="51"/>
    </row>
    <row r="20" spans="1:10" x14ac:dyDescent="0.3">
      <c r="A20" s="6" t="s">
        <v>41</v>
      </c>
      <c r="B20" s="8" t="s">
        <v>39</v>
      </c>
      <c r="C20" s="7">
        <v>15.665265974975121</v>
      </c>
      <c r="D20" s="7">
        <v>140.95262199999999</v>
      </c>
      <c r="E20" s="7">
        <v>-3.4723839999999999</v>
      </c>
      <c r="F20" s="7" t="s">
        <v>15</v>
      </c>
      <c r="H20" s="51"/>
      <c r="J20" s="51"/>
    </row>
    <row r="21" spans="1:10" x14ac:dyDescent="0.3">
      <c r="A21" s="26" t="s">
        <v>171</v>
      </c>
      <c r="B21" s="27" t="s">
        <v>53</v>
      </c>
      <c r="C21" s="9">
        <v>15.65471401114428</v>
      </c>
      <c r="D21" s="9">
        <v>-87.697128500000005</v>
      </c>
      <c r="E21" s="9">
        <v>3.4800580000000001</v>
      </c>
      <c r="F21" s="9" t="s">
        <v>12</v>
      </c>
      <c r="H21" s="51"/>
      <c r="J21" s="51"/>
    </row>
    <row r="22" spans="1:10" x14ac:dyDescent="0.3">
      <c r="A22" s="6" t="s">
        <v>169</v>
      </c>
      <c r="B22" s="8" t="s">
        <v>60</v>
      </c>
      <c r="C22" s="7">
        <v>14.725504047860701</v>
      </c>
      <c r="D22" s="7">
        <v>-98.173035999999996</v>
      </c>
      <c r="E22" s="7">
        <v>-2.2885019999999998</v>
      </c>
      <c r="F22" s="7" t="s">
        <v>18</v>
      </c>
      <c r="H22" s="51"/>
      <c r="J22" s="51"/>
    </row>
    <row r="23" spans="1:10" x14ac:dyDescent="0.3">
      <c r="A23" s="26" t="s">
        <v>36</v>
      </c>
      <c r="B23" s="27" t="s">
        <v>31</v>
      </c>
      <c r="C23" s="9">
        <v>14.28134548191542</v>
      </c>
      <c r="D23" s="9">
        <v>-85.888394000000005</v>
      </c>
      <c r="E23" s="9">
        <v>-3.5783610000000001</v>
      </c>
      <c r="F23" s="9" t="s">
        <v>15</v>
      </c>
      <c r="H23" s="51"/>
      <c r="J23" s="51"/>
    </row>
    <row r="24" spans="1:10" x14ac:dyDescent="0.3">
      <c r="A24" s="6" t="s">
        <v>174</v>
      </c>
      <c r="B24" s="8" t="s">
        <v>56</v>
      </c>
      <c r="C24" s="7">
        <v>12.462606071691539</v>
      </c>
      <c r="D24" s="7">
        <v>-178.279098</v>
      </c>
      <c r="E24" s="7">
        <v>-7.8651460000000002</v>
      </c>
      <c r="F24" s="7" t="s">
        <v>17</v>
      </c>
      <c r="H24" s="51"/>
      <c r="J24" s="51"/>
    </row>
    <row r="25" spans="1:10" x14ac:dyDescent="0.3">
      <c r="A25" s="26" t="s">
        <v>173</v>
      </c>
      <c r="B25" s="27" t="s">
        <v>50</v>
      </c>
      <c r="C25" s="9">
        <v>12.246832419592039</v>
      </c>
      <c r="D25" s="9">
        <v>0.54048879999999866</v>
      </c>
      <c r="E25" s="9">
        <v>-13.303392000000001</v>
      </c>
      <c r="F25" s="9" t="s">
        <v>11</v>
      </c>
      <c r="H25" s="51"/>
      <c r="J25" s="51"/>
    </row>
    <row r="26" spans="1:10" x14ac:dyDescent="0.3">
      <c r="A26" s="6" t="s">
        <v>175</v>
      </c>
      <c r="B26" s="8" t="s">
        <v>82</v>
      </c>
      <c r="C26" s="7">
        <v>11.437736612885571</v>
      </c>
      <c r="D26" s="7">
        <v>-68.315315999999996</v>
      </c>
      <c r="E26" s="7">
        <v>-0.79553600000000002</v>
      </c>
      <c r="F26" s="7" t="s">
        <v>18</v>
      </c>
      <c r="H26" s="51"/>
      <c r="J26" s="51"/>
    </row>
    <row r="27" spans="1:10" x14ac:dyDescent="0.3">
      <c r="A27" s="26" t="s">
        <v>178</v>
      </c>
      <c r="B27" s="27" t="s">
        <v>80</v>
      </c>
      <c r="C27" s="9">
        <v>10.259014997462691</v>
      </c>
      <c r="D27" s="9">
        <v>17.791013</v>
      </c>
      <c r="E27" s="9">
        <v>-20.871269999999999</v>
      </c>
      <c r="F27" s="9" t="s">
        <v>18</v>
      </c>
      <c r="H27" s="51"/>
      <c r="J27" s="51"/>
    </row>
    <row r="28" spans="1:10" x14ac:dyDescent="0.3">
      <c r="A28" s="6" t="s">
        <v>179</v>
      </c>
      <c r="B28" s="8" t="s">
        <v>78</v>
      </c>
      <c r="C28" s="7">
        <v>10.257485985273629</v>
      </c>
      <c r="D28" s="7">
        <v>-13.831702999999999</v>
      </c>
      <c r="E28" s="7">
        <v>-0.50294799999999984</v>
      </c>
      <c r="F28" s="7" t="s">
        <v>18</v>
      </c>
      <c r="H28" s="51"/>
      <c r="J28" s="51"/>
    </row>
    <row r="29" spans="1:10" x14ac:dyDescent="0.3">
      <c r="A29" s="26" t="s">
        <v>180</v>
      </c>
      <c r="B29" s="27" t="s">
        <v>57</v>
      </c>
      <c r="C29" s="9">
        <v>9.7994195406633189</v>
      </c>
      <c r="D29" s="9">
        <v>-29.661408074100009</v>
      </c>
      <c r="E29" s="9">
        <v>4.1319609034000004</v>
      </c>
      <c r="F29" s="9" t="s">
        <v>17</v>
      </c>
      <c r="H29" s="51"/>
      <c r="J29" s="51"/>
    </row>
    <row r="30" spans="1:10" x14ac:dyDescent="0.3">
      <c r="A30" s="6" t="s">
        <v>177</v>
      </c>
      <c r="B30" s="8" t="s">
        <v>94</v>
      </c>
      <c r="C30" s="7">
        <v>8.9112642703980089</v>
      </c>
      <c r="D30" s="7">
        <v>-176.72433000000001</v>
      </c>
      <c r="E30" s="7">
        <v>-1.623156</v>
      </c>
      <c r="F30" s="7" t="s">
        <v>18</v>
      </c>
      <c r="H30" s="51"/>
      <c r="J30" s="51"/>
    </row>
    <row r="31" spans="1:10" x14ac:dyDescent="0.3">
      <c r="A31" s="26" t="s">
        <v>181</v>
      </c>
      <c r="B31" s="27" t="s">
        <v>115</v>
      </c>
      <c r="C31" s="9">
        <v>8.5149210004975124</v>
      </c>
      <c r="D31" s="9">
        <v>45.526924999999999</v>
      </c>
      <c r="E31" s="9">
        <v>6.7708630000000003</v>
      </c>
      <c r="F31" s="9" t="s">
        <v>15</v>
      </c>
      <c r="H31" s="51"/>
      <c r="J31" s="51"/>
    </row>
    <row r="32" spans="1:10" x14ac:dyDescent="0.3">
      <c r="A32" s="6" t="s">
        <v>114</v>
      </c>
      <c r="B32" s="8" t="s">
        <v>109</v>
      </c>
      <c r="C32" s="7">
        <v>7.4418317385572141</v>
      </c>
      <c r="D32" s="7">
        <v>-47.202478499999998</v>
      </c>
      <c r="E32" s="7">
        <v>-0.167355</v>
      </c>
      <c r="F32" s="7" t="s">
        <v>18</v>
      </c>
      <c r="H32" s="51"/>
      <c r="J32" s="51"/>
    </row>
    <row r="33" spans="1:10" x14ac:dyDescent="0.3">
      <c r="A33" s="26" t="s">
        <v>183</v>
      </c>
      <c r="B33" s="27" t="s">
        <v>61</v>
      </c>
      <c r="C33" s="9">
        <v>7.3795808797014928</v>
      </c>
      <c r="D33" s="9">
        <v>9.1958570000000002</v>
      </c>
      <c r="E33" s="9">
        <v>-7.4489289999999997</v>
      </c>
      <c r="F33" s="9" t="s">
        <v>17</v>
      </c>
      <c r="H33" s="51"/>
      <c r="J33" s="51"/>
    </row>
    <row r="34" spans="1:10" x14ac:dyDescent="0.3">
      <c r="A34" s="6" t="s">
        <v>184</v>
      </c>
      <c r="B34" s="8" t="s">
        <v>97</v>
      </c>
      <c r="C34" s="7">
        <v>7.1379071364179101</v>
      </c>
      <c r="D34" s="7">
        <v>-35.634409299999994</v>
      </c>
      <c r="E34" s="7">
        <v>-5.1457265000000003</v>
      </c>
      <c r="F34" s="7" t="s">
        <v>18</v>
      </c>
      <c r="H34" s="51"/>
      <c r="J34" s="51"/>
    </row>
    <row r="35" spans="1:10" x14ac:dyDescent="0.3">
      <c r="A35" s="26" t="s">
        <v>182</v>
      </c>
      <c r="B35" s="27" t="s">
        <v>253</v>
      </c>
      <c r="C35" s="9">
        <v>6.1240803062189055</v>
      </c>
      <c r="D35" s="9">
        <v>53.356990000000003</v>
      </c>
      <c r="E35" s="9">
        <v>4.6959140000000001</v>
      </c>
      <c r="F35" s="9" t="s">
        <v>243</v>
      </c>
      <c r="H35" s="51"/>
      <c r="J35" s="51"/>
    </row>
    <row r="36" spans="1:10" x14ac:dyDescent="0.3">
      <c r="A36" s="6" t="s">
        <v>187</v>
      </c>
      <c r="B36" s="8" t="s">
        <v>95</v>
      </c>
      <c r="C36" s="7">
        <v>5.8279713648835818</v>
      </c>
      <c r="D36" s="7">
        <v>39.178744094199999</v>
      </c>
      <c r="E36" s="7">
        <v>1.1619090000000001</v>
      </c>
      <c r="F36" s="7" t="s">
        <v>243</v>
      </c>
      <c r="H36" s="51"/>
      <c r="J36" s="51"/>
    </row>
    <row r="37" spans="1:10" x14ac:dyDescent="0.3">
      <c r="A37" s="26" t="s">
        <v>189</v>
      </c>
      <c r="B37" s="27" t="s">
        <v>118</v>
      </c>
      <c r="C37" s="9">
        <v>5.8194206091542293</v>
      </c>
      <c r="D37" s="9">
        <v>-7.4985299999999988</v>
      </c>
      <c r="E37" s="9">
        <v>-0.31662400000000002</v>
      </c>
      <c r="F37" s="9" t="s">
        <v>18</v>
      </c>
      <c r="H37" s="51"/>
      <c r="J37" s="51"/>
    </row>
    <row r="38" spans="1:10" x14ac:dyDescent="0.3">
      <c r="A38" s="6" t="s">
        <v>185</v>
      </c>
      <c r="B38" s="8" t="s">
        <v>116</v>
      </c>
      <c r="C38" s="7">
        <v>5.0422284322189057</v>
      </c>
      <c r="D38" s="7">
        <v>-101.658631</v>
      </c>
      <c r="E38" s="7">
        <v>-1.6673024999999999</v>
      </c>
      <c r="F38" s="7" t="s">
        <v>18</v>
      </c>
      <c r="H38" s="51"/>
      <c r="J38" s="51"/>
    </row>
    <row r="39" spans="1:10" x14ac:dyDescent="0.3">
      <c r="A39" s="26" t="s">
        <v>190</v>
      </c>
      <c r="B39" s="27" t="s">
        <v>119</v>
      </c>
      <c r="C39" s="9">
        <v>4.5892469409950252</v>
      </c>
      <c r="D39" s="9">
        <v>8.5063565000000008</v>
      </c>
      <c r="E39" s="9">
        <v>1.1197299999999999</v>
      </c>
      <c r="F39" s="9" t="s">
        <v>243</v>
      </c>
      <c r="H39" s="51"/>
      <c r="J39" s="51"/>
    </row>
    <row r="40" spans="1:10" x14ac:dyDescent="0.3">
      <c r="A40" s="6" t="s">
        <v>186</v>
      </c>
      <c r="B40" s="8" t="s">
        <v>117</v>
      </c>
      <c r="C40" s="7">
        <v>4.1898279820895521</v>
      </c>
      <c r="D40" s="7">
        <v>34.998299000000003</v>
      </c>
      <c r="E40" s="7">
        <v>0.114718</v>
      </c>
      <c r="F40" s="7" t="s">
        <v>12</v>
      </c>
      <c r="H40" s="51"/>
      <c r="J40" s="51"/>
    </row>
    <row r="41" spans="1:10" x14ac:dyDescent="0.3">
      <c r="A41" s="26" t="s">
        <v>191</v>
      </c>
      <c r="B41" s="27" t="s">
        <v>120</v>
      </c>
      <c r="C41" s="9">
        <v>3.7870775736318412</v>
      </c>
      <c r="D41" s="9">
        <v>-21.492404499999999</v>
      </c>
      <c r="E41" s="9">
        <v>0.67366599999999999</v>
      </c>
      <c r="F41" s="9" t="s">
        <v>243</v>
      </c>
      <c r="H41" s="51"/>
      <c r="J41" s="51"/>
    </row>
    <row r="42" spans="1:10" x14ac:dyDescent="0.3">
      <c r="A42" s="6" t="s">
        <v>110</v>
      </c>
      <c r="B42" s="8" t="s">
        <v>111</v>
      </c>
      <c r="C42" s="7">
        <v>3.3374589679601989</v>
      </c>
      <c r="D42" s="7">
        <v>4.0305939999999998</v>
      </c>
      <c r="E42" s="7">
        <v>0.1256175000000001</v>
      </c>
      <c r="F42" s="7" t="s">
        <v>18</v>
      </c>
      <c r="H42" s="51"/>
      <c r="J42" s="51"/>
    </row>
    <row r="43" spans="1:10" x14ac:dyDescent="0.3">
      <c r="A43" s="26" t="s">
        <v>188</v>
      </c>
      <c r="B43" s="27" t="s">
        <v>100</v>
      </c>
      <c r="C43" s="9">
        <v>3.2949677189054731</v>
      </c>
      <c r="D43" s="9">
        <v>-5.7602624999999996</v>
      </c>
      <c r="E43" s="9">
        <v>-0.20109199999999999</v>
      </c>
      <c r="F43" s="9" t="s">
        <v>15</v>
      </c>
      <c r="H43" s="51"/>
      <c r="J43" s="51"/>
    </row>
    <row r="44" spans="1:10" x14ac:dyDescent="0.3">
      <c r="A44" s="6" t="s">
        <v>194</v>
      </c>
      <c r="B44" s="8" t="s">
        <v>122</v>
      </c>
      <c r="C44" s="7">
        <v>3.2307665585074621</v>
      </c>
      <c r="D44" s="7">
        <v>1.4267559999999999</v>
      </c>
      <c r="E44" s="7">
        <v>-0.71554399999999996</v>
      </c>
      <c r="F44" s="7" t="s">
        <v>12</v>
      </c>
      <c r="H44" s="51"/>
      <c r="J44" s="51"/>
    </row>
    <row r="45" spans="1:10" x14ac:dyDescent="0.3">
      <c r="A45" s="26" t="s">
        <v>201</v>
      </c>
      <c r="B45" s="27" t="s">
        <v>112</v>
      </c>
      <c r="C45" s="9">
        <v>3.209078364626865</v>
      </c>
      <c r="D45" s="9">
        <v>-47.6064924</v>
      </c>
      <c r="E45" s="9">
        <v>-5.2527894999999996</v>
      </c>
      <c r="F45" s="9" t="s">
        <v>16</v>
      </c>
      <c r="H45" s="51"/>
      <c r="J45" s="51"/>
    </row>
    <row r="46" spans="1:10" x14ac:dyDescent="0.3">
      <c r="A46" s="6" t="s">
        <v>193</v>
      </c>
      <c r="B46" s="8" t="s">
        <v>101</v>
      </c>
      <c r="C46" s="7">
        <v>3.1811609656716424</v>
      </c>
      <c r="D46" s="7">
        <v>-17.737046500000002</v>
      </c>
      <c r="E46" s="7">
        <v>-1.4015715</v>
      </c>
      <c r="F46" s="7" t="s">
        <v>18</v>
      </c>
      <c r="H46" s="51"/>
      <c r="J46" s="51"/>
    </row>
    <row r="47" spans="1:10" x14ac:dyDescent="0.3">
      <c r="A47" s="26" t="s">
        <v>192</v>
      </c>
      <c r="B47" s="27" t="s">
        <v>121</v>
      </c>
      <c r="C47" s="9">
        <v>3.1134366592039799</v>
      </c>
      <c r="D47" s="9">
        <v>24.935498500000001</v>
      </c>
      <c r="E47" s="9">
        <v>1.0743039999999999</v>
      </c>
      <c r="F47" s="9" t="s">
        <v>14</v>
      </c>
      <c r="H47" s="51"/>
      <c r="J47" s="51"/>
    </row>
    <row r="48" spans="1:10" x14ac:dyDescent="0.3">
      <c r="A48" s="6" t="s">
        <v>199</v>
      </c>
      <c r="B48" s="8" t="s">
        <v>126</v>
      </c>
      <c r="C48" s="7">
        <v>3.069255043184079</v>
      </c>
      <c r="D48" s="7">
        <v>-28.3448815</v>
      </c>
      <c r="E48" s="7">
        <v>-3.2496320000000001</v>
      </c>
      <c r="F48" s="7" t="s">
        <v>242</v>
      </c>
      <c r="H48" s="51"/>
      <c r="J48" s="51"/>
    </row>
    <row r="49" spans="1:10" x14ac:dyDescent="0.3">
      <c r="A49" s="26" t="s">
        <v>195</v>
      </c>
      <c r="B49" s="27" t="s">
        <v>96</v>
      </c>
      <c r="C49" s="9">
        <v>3.0598803641791052</v>
      </c>
      <c r="D49" s="9">
        <v>-28.238039000000001</v>
      </c>
      <c r="E49" s="9">
        <v>-3.9829599999999998</v>
      </c>
      <c r="F49" s="9" t="s">
        <v>12</v>
      </c>
      <c r="H49" s="51"/>
      <c r="J49" s="51"/>
    </row>
    <row r="50" spans="1:10" x14ac:dyDescent="0.3">
      <c r="A50" s="6" t="s">
        <v>103</v>
      </c>
      <c r="B50" s="8" t="s">
        <v>102</v>
      </c>
      <c r="C50" s="7">
        <v>3.0424506437810939</v>
      </c>
      <c r="D50" s="7">
        <v>-13.159200500000001</v>
      </c>
      <c r="E50" s="7">
        <v>-0.8250345</v>
      </c>
      <c r="F50" s="7" t="s">
        <v>12</v>
      </c>
      <c r="H50" s="51"/>
      <c r="J50" s="51"/>
    </row>
    <row r="51" spans="1:10" x14ac:dyDescent="0.3">
      <c r="A51" s="26" t="s">
        <v>205</v>
      </c>
      <c r="B51" s="27" t="s">
        <v>113</v>
      </c>
      <c r="C51" s="9">
        <v>2.8946491890547263</v>
      </c>
      <c r="D51" s="9">
        <v>-9.1661979999999996</v>
      </c>
      <c r="E51" s="9">
        <v>-1.1318156000000001</v>
      </c>
      <c r="F51" s="9" t="s">
        <v>245</v>
      </c>
      <c r="H51" s="51"/>
      <c r="J51" s="51"/>
    </row>
    <row r="52" spans="1:10" x14ac:dyDescent="0.3">
      <c r="A52" s="6" t="s">
        <v>200</v>
      </c>
      <c r="B52" s="8" t="s">
        <v>127</v>
      </c>
      <c r="C52" s="7">
        <v>2.6245092687159701</v>
      </c>
      <c r="D52" s="7">
        <v>3.0164375509900001</v>
      </c>
      <c r="E52" s="7">
        <v>-0.3726708928400001</v>
      </c>
      <c r="F52" s="7" t="s">
        <v>11</v>
      </c>
      <c r="H52" s="51"/>
      <c r="J52" s="51"/>
    </row>
    <row r="53" spans="1:10" x14ac:dyDescent="0.3">
      <c r="A53" s="26" t="s">
        <v>203</v>
      </c>
      <c r="B53" s="27" t="s">
        <v>128</v>
      </c>
      <c r="C53" s="9">
        <v>2.525356026965174</v>
      </c>
      <c r="D53" s="9">
        <v>1.6400410000000001</v>
      </c>
      <c r="E53" s="9">
        <v>-0.169352</v>
      </c>
      <c r="F53" s="9" t="s">
        <v>18</v>
      </c>
      <c r="H53" s="51"/>
      <c r="J53" s="51"/>
    </row>
    <row r="54" spans="1:10" x14ac:dyDescent="0.3">
      <c r="A54" s="6" t="s">
        <v>206</v>
      </c>
      <c r="B54" s="8" t="s">
        <v>130</v>
      </c>
      <c r="C54" s="7">
        <v>2.1016599547263684</v>
      </c>
      <c r="D54" s="7">
        <v>-28.188155500000001</v>
      </c>
      <c r="E54" s="7">
        <v>-3.2809705</v>
      </c>
      <c r="F54" s="7" t="s">
        <v>18</v>
      </c>
      <c r="H54" s="51"/>
      <c r="J54" s="51"/>
    </row>
    <row r="55" spans="1:10" x14ac:dyDescent="0.3">
      <c r="A55" s="26" t="s">
        <v>204</v>
      </c>
      <c r="B55" s="27" t="s">
        <v>129</v>
      </c>
      <c r="C55" s="9">
        <v>2.0625331715480799</v>
      </c>
      <c r="D55" s="9">
        <v>-8.8403045380499989</v>
      </c>
      <c r="E55" s="9">
        <v>0.15218522629999948</v>
      </c>
      <c r="F55" s="9" t="s">
        <v>18</v>
      </c>
      <c r="H55" s="51"/>
      <c r="J55" s="51"/>
    </row>
    <row r="56" spans="1:10" x14ac:dyDescent="0.3">
      <c r="A56" s="6" t="s">
        <v>197</v>
      </c>
      <c r="B56" s="8" t="s">
        <v>124</v>
      </c>
      <c r="C56" s="7">
        <v>2.0402817906467661</v>
      </c>
      <c r="D56" s="7">
        <v>8.2385959999999994</v>
      </c>
      <c r="E56" s="7">
        <v>-0.64225600000000005</v>
      </c>
      <c r="F56" s="7" t="s">
        <v>244</v>
      </c>
      <c r="H56" s="51"/>
      <c r="J56" s="51"/>
    </row>
    <row r="57" spans="1:10" x14ac:dyDescent="0.3">
      <c r="A57" s="26" t="s">
        <v>217</v>
      </c>
      <c r="B57" s="27" t="s">
        <v>140</v>
      </c>
      <c r="C57" s="9">
        <v>1.9684638437810951</v>
      </c>
      <c r="D57" s="9">
        <v>13.765810999999999</v>
      </c>
      <c r="E57" s="9">
        <v>-0.65075099999999997</v>
      </c>
      <c r="F57" s="9" t="s">
        <v>245</v>
      </c>
      <c r="H57" s="51"/>
      <c r="J57" s="51"/>
    </row>
    <row r="58" spans="1:10" x14ac:dyDescent="0.3">
      <c r="A58" s="6" t="s">
        <v>216</v>
      </c>
      <c r="B58" s="8" t="s">
        <v>139</v>
      </c>
      <c r="C58" s="7">
        <v>1.8180767323383078</v>
      </c>
      <c r="D58" s="7">
        <v>7.7338310000000003</v>
      </c>
      <c r="E58" s="7">
        <v>0.82869700000000002</v>
      </c>
      <c r="F58" s="7" t="s">
        <v>18</v>
      </c>
      <c r="H58" s="51"/>
      <c r="J58" s="51"/>
    </row>
    <row r="59" spans="1:10" x14ac:dyDescent="0.3">
      <c r="A59" s="26" t="s">
        <v>202</v>
      </c>
      <c r="B59" s="27" t="s">
        <v>59</v>
      </c>
      <c r="C59" s="9">
        <v>1.7440614781879851</v>
      </c>
      <c r="D59" s="9">
        <v>11.875469990499999</v>
      </c>
      <c r="E59" s="9">
        <v>-0.46254492519999946</v>
      </c>
      <c r="F59" s="9" t="s">
        <v>12</v>
      </c>
      <c r="H59" s="51"/>
      <c r="J59" s="51"/>
    </row>
    <row r="60" spans="1:10" x14ac:dyDescent="0.3">
      <c r="A60" s="6" t="s">
        <v>196</v>
      </c>
      <c r="B60" s="8" t="s">
        <v>123</v>
      </c>
      <c r="C60" s="7">
        <v>1.6732811398009948</v>
      </c>
      <c r="D60" s="7">
        <v>-21.779098999999999</v>
      </c>
      <c r="E60" s="7">
        <v>0.78411699999999995</v>
      </c>
      <c r="F60" s="7" t="s">
        <v>244</v>
      </c>
      <c r="H60" s="51"/>
      <c r="J60" s="51"/>
    </row>
    <row r="61" spans="1:10" x14ac:dyDescent="0.3">
      <c r="A61" s="26" t="s">
        <v>208</v>
      </c>
      <c r="B61" s="27" t="s">
        <v>132</v>
      </c>
      <c r="C61" s="9">
        <v>1.606557488059702</v>
      </c>
      <c r="D61" s="9">
        <v>-25.038349</v>
      </c>
      <c r="E61" s="9">
        <v>-2.607774</v>
      </c>
      <c r="F61" s="9" t="s">
        <v>18</v>
      </c>
      <c r="H61" s="51"/>
      <c r="J61" s="51"/>
    </row>
    <row r="62" spans="1:10" x14ac:dyDescent="0.3">
      <c r="A62" s="6" t="s">
        <v>207</v>
      </c>
      <c r="B62" s="8" t="s">
        <v>131</v>
      </c>
      <c r="C62" s="7">
        <v>1.5586679044776122</v>
      </c>
      <c r="D62" s="7">
        <v>-17.896301000000001</v>
      </c>
      <c r="E62" s="7">
        <v>6.5996000000000027E-2</v>
      </c>
      <c r="F62" s="7" t="s">
        <v>245</v>
      </c>
      <c r="H62" s="51"/>
      <c r="J62" s="51"/>
    </row>
    <row r="63" spans="1:10" x14ac:dyDescent="0.3">
      <c r="A63" s="26" t="s">
        <v>198</v>
      </c>
      <c r="B63" s="27" t="s">
        <v>125</v>
      </c>
      <c r="C63" s="9">
        <v>1.530148303432836</v>
      </c>
      <c r="D63" s="9">
        <v>22.861331</v>
      </c>
      <c r="E63" s="9">
        <v>0.42718800000000001</v>
      </c>
      <c r="F63" s="9" t="s">
        <v>11</v>
      </c>
      <c r="H63" s="51"/>
      <c r="J63" s="51"/>
    </row>
    <row r="64" spans="1:10" x14ac:dyDescent="0.3">
      <c r="A64" s="6" t="s">
        <v>211</v>
      </c>
      <c r="B64" s="8" t="s">
        <v>134</v>
      </c>
      <c r="C64" s="7">
        <v>1.4867562238805969</v>
      </c>
      <c r="D64" s="7">
        <v>10.938596</v>
      </c>
      <c r="E64" s="7">
        <v>-0.17197399999999999</v>
      </c>
      <c r="F64" s="7" t="s">
        <v>243</v>
      </c>
      <c r="H64" s="51"/>
      <c r="J64" s="51"/>
    </row>
    <row r="65" spans="1:10" x14ac:dyDescent="0.3">
      <c r="A65" s="26" t="s">
        <v>212</v>
      </c>
      <c r="B65" s="27" t="s">
        <v>135</v>
      </c>
      <c r="C65" s="9">
        <v>1.379617599143862</v>
      </c>
      <c r="D65" s="9">
        <v>-33.30761985182</v>
      </c>
      <c r="E65" s="9">
        <v>5.8091307599999848E-3</v>
      </c>
      <c r="F65" s="9" t="s">
        <v>18</v>
      </c>
      <c r="H65" s="51"/>
      <c r="J65" s="51"/>
    </row>
    <row r="66" spans="1:10" x14ac:dyDescent="0.3">
      <c r="A66" s="6" t="s">
        <v>209</v>
      </c>
      <c r="B66" s="8" t="s">
        <v>98</v>
      </c>
      <c r="C66" s="7">
        <v>1.321011676098617</v>
      </c>
      <c r="D66" s="7">
        <v>0.60048445541000062</v>
      </c>
      <c r="E66" s="7">
        <v>-0.37694975546000004</v>
      </c>
      <c r="F66" s="7" t="s">
        <v>15</v>
      </c>
      <c r="H66" s="51"/>
      <c r="J66" s="51"/>
    </row>
    <row r="67" spans="1:10" x14ac:dyDescent="0.3">
      <c r="A67" s="26" t="s">
        <v>210</v>
      </c>
      <c r="B67" s="27" t="s">
        <v>133</v>
      </c>
      <c r="C67" s="9">
        <v>1.316402014925373</v>
      </c>
      <c r="D67" s="9">
        <v>3.1748952999999998</v>
      </c>
      <c r="E67" s="9">
        <v>-0.16502929999999999</v>
      </c>
      <c r="F67" s="9" t="s">
        <v>245</v>
      </c>
      <c r="H67" s="51"/>
      <c r="J67" s="51"/>
    </row>
    <row r="68" spans="1:10" x14ac:dyDescent="0.3">
      <c r="A68" s="6" t="s">
        <v>213</v>
      </c>
      <c r="B68" s="8" t="s">
        <v>136</v>
      </c>
      <c r="C68" s="7">
        <v>1.2583588432835819</v>
      </c>
      <c r="D68" s="7">
        <v>7.3467174999999996</v>
      </c>
      <c r="E68" s="7">
        <v>-1.05165E-2</v>
      </c>
      <c r="F68" s="7" t="s">
        <v>244</v>
      </c>
      <c r="H68" s="51"/>
      <c r="J68" s="51"/>
    </row>
    <row r="69" spans="1:10" x14ac:dyDescent="0.3">
      <c r="A69" s="26" t="s">
        <v>225</v>
      </c>
      <c r="B69" s="27" t="s">
        <v>147</v>
      </c>
      <c r="C69" s="9">
        <v>1.1851435025870651</v>
      </c>
      <c r="D69" s="9">
        <v>12.222512500000001</v>
      </c>
      <c r="E69" s="9">
        <v>0.13756199999999999</v>
      </c>
      <c r="F69" s="9" t="s">
        <v>15</v>
      </c>
      <c r="H69" s="51"/>
      <c r="J69" s="51"/>
    </row>
    <row r="70" spans="1:10" x14ac:dyDescent="0.3">
      <c r="A70" s="6" t="s">
        <v>218</v>
      </c>
      <c r="B70" s="8" t="s">
        <v>141</v>
      </c>
      <c r="C70" s="7">
        <v>1.113346462686567</v>
      </c>
      <c r="D70" s="7">
        <v>15.748326</v>
      </c>
      <c r="E70" s="7">
        <v>-0.53976599999999997</v>
      </c>
      <c r="F70" s="7" t="s">
        <v>242</v>
      </c>
      <c r="H70" s="51"/>
      <c r="J70" s="51"/>
    </row>
    <row r="71" spans="1:10" x14ac:dyDescent="0.3">
      <c r="A71" s="26" t="s">
        <v>235</v>
      </c>
      <c r="B71" s="27" t="s">
        <v>254</v>
      </c>
      <c r="C71" s="9">
        <v>1.0499600482587059</v>
      </c>
      <c r="D71" s="9">
        <v>-3.1782029000000001</v>
      </c>
      <c r="E71" s="9">
        <v>3.77235E-2</v>
      </c>
      <c r="F71" s="9" t="s">
        <v>244</v>
      </c>
      <c r="H71" s="51"/>
      <c r="J71" s="51"/>
    </row>
    <row r="72" spans="1:10" x14ac:dyDescent="0.3">
      <c r="A72" s="6" t="s">
        <v>223</v>
      </c>
      <c r="B72" s="8" t="s">
        <v>145</v>
      </c>
      <c r="C72" s="7">
        <v>1.026050175547264</v>
      </c>
      <c r="D72" s="7">
        <v>-8.9676124999999995</v>
      </c>
      <c r="E72" s="7">
        <v>-0.1532685</v>
      </c>
      <c r="F72" s="7" t="s">
        <v>17</v>
      </c>
      <c r="H72" s="51"/>
      <c r="J72" s="51"/>
    </row>
    <row r="73" spans="1:10" x14ac:dyDescent="0.3">
      <c r="A73" s="26" t="s">
        <v>215</v>
      </c>
      <c r="B73" s="27" t="s">
        <v>138</v>
      </c>
      <c r="C73" s="9">
        <v>0.97366681094527363</v>
      </c>
      <c r="D73" s="9">
        <v>19.461081499999999</v>
      </c>
      <c r="E73" s="9">
        <v>-4.0851499999999999E-2</v>
      </c>
      <c r="F73" s="9" t="s">
        <v>18</v>
      </c>
      <c r="H73" s="51"/>
      <c r="J73" s="51"/>
    </row>
    <row r="74" spans="1:10" x14ac:dyDescent="0.3">
      <c r="A74" s="6" t="s">
        <v>221</v>
      </c>
      <c r="B74" s="8" t="s">
        <v>143</v>
      </c>
      <c r="C74" s="7">
        <v>0.96208506024399199</v>
      </c>
      <c r="D74" s="7">
        <v>-45.04786454525</v>
      </c>
      <c r="E74" s="7">
        <v>-0.28248779904999999</v>
      </c>
      <c r="F74" s="7" t="s">
        <v>18</v>
      </c>
      <c r="H74" s="51"/>
      <c r="J74" s="51"/>
    </row>
    <row r="75" spans="1:10" x14ac:dyDescent="0.3">
      <c r="A75" s="26" t="s">
        <v>237</v>
      </c>
      <c r="B75" s="27" t="s">
        <v>157</v>
      </c>
      <c r="C75" s="9">
        <v>0.8837129870646766</v>
      </c>
      <c r="D75" s="9">
        <v>-3.3566595000000001</v>
      </c>
      <c r="E75" s="9">
        <v>0.74470800000000004</v>
      </c>
      <c r="F75" s="9" t="s">
        <v>12</v>
      </c>
      <c r="H75" s="51"/>
      <c r="J75" s="51"/>
    </row>
    <row r="76" spans="1:10" x14ac:dyDescent="0.3">
      <c r="A76" s="6" t="s">
        <v>240</v>
      </c>
      <c r="B76" s="8" t="s">
        <v>159</v>
      </c>
      <c r="C76" s="7">
        <v>0.87736737263681597</v>
      </c>
      <c r="D76" s="7">
        <v>-4.8775399999999906E-2</v>
      </c>
      <c r="E76" s="7">
        <v>0.49659840000000005</v>
      </c>
      <c r="F76" s="7" t="s">
        <v>15</v>
      </c>
      <c r="H76" s="51"/>
      <c r="J76" s="51"/>
    </row>
    <row r="77" spans="1:10" x14ac:dyDescent="0.3">
      <c r="A77" s="26" t="s">
        <v>258</v>
      </c>
      <c r="B77" s="27" t="s">
        <v>259</v>
      </c>
      <c r="C77" s="9">
        <v>0.87544352298507466</v>
      </c>
      <c r="D77" s="9">
        <v>-23.985514999999999</v>
      </c>
      <c r="E77" s="9">
        <v>1.0470595</v>
      </c>
      <c r="F77" s="9" t="s">
        <v>18</v>
      </c>
      <c r="H77" s="51"/>
      <c r="J77" s="51"/>
    </row>
    <row r="78" spans="1:10" x14ac:dyDescent="0.3">
      <c r="A78" s="6" t="s">
        <v>214</v>
      </c>
      <c r="B78" s="8" t="s">
        <v>137</v>
      </c>
      <c r="C78" s="7">
        <v>0.85960403681592035</v>
      </c>
      <c r="D78" s="7">
        <v>-0.45403850000000001</v>
      </c>
      <c r="E78" s="7">
        <v>3.0061500000000001E-2</v>
      </c>
      <c r="F78" s="7" t="s">
        <v>243</v>
      </c>
      <c r="H78" s="51"/>
      <c r="J78" s="51"/>
    </row>
    <row r="79" spans="1:10" x14ac:dyDescent="0.3">
      <c r="A79" s="26" t="s">
        <v>231</v>
      </c>
      <c r="B79" s="27" t="s">
        <v>153</v>
      </c>
      <c r="C79" s="9">
        <v>0.83806059203980099</v>
      </c>
      <c r="D79" s="9">
        <v>7.7434760000000002</v>
      </c>
      <c r="E79" s="9">
        <v>-1.05088</v>
      </c>
      <c r="F79" s="9" t="s">
        <v>18</v>
      </c>
      <c r="H79" s="51"/>
      <c r="J79" s="51"/>
    </row>
    <row r="80" spans="1:10" x14ac:dyDescent="0.3">
      <c r="A80" s="6" t="s">
        <v>222</v>
      </c>
      <c r="B80" s="8" t="s">
        <v>144</v>
      </c>
      <c r="C80" s="7">
        <v>0.83648954726368152</v>
      </c>
      <c r="D80" s="7">
        <v>-21.453118</v>
      </c>
      <c r="E80" s="7">
        <v>-0.28680099999999997</v>
      </c>
      <c r="F80" s="7" t="s">
        <v>18</v>
      </c>
      <c r="H80" s="51"/>
      <c r="J80" s="51"/>
    </row>
    <row r="81" spans="1:10" x14ac:dyDescent="0.3">
      <c r="A81" s="26" t="s">
        <v>220</v>
      </c>
      <c r="B81" s="27" t="s">
        <v>142</v>
      </c>
      <c r="C81" s="9">
        <v>0.80565416945273638</v>
      </c>
      <c r="D81" s="9">
        <v>5.9859799999999996</v>
      </c>
      <c r="E81" s="9">
        <v>-2.3841999999999999E-2</v>
      </c>
      <c r="F81" s="9" t="s">
        <v>244</v>
      </c>
      <c r="H81" s="51"/>
      <c r="J81" s="51"/>
    </row>
    <row r="82" spans="1:10" x14ac:dyDescent="0.3">
      <c r="A82" s="6" t="s">
        <v>219</v>
      </c>
      <c r="B82" s="8" t="s">
        <v>108</v>
      </c>
      <c r="C82" s="7">
        <v>0.78751409351194035</v>
      </c>
      <c r="D82" s="7">
        <v>41.7935664962</v>
      </c>
      <c r="E82" s="7">
        <v>-5.8066307800000029E-2</v>
      </c>
      <c r="F82" s="7" t="s">
        <v>244</v>
      </c>
      <c r="H82" s="51"/>
      <c r="J82" s="51"/>
    </row>
    <row r="83" spans="1:10" x14ac:dyDescent="0.3">
      <c r="A83" s="26" t="s">
        <v>232</v>
      </c>
      <c r="B83" s="27" t="s">
        <v>91</v>
      </c>
      <c r="C83" s="9">
        <v>0.78531221393034834</v>
      </c>
      <c r="D83" s="9">
        <v>1.2532485</v>
      </c>
      <c r="E83" s="9">
        <v>-0.54605199999999998</v>
      </c>
      <c r="F83" s="9" t="s">
        <v>12</v>
      </c>
      <c r="H83" s="51"/>
      <c r="J83" s="51"/>
    </row>
    <row r="84" spans="1:10" x14ac:dyDescent="0.3">
      <c r="A84" s="6" t="s">
        <v>233</v>
      </c>
      <c r="B84" s="8" t="s">
        <v>154</v>
      </c>
      <c r="C84" s="7">
        <v>0.77658141860696517</v>
      </c>
      <c r="D84" s="7">
        <v>-10.294650499999999</v>
      </c>
      <c r="E84" s="7">
        <v>0.1676125</v>
      </c>
      <c r="F84" s="7" t="s">
        <v>18</v>
      </c>
      <c r="H84" s="51"/>
      <c r="J84" s="51"/>
    </row>
    <row r="85" spans="1:10" x14ac:dyDescent="0.3">
      <c r="A85" s="26" t="s">
        <v>230</v>
      </c>
      <c r="B85" s="27" t="s">
        <v>152</v>
      </c>
      <c r="C85" s="9">
        <v>0.74854552338308455</v>
      </c>
      <c r="D85" s="9">
        <v>9.3214100000000002</v>
      </c>
      <c r="E85" s="9">
        <v>0.15139900000000001</v>
      </c>
      <c r="F85" s="9" t="s">
        <v>15</v>
      </c>
      <c r="H85" s="51"/>
      <c r="J85" s="51"/>
    </row>
    <row r="86" spans="1:10" x14ac:dyDescent="0.3">
      <c r="A86" s="6" t="s">
        <v>236</v>
      </c>
      <c r="B86" s="8" t="s">
        <v>156</v>
      </c>
      <c r="C86" s="7">
        <v>0.73171233184079598</v>
      </c>
      <c r="D86" s="7">
        <v>14.811825000000001</v>
      </c>
      <c r="E86" s="7">
        <v>0.37600899999999998</v>
      </c>
      <c r="F86" s="7" t="s">
        <v>12</v>
      </c>
      <c r="H86" s="51"/>
      <c r="J86" s="51"/>
    </row>
    <row r="87" spans="1:10" x14ac:dyDescent="0.3">
      <c r="A87" s="26" t="s">
        <v>228</v>
      </c>
      <c r="B87" s="27" t="s">
        <v>150</v>
      </c>
      <c r="C87" s="9">
        <v>0.67029665920398007</v>
      </c>
      <c r="D87" s="9">
        <v>6.5386335000000004</v>
      </c>
      <c r="E87" s="9">
        <v>-4.1401E-2</v>
      </c>
      <c r="F87" s="9" t="s">
        <v>17</v>
      </c>
      <c r="H87" s="51"/>
      <c r="J87" s="51"/>
    </row>
    <row r="88" spans="1:10" x14ac:dyDescent="0.3">
      <c r="A88" s="6" t="s">
        <v>250</v>
      </c>
      <c r="B88" s="8" t="s">
        <v>251</v>
      </c>
      <c r="C88" s="7">
        <v>0.66320108706467662</v>
      </c>
      <c r="D88" s="7">
        <v>-6.6423575000000001</v>
      </c>
      <c r="E88" s="7">
        <v>-0.16884450000000001</v>
      </c>
      <c r="F88" s="7" t="s">
        <v>17</v>
      </c>
      <c r="H88" s="51"/>
      <c r="J88" s="51"/>
    </row>
    <row r="89" spans="1:10" x14ac:dyDescent="0.3">
      <c r="A89" s="26" t="s">
        <v>227</v>
      </c>
      <c r="B89" s="27" t="s">
        <v>149</v>
      </c>
      <c r="C89" s="9">
        <v>0.65750119154228848</v>
      </c>
      <c r="D89" s="9">
        <v>2.2259132999999998</v>
      </c>
      <c r="E89" s="9">
        <v>0.21163410000000002</v>
      </c>
      <c r="F89" s="9" t="s">
        <v>11</v>
      </c>
      <c r="H89" s="51"/>
      <c r="J89" s="51"/>
    </row>
    <row r="90" spans="1:10" x14ac:dyDescent="0.3">
      <c r="A90" s="6" t="s">
        <v>238</v>
      </c>
      <c r="B90" s="8" t="s">
        <v>99</v>
      </c>
      <c r="C90" s="7">
        <v>0.62256570457592053</v>
      </c>
      <c r="D90" s="7">
        <v>-23.729008914749997</v>
      </c>
      <c r="E90" s="7">
        <v>-0.31037574329999995</v>
      </c>
      <c r="F90" s="7" t="s">
        <v>18</v>
      </c>
      <c r="H90" s="51"/>
      <c r="J90" s="51"/>
    </row>
    <row r="91" spans="1:10" x14ac:dyDescent="0.3">
      <c r="A91" s="26" t="s">
        <v>224</v>
      </c>
      <c r="B91" s="27" t="s">
        <v>146</v>
      </c>
      <c r="C91" s="9">
        <v>0.61411456616915427</v>
      </c>
      <c r="D91" s="9">
        <v>-10.081691599999999</v>
      </c>
      <c r="E91" s="9">
        <v>-0.13093350000000001</v>
      </c>
      <c r="F91" s="9" t="s">
        <v>244</v>
      </c>
      <c r="H91" s="51"/>
      <c r="J91" s="51"/>
    </row>
    <row r="92" spans="1:10" x14ac:dyDescent="0.3">
      <c r="A92" s="6" t="s">
        <v>239</v>
      </c>
      <c r="B92" s="8" t="s">
        <v>158</v>
      </c>
      <c r="C92" s="7">
        <v>0.56763195717234327</v>
      </c>
      <c r="D92" s="7">
        <v>-14.5912565438</v>
      </c>
      <c r="E92" s="7">
        <v>-0.13399357920000002</v>
      </c>
      <c r="F92" s="7" t="s">
        <v>18</v>
      </c>
      <c r="H92" s="51"/>
      <c r="J92" s="51"/>
    </row>
    <row r="93" spans="1:10" x14ac:dyDescent="0.3">
      <c r="A93" s="26" t="s">
        <v>260</v>
      </c>
      <c r="B93" s="27" t="s">
        <v>261</v>
      </c>
      <c r="C93" s="9">
        <v>0.56020170000000002</v>
      </c>
      <c r="D93" s="9">
        <v>-5.7796345000000002</v>
      </c>
      <c r="E93" s="9">
        <v>0.85428800000000005</v>
      </c>
      <c r="F93" s="9" t="s">
        <v>243</v>
      </c>
      <c r="H93" s="51"/>
      <c r="J93" s="51"/>
    </row>
    <row r="94" spans="1:10" x14ac:dyDescent="0.3">
      <c r="A94" s="6" t="s">
        <v>226</v>
      </c>
      <c r="B94" s="8" t="s">
        <v>148</v>
      </c>
      <c r="C94" s="7">
        <v>0.55083054626865668</v>
      </c>
      <c r="D94" s="7">
        <v>1.5477970000000001</v>
      </c>
      <c r="E94" s="7">
        <v>-0.1330035</v>
      </c>
      <c r="F94" s="7" t="s">
        <v>15</v>
      </c>
      <c r="H94" s="51"/>
      <c r="J94" s="51"/>
    </row>
    <row r="95" spans="1:10" x14ac:dyDescent="0.3">
      <c r="A95" s="26" t="s">
        <v>256</v>
      </c>
      <c r="B95" s="27" t="s">
        <v>255</v>
      </c>
      <c r="C95" s="9">
        <v>0.54161934328358208</v>
      </c>
      <c r="D95" s="9">
        <v>26.595587999999989</v>
      </c>
      <c r="E95" s="9">
        <v>-5.5746999999999998E-2</v>
      </c>
      <c r="F95" s="9" t="s">
        <v>14</v>
      </c>
      <c r="H95" s="51"/>
      <c r="J95" s="51"/>
    </row>
    <row r="96" spans="1:10" x14ac:dyDescent="0.3">
      <c r="A96" s="6" t="s">
        <v>241</v>
      </c>
      <c r="B96" s="8" t="s">
        <v>160</v>
      </c>
      <c r="C96" s="7">
        <v>0.49862677810945266</v>
      </c>
      <c r="D96" s="7">
        <v>-6.6865315000000001</v>
      </c>
      <c r="E96" s="7">
        <v>-3.2314900000000001E-2</v>
      </c>
      <c r="F96" s="7" t="s">
        <v>16</v>
      </c>
      <c r="H96" s="51"/>
      <c r="J96" s="51"/>
    </row>
    <row r="97" spans="1:10" x14ac:dyDescent="0.3">
      <c r="A97" s="26" t="s">
        <v>263</v>
      </c>
      <c r="B97" s="27" t="s">
        <v>264</v>
      </c>
      <c r="C97" s="9">
        <v>0.48388713845771136</v>
      </c>
      <c r="D97" s="9">
        <v>2.9943355</v>
      </c>
      <c r="E97" s="9">
        <v>-0.41306300000000001</v>
      </c>
      <c r="F97" s="9" t="s">
        <v>243</v>
      </c>
      <c r="H97" s="51"/>
      <c r="J97" s="51"/>
    </row>
    <row r="98" spans="1:10" x14ac:dyDescent="0.3">
      <c r="A98" s="6" t="s">
        <v>265</v>
      </c>
      <c r="B98" s="8" t="s">
        <v>266</v>
      </c>
      <c r="C98" s="7">
        <v>0.43040110731343278</v>
      </c>
      <c r="D98" s="7">
        <v>-5.3139420000000008</v>
      </c>
      <c r="E98" s="7">
        <v>0.37684150000000011</v>
      </c>
      <c r="F98" s="7" t="s">
        <v>12</v>
      </c>
      <c r="H98" s="51"/>
      <c r="J98" s="51"/>
    </row>
    <row r="99" spans="1:10" x14ac:dyDescent="0.3">
      <c r="A99" s="26" t="s">
        <v>234</v>
      </c>
      <c r="B99" s="27" t="s">
        <v>155</v>
      </c>
      <c r="C99" s="9">
        <v>0.40413830353233843</v>
      </c>
      <c r="D99" s="9">
        <v>4.9066320000000001</v>
      </c>
      <c r="E99" s="9">
        <v>0.1908995</v>
      </c>
      <c r="F99" s="9" t="s">
        <v>18</v>
      </c>
      <c r="H99" s="51"/>
      <c r="J99" s="51"/>
    </row>
    <row r="100" spans="1:10" x14ac:dyDescent="0.3">
      <c r="A100" s="6" t="s">
        <v>229</v>
      </c>
      <c r="B100" s="8" t="s">
        <v>151</v>
      </c>
      <c r="C100" s="7">
        <v>0.40369364975124383</v>
      </c>
      <c r="D100" s="7">
        <v>-7.0401230999999997</v>
      </c>
      <c r="E100" s="7">
        <v>-9.8418100000000008E-2</v>
      </c>
      <c r="F100" s="7" t="s">
        <v>12</v>
      </c>
      <c r="H100" s="51"/>
      <c r="J100" s="51"/>
    </row>
    <row r="101" spans="1:10" x14ac:dyDescent="0.3">
      <c r="A101" s="62" t="s">
        <v>269</v>
      </c>
      <c r="B101" s="63" t="s">
        <v>270</v>
      </c>
      <c r="C101" s="10">
        <v>0.38658450497512437</v>
      </c>
      <c r="D101" s="10">
        <v>0.71177019999999991</v>
      </c>
      <c r="E101" s="10">
        <v>-2.4181999999999997E-3</v>
      </c>
      <c r="F101" s="10" t="s">
        <v>15</v>
      </c>
      <c r="H101" s="51"/>
      <c r="J101" s="51"/>
    </row>
    <row r="102" spans="1:10" x14ac:dyDescent="0.3">
      <c r="A102" s="59"/>
      <c r="B102" s="11"/>
      <c r="C102" s="11"/>
      <c r="D102" s="60"/>
      <c r="E102" s="60"/>
      <c r="F102" s="60"/>
      <c r="H102" s="50"/>
      <c r="J102" s="51"/>
    </row>
    <row r="104" spans="1:10" x14ac:dyDescent="0.3">
      <c r="A104" s="12" t="s">
        <v>69</v>
      </c>
    </row>
    <row r="105" spans="1:10" x14ac:dyDescent="0.3">
      <c r="A105" s="12" t="s">
        <v>84</v>
      </c>
    </row>
    <row r="106" spans="1:10" x14ac:dyDescent="0.3">
      <c r="A106" s="12" t="s">
        <v>248</v>
      </c>
    </row>
    <row r="107" spans="1:10" x14ac:dyDescent="0.3">
      <c r="A107" s="12" t="s">
        <v>247</v>
      </c>
    </row>
    <row r="108" spans="1:10" x14ac:dyDescent="0.3">
      <c r="A108" s="12" t="s">
        <v>262</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2023-10-23T03:33:14Z</dcterms:modified>
</cp:coreProperties>
</file>