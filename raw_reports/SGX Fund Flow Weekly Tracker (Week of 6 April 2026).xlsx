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CCF9BBFA-67D0-4546-9399-6B21BE180C01}" xr6:coauthVersionLast="47" xr6:coauthVersionMax="47" xr10:uidLastSave="{00000000-0000-0000-0000-000000000000}"/>
  <bookViews>
    <workbookView xWindow="28680" yWindow="-12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<sst xmlns="http://schemas.openxmlformats.org/spreadsheetml/2006/main" count="139" uniqueCount="91">
  <si>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</si>
  <si>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</si>
  <si>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</si>
  <si>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</si>
  <si>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</si>
  <si>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</si>
  <si>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</si>
  <si>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</si>
  <si>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</si>
  <si>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</si>
  <si>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</si>
  <si>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</si>
  <si>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</si>
  <si>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</si>
  <si>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</si>
  <si>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</si>
  <si>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</si>
  <si>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</si>
  <si>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</si>
  <si>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</si>
  <si>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</si>
  <si>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</si>
  <si>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DBS</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</si>
  <si>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</si>
  <si>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</si>
  <si>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</si>
  <si>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</si>
  <si>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</si>
  <si>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</si>
  <si>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</si>
  <si>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</si>
  <si>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</si>
  <si>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</si>
  <si>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</si>
  <si>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</si>
  <si>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</si>
  <si>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Singtel</t>
  </si>
  <si>
    <t>Z74</t>
  </si>
  <si>
    <t xml:space="preserve">AEM </t>
  </si>
  <si>
    <t>AWX</t>
  </si>
  <si>
    <t>Sembcorp Industries</t>
  </si>
  <si>
    <t>U96</t>
  </si>
  <si>
    <t>SGX</t>
  </si>
  <si>
    <t>S68</t>
  </si>
  <si>
    <t>Wilmar International</t>
  </si>
  <si>
    <t>F34</t>
  </si>
  <si>
    <t>Yangzijiang Shipbuilding</t>
  </si>
  <si>
    <t>BS6</t>
  </si>
  <si>
    <t>SIA</t>
  </si>
  <si>
    <t>C6L</t>
  </si>
  <si>
    <t>Sheng Siong</t>
  </si>
  <si>
    <t>OV8</t>
  </si>
  <si>
    <t>iFast Corporation</t>
  </si>
  <si>
    <t>AIY</t>
  </si>
  <si>
    <t>ST Engineering</t>
  </si>
  <si>
    <t>S63</t>
  </si>
  <si>
    <t>Seatrium</t>
  </si>
  <si>
    <t>5E2</t>
  </si>
  <si>
    <t>SATS</t>
  </si>
  <si>
    <t>S58</t>
  </si>
  <si>
    <t>UOB</t>
  </si>
  <si>
    <t>U11</t>
  </si>
  <si>
    <t>E28</t>
  </si>
  <si>
    <t>UMS</t>
  </si>
  <si>
    <t>558</t>
  </si>
  <si>
    <t>Hongkong Land</t>
  </si>
  <si>
    <t>H78</t>
  </si>
  <si>
    <t>8YZ</t>
  </si>
  <si>
    <t>Jardine Matheson</t>
  </si>
  <si>
    <t>J36</t>
  </si>
  <si>
    <t>CapitaLand Integrated Commercial Trust</t>
  </si>
  <si>
    <t>C38U</t>
  </si>
  <si>
    <t>CapitaLand India Trust</t>
  </si>
  <si>
    <t>CY6U</t>
  </si>
  <si>
    <t>Geo Energy Resources</t>
  </si>
  <si>
    <t>RE4</t>
  </si>
  <si>
    <t>NTDU</t>
  </si>
  <si>
    <t>CapitaLand Investment</t>
  </si>
  <si>
    <t>9CI</t>
  </si>
  <si>
    <t>ComfortDelGro</t>
  </si>
  <si>
    <t>C52</t>
  </si>
  <si>
    <t>ULG</t>
  </si>
  <si>
    <t>Parkway Life REIT</t>
  </si>
  <si>
    <t>C2PU</t>
  </si>
  <si>
    <t>Week of 6 April 2026</t>
  </si>
  <si>
    <r>
      <t xml:space="preserve">Institutional investors net </t>
    </r>
    <r>
      <rPr>
        <b/>
        <sz val="11"/>
        <rFont val="Arial"/>
        <family val="2"/>
      </rPr>
      <t>sell</t>
    </r>
    <r>
      <rPr>
        <sz val="11"/>
        <rFont val="Arial"/>
        <family val="2"/>
      </rPr>
      <t xml:space="preserve"> (-S$162.7m) vs. (+S$33.0m) a week ago</t>
    </r>
  </si>
  <si>
    <r>
      <t xml:space="preserve">Retail investors net </t>
    </r>
    <r>
      <rPr>
        <b/>
        <sz val="11"/>
        <rFont val="Arial"/>
        <family val="2"/>
      </rPr>
      <t>sell</t>
    </r>
    <r>
      <rPr>
        <sz val="11"/>
        <rFont val="Arial"/>
        <family val="2"/>
      </rPr>
      <t xml:space="preserve"> (-S$148.4m) vs. (-S$27.5m) a week ago</t>
    </r>
  </si>
  <si>
    <t>Yangzijiang Maritime</t>
  </si>
  <si>
    <t>NTT DC REIT</t>
  </si>
  <si>
    <t>UltraGreen.ai</t>
  </si>
  <si>
    <t>Frencken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</si>
</sst>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115" zoomScaleNormal="115"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84</v>
      </c>
      <c r="C1" s="59"/>
    </row>
    <row r="2" spans="1:13" ht="15" x14ac:dyDescent="0.25">
      <c r="A2" s="52" t="s">
        <v>85</v>
      </c>
      <c r="I2" s="40"/>
    </row>
    <row r="3" spans="1:13" ht="15" x14ac:dyDescent="0.25">
      <c r="A3" s="52" t="s">
        <v>86</v>
      </c>
      <c r="I3" s="40"/>
    </row>
    <row r="5" spans="1:13" ht="29.25" customHeight="1" x14ac:dyDescent="0.2">
      <c r="A5" s="3" t="s">
        <v>0</v>
      </c>
      <c r="B5" s="3" t="s">
        <v>1</v>
      </c>
      <c r="C5" s="4" t="s">
        <v>84</v>
      </c>
      <c r="D5" s="43" t="s">
        <v>2</v>
      </c>
      <c r="E5" s="43" t="s">
        <v>1</v>
      </c>
      <c r="F5" s="44" t="str">
        <f>+C5</f>
        <v>Week of 6 April 2026</v>
      </c>
      <c r="I5" s="2"/>
    </row>
    <row r="6" spans="1:13" ht="15" x14ac:dyDescent="0.25">
      <c r="A6" s="28" t="s">
        <v>40</v>
      </c>
      <c r="B6" s="46" t="s">
        <v>41</v>
      </c>
      <c r="C6" s="5">
        <v>26.915861</v>
      </c>
      <c r="D6" s="28" t="s">
        <v>22</v>
      </c>
      <c r="E6" s="46" t="s">
        <v>21</v>
      </c>
      <c r="F6" s="5">
        <v>-174.357417</v>
      </c>
      <c r="G6" s="61"/>
      <c r="H6"/>
      <c r="I6" s="2"/>
      <c r="M6"/>
    </row>
    <row r="7" spans="1:13" ht="15" x14ac:dyDescent="0.25">
      <c r="A7" s="29" t="s">
        <v>38</v>
      </c>
      <c r="B7" s="9" t="s">
        <v>39</v>
      </c>
      <c r="C7" s="7">
        <v>23.467624000000001</v>
      </c>
      <c r="D7" s="29" t="s">
        <v>36</v>
      </c>
      <c r="E7" s="9" t="s">
        <v>37</v>
      </c>
      <c r="F7" s="7">
        <v>-102.467204</v>
      </c>
      <c r="G7" s="61"/>
      <c r="H7"/>
      <c r="I7" s="2"/>
      <c r="L7"/>
      <c r="M7"/>
    </row>
    <row r="8" spans="1:13" ht="15" x14ac:dyDescent="0.25">
      <c r="A8" s="30" t="s">
        <v>63</v>
      </c>
      <c r="B8" s="46" t="s">
        <v>64</v>
      </c>
      <c r="C8" s="5">
        <v>19.106773</v>
      </c>
      <c r="D8" s="30" t="s">
        <v>34</v>
      </c>
      <c r="E8" s="46" t="s">
        <v>35</v>
      </c>
      <c r="F8" s="5">
        <v>-70.389003000000002</v>
      </c>
      <c r="G8" s="61"/>
      <c r="H8"/>
      <c r="I8" s="2"/>
      <c r="L8"/>
      <c r="M8"/>
    </row>
    <row r="9" spans="1:13" ht="15" x14ac:dyDescent="0.25">
      <c r="A9" s="29" t="s">
        <v>56</v>
      </c>
      <c r="B9" s="9" t="s">
        <v>57</v>
      </c>
      <c r="C9" s="7">
        <v>18.212782000000001</v>
      </c>
      <c r="D9" s="29" t="s">
        <v>68</v>
      </c>
      <c r="E9" s="9" t="s">
        <v>69</v>
      </c>
      <c r="F9" s="7">
        <v>-17.299281378500002</v>
      </c>
      <c r="G9" s="61"/>
      <c r="H9"/>
      <c r="I9" s="2"/>
      <c r="L9"/>
      <c r="M9"/>
    </row>
    <row r="10" spans="1:13" ht="15" x14ac:dyDescent="0.25">
      <c r="A10" s="30" t="s">
        <v>54</v>
      </c>
      <c r="B10" s="46" t="s">
        <v>55</v>
      </c>
      <c r="C10" s="5">
        <v>17.471073000000001</v>
      </c>
      <c r="D10" s="30" t="s">
        <v>60</v>
      </c>
      <c r="E10" s="46" t="s">
        <v>61</v>
      </c>
      <c r="F10" s="5">
        <v>-17.093499000000001</v>
      </c>
      <c r="G10" s="61"/>
      <c r="H10"/>
      <c r="I10" s="2"/>
      <c r="L10"/>
      <c r="M10"/>
    </row>
    <row r="11" spans="1:13" ht="15" x14ac:dyDescent="0.25">
      <c r="A11" s="29" t="s">
        <v>48</v>
      </c>
      <c r="B11" s="9" t="s">
        <v>49</v>
      </c>
      <c r="C11" s="7">
        <v>13.835716</v>
      </c>
      <c r="D11" s="29" t="s">
        <v>70</v>
      </c>
      <c r="E11" s="9" t="s">
        <v>71</v>
      </c>
      <c r="F11" s="7">
        <v>-8.3359310000000004</v>
      </c>
      <c r="G11" s="61"/>
      <c r="H11"/>
      <c r="I11" s="2"/>
      <c r="L11"/>
      <c r="M11"/>
    </row>
    <row r="12" spans="1:13" ht="15" x14ac:dyDescent="0.25">
      <c r="A12" s="30" t="s">
        <v>58</v>
      </c>
      <c r="B12" s="46" t="s">
        <v>59</v>
      </c>
      <c r="C12" s="5">
        <v>12.055991000000001</v>
      </c>
      <c r="D12" s="30" t="s">
        <v>72</v>
      </c>
      <c r="E12" s="46" t="s">
        <v>73</v>
      </c>
      <c r="F12" s="5">
        <v>-6.5585680000000002</v>
      </c>
      <c r="G12" s="61"/>
      <c r="H12"/>
      <c r="I12" s="2"/>
      <c r="L12"/>
      <c r="M12"/>
    </row>
    <row r="13" spans="1:13" ht="15" x14ac:dyDescent="0.25">
      <c r="A13" s="29" t="s">
        <v>52</v>
      </c>
      <c r="B13" s="9" t="s">
        <v>53</v>
      </c>
      <c r="C13" s="7">
        <v>11.741901</v>
      </c>
      <c r="D13" s="29" t="s">
        <v>74</v>
      </c>
      <c r="E13" s="9" t="s">
        <v>75</v>
      </c>
      <c r="F13" s="7">
        <v>-6.2512860000000003</v>
      </c>
      <c r="G13" s="61"/>
      <c r="H13"/>
      <c r="I13" s="2"/>
      <c r="L13"/>
      <c r="M13"/>
    </row>
    <row r="14" spans="1:13" ht="15" x14ac:dyDescent="0.25">
      <c r="A14" s="30" t="s">
        <v>65</v>
      </c>
      <c r="B14" s="46" t="s">
        <v>66</v>
      </c>
      <c r="C14" s="5">
        <v>11.093984539699999</v>
      </c>
      <c r="D14" s="30" t="s">
        <v>88</v>
      </c>
      <c r="E14" s="46" t="s">
        <v>76</v>
      </c>
      <c r="F14" s="5">
        <v>-5.9817565146000007</v>
      </c>
      <c r="G14" s="61"/>
      <c r="H14"/>
      <c r="I14" s="2"/>
      <c r="L14"/>
      <c r="M14"/>
    </row>
    <row r="15" spans="1:13" ht="15" x14ac:dyDescent="0.25">
      <c r="A15" s="31" t="s">
        <v>87</v>
      </c>
      <c r="B15" s="27" t="s">
        <v>67</v>
      </c>
      <c r="C15" s="8">
        <v>8.6032914999999992</v>
      </c>
      <c r="D15" s="31" t="s">
        <v>46</v>
      </c>
      <c r="E15" s="27" t="s">
        <v>47</v>
      </c>
      <c r="F15" s="8">
        <v>-5.8346279999999986</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6 April 2026</v>
      </c>
      <c r="D18" s="45" t="s">
        <v>4</v>
      </c>
      <c r="E18" s="43" t="s">
        <v>1</v>
      </c>
      <c r="F18" s="44" t="str">
        <f>+C18</f>
        <v>Week of 6 April 2026</v>
      </c>
    </row>
    <row r="19" spans="1:9" x14ac:dyDescent="0.2">
      <c r="A19" s="30" t="s">
        <v>22</v>
      </c>
      <c r="B19" s="46" t="s">
        <v>21</v>
      </c>
      <c r="C19" s="16">
        <v>88.986495000000005</v>
      </c>
      <c r="D19" s="30" t="s">
        <v>38</v>
      </c>
      <c r="E19" s="15" t="s">
        <v>39</v>
      </c>
      <c r="F19" s="5">
        <v>-43.107962999999998</v>
      </c>
      <c r="I19" s="2"/>
    </row>
    <row r="20" spans="1:9" ht="15" x14ac:dyDescent="0.25">
      <c r="A20" s="29" t="s">
        <v>36</v>
      </c>
      <c r="B20" s="9" t="s">
        <v>37</v>
      </c>
      <c r="C20" s="7">
        <v>73.856159000000005</v>
      </c>
      <c r="D20" s="29" t="s">
        <v>40</v>
      </c>
      <c r="E20" s="17" t="s">
        <v>41</v>
      </c>
      <c r="F20" s="7">
        <v>-33.526946000000002</v>
      </c>
      <c r="G20" s="61"/>
      <c r="I20" s="2"/>
    </row>
    <row r="21" spans="1:9" ht="15" x14ac:dyDescent="0.25">
      <c r="A21" s="30" t="s">
        <v>34</v>
      </c>
      <c r="B21" s="46" t="s">
        <v>35</v>
      </c>
      <c r="C21" s="5">
        <v>61.490372000000001</v>
      </c>
      <c r="D21" s="30" t="s">
        <v>56</v>
      </c>
      <c r="E21" s="6" t="s">
        <v>57</v>
      </c>
      <c r="F21" s="5">
        <v>-28.800678999999999</v>
      </c>
      <c r="G21" s="61"/>
      <c r="I21" s="2"/>
    </row>
    <row r="22" spans="1:9" ht="15" x14ac:dyDescent="0.25">
      <c r="A22" s="29" t="s">
        <v>74</v>
      </c>
      <c r="B22" s="9" t="s">
        <v>75</v>
      </c>
      <c r="C22" s="7">
        <v>7.9501675000000001</v>
      </c>
      <c r="D22" s="29" t="s">
        <v>42</v>
      </c>
      <c r="E22" s="17" t="s">
        <v>43</v>
      </c>
      <c r="F22" s="7">
        <v>-22.923656999999999</v>
      </c>
      <c r="G22" s="61"/>
      <c r="I22" s="2"/>
    </row>
    <row r="23" spans="1:9" ht="15" x14ac:dyDescent="0.25">
      <c r="A23" s="30" t="s">
        <v>46</v>
      </c>
      <c r="B23" s="46" t="s">
        <v>47</v>
      </c>
      <c r="C23" s="5">
        <v>7.0928069999999996</v>
      </c>
      <c r="D23" s="30" t="s">
        <v>90</v>
      </c>
      <c r="E23" s="6" t="s">
        <v>62</v>
      </c>
      <c r="F23" s="5">
        <v>-21.86354</v>
      </c>
      <c r="G23" s="61"/>
      <c r="I23" s="2"/>
    </row>
    <row r="24" spans="1:9" ht="15" x14ac:dyDescent="0.25">
      <c r="A24" s="29" t="s">
        <v>77</v>
      </c>
      <c r="B24" s="9" t="s">
        <v>78</v>
      </c>
      <c r="C24" s="7">
        <v>6.8019049999999996</v>
      </c>
      <c r="D24" s="29" t="s">
        <v>63</v>
      </c>
      <c r="E24" s="17" t="s">
        <v>64</v>
      </c>
      <c r="F24" s="7">
        <v>-19.722971999999999</v>
      </c>
      <c r="G24" s="61"/>
      <c r="I24" s="2"/>
    </row>
    <row r="25" spans="1:9" ht="15" x14ac:dyDescent="0.25">
      <c r="A25" s="30" t="s">
        <v>79</v>
      </c>
      <c r="B25" s="46" t="s">
        <v>80</v>
      </c>
      <c r="C25" s="5">
        <v>6.7151059999999996</v>
      </c>
      <c r="D25" s="30" t="s">
        <v>52</v>
      </c>
      <c r="E25" s="6" t="s">
        <v>53</v>
      </c>
      <c r="F25" s="5">
        <v>-17.612880000000001</v>
      </c>
      <c r="G25" s="61"/>
      <c r="I25" s="2"/>
    </row>
    <row r="26" spans="1:9" ht="15" x14ac:dyDescent="0.25">
      <c r="A26" s="29" t="s">
        <v>72</v>
      </c>
      <c r="B26" s="9" t="s">
        <v>73</v>
      </c>
      <c r="C26" s="7">
        <v>5.8558940000000002</v>
      </c>
      <c r="D26" s="29" t="s">
        <v>44</v>
      </c>
      <c r="E26" s="17" t="s">
        <v>45</v>
      </c>
      <c r="F26" s="7">
        <v>-17.00817</v>
      </c>
      <c r="G26" s="61"/>
      <c r="I26" s="2"/>
    </row>
    <row r="27" spans="1:9" ht="15" x14ac:dyDescent="0.25">
      <c r="A27" s="30" t="s">
        <v>89</v>
      </c>
      <c r="B27" s="46" t="s">
        <v>81</v>
      </c>
      <c r="C27" s="5">
        <v>5.5521724256000002</v>
      </c>
      <c r="D27" s="30" t="s">
        <v>50</v>
      </c>
      <c r="E27" s="6" t="s">
        <v>51</v>
      </c>
      <c r="F27" s="5">
        <v>-16.495367000000002</v>
      </c>
      <c r="G27" s="61"/>
      <c r="I27" s="2"/>
    </row>
    <row r="28" spans="1:9" ht="15" x14ac:dyDescent="0.25">
      <c r="A28" s="27" t="s">
        <v>82</v>
      </c>
      <c r="B28" s="56" t="s">
        <v>83</v>
      </c>
      <c r="C28" s="8">
        <v>4.914358</v>
      </c>
      <c r="D28" s="27" t="s">
        <v>54</v>
      </c>
      <c r="E28" s="56" t="s">
        <v>55</v>
      </c>
      <c r="F28" s="8">
        <v>-16.419505000000001</v>
      </c>
      <c r="G28" s="61"/>
      <c r="I28" s="2"/>
    </row>
    <row r="29" spans="1:9" x14ac:dyDescent="0.2">
      <c r="A29" s="9"/>
      <c r="B29" s="9"/>
      <c r="C29" s="9"/>
      <c r="D29" s="9"/>
      <c r="E29" s="9"/>
      <c r="F29" s="9"/>
    </row>
    <row r="30" spans="1:9" x14ac:dyDescent="0.2">
      <c r="A30" s="10" t="s">
        <v>30</v>
      </c>
      <c r="B30" s="10"/>
      <c r="C30" s="9"/>
      <c r="D30" s="9"/>
      <c r="E30" s="9"/>
      <c r="F30" s="9"/>
    </row>
    <row r="31" spans="1:9" x14ac:dyDescent="0.2">
      <c r="A31" s="10" t="s">
        <v>27</v>
      </c>
      <c r="B31" s="10"/>
      <c r="C31" s="9"/>
      <c r="D31" s="9"/>
      <c r="E31" s="9"/>
      <c r="F31" s="9"/>
    </row>
    <row r="32" spans="1:9" x14ac:dyDescent="0.2">
      <c r="A32" s="10" t="s">
        <v>28</v>
      </c>
      <c r="B32" s="10"/>
      <c r="C32" s="9"/>
      <c r="D32" s="9"/>
      <c r="E32" s="9"/>
      <c r="F32" s="9"/>
    </row>
    <row r="33" spans="1:9" x14ac:dyDescent="0.2">
      <c r="A33" s="10" t="s">
        <v>6</v>
      </c>
      <c r="B33" s="10"/>
      <c r="C33" s="9"/>
      <c r="D33" s="9"/>
      <c r="E33" s="9"/>
      <c r="F33" s="9"/>
    </row>
    <row r="34" spans="1:9" x14ac:dyDescent="0.2">
      <c r="A34" s="57" t="s">
        <v>26</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23</v>
      </c>
      <c r="B37" s="19"/>
      <c r="C37" s="20"/>
      <c r="D37" s="20"/>
      <c r="E37" s="19"/>
      <c r="F37" s="19"/>
      <c r="I37" s="32"/>
    </row>
    <row r="38" spans="1:9" customFormat="1" ht="15" x14ac:dyDescent="0.25">
      <c r="A38" s="21" t="s">
        <v>32</v>
      </c>
      <c r="B38" s="19"/>
      <c r="C38" s="20"/>
      <c r="D38" s="20"/>
      <c r="E38" s="19"/>
      <c r="F38" s="19"/>
      <c r="I38" s="32"/>
    </row>
    <row r="39" spans="1:9" s="25" customFormat="1" ht="19.350000000000001" customHeight="1" x14ac:dyDescent="0.25">
      <c r="A39" s="22" t="s">
        <v>31</v>
      </c>
      <c r="B39" s="23"/>
      <c r="C39" s="24"/>
      <c r="D39" s="24"/>
      <c r="E39" s="23"/>
      <c r="F39" s="23"/>
      <c r="I39" s="35"/>
    </row>
    <row r="40" spans="1:9" ht="169.35" customHeight="1" x14ac:dyDescent="0.2">
      <c r="A40" s="67" t="s">
        <v>33</v>
      </c>
      <c r="B40" s="67"/>
      <c r="C40" s="67"/>
      <c r="D40" s="67"/>
      <c r="E40" s="67"/>
      <c r="F40" s="67"/>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B8:B9 E21:E2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82" zoomScaleNormal="100" workbookViewId="0">
      <selection sqref="A1:A2"/>
    </sheetView>
  </sheetViews>
  <sheetFormatPr defaultColWidth="9.42578125" defaultRowHeight="14.25" x14ac:dyDescent="0.2"/>
  <cols>
    <col min="1" max="1" width="8.42578125" style="2" bestFit="1" customWidth="1"/>
    <col min="2" max="2" width="15.28515625" style="2" bestFit="1"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0" width="7.42578125" style="2" bestFit="1" customWidth="1"/>
    <col min="11" max="11" width="8" style="2" bestFit="1" customWidth="1"/>
    <col min="12" max="12" width="12.85546875" style="2" bestFit="1" customWidth="1"/>
    <col min="13" max="13" width="8" style="2" bestFit="1" customWidth="1"/>
    <col min="14" max="14" width="8.7109375" style="2" bestFit="1" customWidth="1"/>
    <col min="15" max="16384" width="9.42578125" style="2"/>
  </cols>
  <sheetData>
    <row r="1" spans="1:15" ht="17.25" customHeight="1" x14ac:dyDescent="0.2">
      <c r="A1" s="68" t="s">
        <v>7</v>
      </c>
      <c r="B1" s="12"/>
      <c r="C1" s="70" t="s">
        <v>8</v>
      </c>
      <c r="D1" s="71"/>
      <c r="E1" s="71"/>
      <c r="F1" s="71"/>
      <c r="G1" s="71"/>
      <c r="H1" s="71"/>
      <c r="I1" s="71"/>
      <c r="J1" s="71"/>
      <c r="K1" s="71"/>
      <c r="L1" s="71"/>
      <c r="M1" s="71"/>
      <c r="N1" s="72"/>
    </row>
    <row r="2" spans="1:15" ht="75" x14ac:dyDescent="0.2">
      <c r="A2" s="69"/>
      <c r="B2" s="12" t="s">
        <v>9</v>
      </c>
      <c r="C2" s="12" t="s">
        <v>10</v>
      </c>
      <c r="D2" s="12" t="s">
        <v>11</v>
      </c>
      <c r="E2" s="12" t="s">
        <v>12</v>
      </c>
      <c r="F2" s="12" t="s">
        <v>13</v>
      </c>
      <c r="G2" s="12" t="s">
        <v>24</v>
      </c>
      <c r="H2" s="12" t="s">
        <v>14</v>
      </c>
      <c r="I2" s="12" t="s">
        <v>15</v>
      </c>
      <c r="J2" s="12" t="s">
        <v>16</v>
      </c>
      <c r="K2" s="12" t="s">
        <v>17</v>
      </c>
      <c r="L2" s="12" t="s">
        <v>18</v>
      </c>
      <c r="M2" s="12" t="s">
        <v>25</v>
      </c>
      <c r="N2" s="12" t="s">
        <v>19</v>
      </c>
    </row>
    <row r="3" spans="1:15" ht="15" x14ac:dyDescent="0.25">
      <c r="A3" s="38">
        <f>SUM(C3:N3)</f>
        <v>307.63522810997995</v>
      </c>
      <c r="B3" s="54">
        <v>46097</v>
      </c>
      <c r="C3" s="14">
        <v>-4.775943354729999</v>
      </c>
      <c r="D3" s="14">
        <v>29.541540518000005</v>
      </c>
      <c r="E3" s="14">
        <v>-3.8767902999999997</v>
      </c>
      <c r="F3" s="14">
        <v>149.66042909999999</v>
      </c>
      <c r="G3" s="14">
        <v>34.292654537699995</v>
      </c>
      <c r="H3" s="14">
        <v>-46.466256131099996</v>
      </c>
      <c r="I3" s="14">
        <v>-3.7713162999999987</v>
      </c>
      <c r="J3" s="14">
        <v>-56.846052755100004</v>
      </c>
      <c r="K3" s="14">
        <v>28.048346695209979</v>
      </c>
      <c r="L3" s="14">
        <v>27.201728199999994</v>
      </c>
      <c r="M3" s="14">
        <v>134.14536989999999</v>
      </c>
      <c r="N3" s="14">
        <v>20.481517999999998</v>
      </c>
    </row>
    <row r="4" spans="1:15" ht="15" x14ac:dyDescent="0.25">
      <c r="A4" s="38">
        <f>SUM(C4:N4)</f>
        <v>-121.08642328948004</v>
      </c>
      <c r="B4" s="42">
        <v>46104</v>
      </c>
      <c r="C4" s="53">
        <v>-2.62647488575</v>
      </c>
      <c r="D4" s="53">
        <v>33.32474399369999</v>
      </c>
      <c r="E4" s="53">
        <v>0.13641330000000007</v>
      </c>
      <c r="F4" s="53">
        <v>3.822436099999996</v>
      </c>
      <c r="G4" s="53">
        <v>9.2661078435999968</v>
      </c>
      <c r="H4" s="53">
        <v>-20.845874090400002</v>
      </c>
      <c r="I4" s="53">
        <v>0.46384969999999981</v>
      </c>
      <c r="J4" s="53">
        <v>-34.6149589893</v>
      </c>
      <c r="K4" s="53">
        <v>-171.13796041133003</v>
      </c>
      <c r="L4" s="53">
        <v>5.9785694499999957</v>
      </c>
      <c r="M4" s="53">
        <v>-24.007428200000003</v>
      </c>
      <c r="N4" s="53">
        <v>79.1541529</v>
      </c>
    </row>
    <row r="5" spans="1:15" ht="15" x14ac:dyDescent="0.25">
      <c r="A5" s="38">
        <f>SUM(C5:N5)</f>
        <v>32.95671571880996</v>
      </c>
      <c r="B5" s="66">
        <v>46111</v>
      </c>
      <c r="C5" s="14">
        <v>-5.6585336360000398E-2</v>
      </c>
      <c r="D5" s="14">
        <v>25.85905279</v>
      </c>
      <c r="E5" s="14">
        <v>3.3092533000000004</v>
      </c>
      <c r="F5" s="14">
        <v>-60.740215700000022</v>
      </c>
      <c r="G5" s="14">
        <v>4.749135966199999</v>
      </c>
      <c r="H5" s="14">
        <v>49.813223833949976</v>
      </c>
      <c r="I5" s="14">
        <v>-2.6565061999999999</v>
      </c>
      <c r="J5" s="14">
        <v>-1.9897073785999979</v>
      </c>
      <c r="K5" s="14">
        <v>-8.9936035563800054</v>
      </c>
      <c r="L5" s="14">
        <v>-27.867987199999998</v>
      </c>
      <c r="M5" s="14">
        <v>3.8292985999999978</v>
      </c>
      <c r="N5" s="14">
        <v>47.701356600000004</v>
      </c>
    </row>
    <row r="6" spans="1:15" ht="15" x14ac:dyDescent="0.25">
      <c r="A6" s="38">
        <f>SUM(C6:N6)</f>
        <v>-162.72652362157004</v>
      </c>
      <c r="B6" s="58">
        <v>46118</v>
      </c>
      <c r="C6" s="53">
        <v>3.0254066735399996</v>
      </c>
      <c r="D6" s="53">
        <v>7.6585280450000015</v>
      </c>
      <c r="E6" s="53">
        <v>-7.9809181000000002</v>
      </c>
      <c r="F6" s="53">
        <v>-248.66741830000001</v>
      </c>
      <c r="G6" s="53">
        <v>7.3808060532000006</v>
      </c>
      <c r="H6" s="53">
        <v>42.485528601750005</v>
      </c>
      <c r="I6" s="53">
        <v>-1.5046863000000004</v>
      </c>
      <c r="J6" s="53">
        <v>15.541534539699997</v>
      </c>
      <c r="K6" s="53">
        <v>6.8530665652399936</v>
      </c>
      <c r="L6" s="53">
        <v>85.600479199999995</v>
      </c>
      <c r="M6" s="53">
        <v>-101.4428539</v>
      </c>
      <c r="N6" s="53">
        <v>28.324003300000001</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27</v>
      </c>
      <c r="C9" s="10"/>
      <c r="D9" s="10"/>
    </row>
    <row r="10" spans="1:15" x14ac:dyDescent="0.2">
      <c r="B10" s="10" t="s">
        <v>6</v>
      </c>
      <c r="C10" s="10"/>
      <c r="D10" s="10"/>
    </row>
    <row r="11" spans="1:15" x14ac:dyDescent="0.2">
      <c r="B11" s="10" t="s">
        <v>26</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80" zoomScaleNormal="80" workbookViewId="0">
      <selection sqref="A1:A2"/>
    </sheetView>
  </sheetViews>
  <sheetFormatPr defaultColWidth="9.42578125" defaultRowHeight="14.25" x14ac:dyDescent="0.2"/>
  <cols>
    <col min="1" max="1" width="8.42578125" style="2" bestFit="1" customWidth="1"/>
    <col min="2" max="2" width="15.5703125" style="2" bestFit="1" customWidth="1"/>
    <col min="3" max="4" width="11.42578125" style="2" bestFit="1" customWidth="1"/>
    <col min="5" max="5" width="10.5703125" style="2" bestFit="1" customWidth="1"/>
    <col min="6" max="6" width="10.140625" style="2" bestFit="1" customWidth="1"/>
    <col min="7" max="7" width="7.7109375" style="2" bestFit="1" customWidth="1"/>
    <col min="8" max="8" width="11.5703125" style="2" bestFit="1" customWidth="1"/>
    <col min="9" max="9" width="12.42578125" style="2" bestFit="1" customWidth="1"/>
    <col min="10" max="10" width="7.85546875" style="2" bestFit="1" customWidth="1"/>
    <col min="11" max="11" width="7.42578125" style="2" bestFit="1" customWidth="1"/>
    <col min="12" max="12" width="12.85546875" style="2" bestFit="1" customWidth="1"/>
    <col min="13" max="13" width="8" style="2" bestFit="1" customWidth="1"/>
    <col min="14" max="14" width="8.7109375" style="2" bestFit="1" customWidth="1"/>
    <col min="15" max="16384" width="9.42578125" style="2"/>
  </cols>
  <sheetData>
    <row r="1" spans="1:20" ht="17.25" customHeight="1" x14ac:dyDescent="0.2">
      <c r="A1" s="68" t="s">
        <v>7</v>
      </c>
      <c r="B1" s="12"/>
      <c r="C1" s="70" t="s">
        <v>8</v>
      </c>
      <c r="D1" s="71"/>
      <c r="E1" s="71"/>
      <c r="F1" s="71"/>
      <c r="G1" s="71"/>
      <c r="H1" s="71"/>
      <c r="I1" s="71"/>
      <c r="J1" s="71"/>
      <c r="K1" s="71"/>
      <c r="L1" s="71"/>
      <c r="M1" s="71"/>
      <c r="N1" s="72"/>
    </row>
    <row r="2" spans="1:20" ht="60" x14ac:dyDescent="0.2">
      <c r="A2" s="69"/>
      <c r="B2" s="12" t="s">
        <v>20</v>
      </c>
      <c r="C2" s="12" t="s">
        <v>10</v>
      </c>
      <c r="D2" s="12" t="s">
        <v>11</v>
      </c>
      <c r="E2" s="12" t="s">
        <v>12</v>
      </c>
      <c r="F2" s="12" t="s">
        <v>13</v>
      </c>
      <c r="G2" s="12" t="s">
        <v>24</v>
      </c>
      <c r="H2" s="12" t="s">
        <v>14</v>
      </c>
      <c r="I2" s="12" t="s">
        <v>15</v>
      </c>
      <c r="J2" s="12" t="s">
        <v>16</v>
      </c>
      <c r="K2" s="12" t="s">
        <v>17</v>
      </c>
      <c r="L2" s="12" t="s">
        <v>18</v>
      </c>
      <c r="M2" s="12" t="s">
        <v>25</v>
      </c>
      <c r="N2" s="12" t="s">
        <v>19</v>
      </c>
    </row>
    <row r="3" spans="1:20" ht="15" x14ac:dyDescent="0.25">
      <c r="A3" s="48">
        <f>SUM(C3:N3)</f>
        <v>-194.01649288888001</v>
      </c>
      <c r="B3" s="47">
        <v>46097</v>
      </c>
      <c r="C3" s="60">
        <v>11.494817224849998</v>
      </c>
      <c r="D3" s="60">
        <v>-27.350136618200008</v>
      </c>
      <c r="E3" s="60">
        <v>6.6987695999999994</v>
      </c>
      <c r="F3" s="60">
        <v>-147.58875840000002</v>
      </c>
      <c r="G3" s="60">
        <v>4.6041117433999981</v>
      </c>
      <c r="H3" s="60">
        <v>14.105001352499995</v>
      </c>
      <c r="I3" s="60">
        <v>7.8343341000000013</v>
      </c>
      <c r="J3" s="60">
        <v>41.863432581599994</v>
      </c>
      <c r="K3" s="60">
        <v>0.90059172697000123</v>
      </c>
      <c r="L3" s="60">
        <v>-22.512619999999995</v>
      </c>
      <c r="M3" s="60">
        <v>-57.927759000000002</v>
      </c>
      <c r="N3" s="60">
        <v>-26.138277200000001</v>
      </c>
      <c r="P3" s="13"/>
    </row>
    <row r="4" spans="1:20" ht="15" x14ac:dyDescent="0.25">
      <c r="A4" s="48">
        <f>SUM(C4:N4)</f>
        <v>95.854071177799966</v>
      </c>
      <c r="B4" s="58">
        <v>46104</v>
      </c>
      <c r="C4" s="55">
        <v>0.90917014230999915</v>
      </c>
      <c r="D4" s="55">
        <v>-33.912101700399994</v>
      </c>
      <c r="E4" s="55">
        <v>-5.8554699999999738E-2</v>
      </c>
      <c r="F4" s="55">
        <v>-8.2551763000000058</v>
      </c>
      <c r="G4" s="55">
        <v>-7.8793399815999967</v>
      </c>
      <c r="H4" s="55">
        <v>75.482862291500041</v>
      </c>
      <c r="I4" s="55">
        <v>-0.45727799999999952</v>
      </c>
      <c r="J4" s="55">
        <v>12.778125041000001</v>
      </c>
      <c r="K4" s="55">
        <v>164.92324328498995</v>
      </c>
      <c r="L4" s="55">
        <v>-19.169640300000008</v>
      </c>
      <c r="M4" s="55">
        <v>36.829791700000001</v>
      </c>
      <c r="N4" s="55">
        <v>-125.33703030000001</v>
      </c>
      <c r="P4" s="13"/>
    </row>
    <row r="5" spans="1:20" ht="15" x14ac:dyDescent="0.25">
      <c r="A5" s="48">
        <f>SUM(C5:N5)</f>
        <v>-27.536545156449989</v>
      </c>
      <c r="B5" s="66">
        <v>46111</v>
      </c>
      <c r="C5" s="60">
        <v>7.614705786780001</v>
      </c>
      <c r="D5" s="60">
        <v>-27.985287609399997</v>
      </c>
      <c r="E5" s="60">
        <v>-4.6959549999999997</v>
      </c>
      <c r="F5" s="60">
        <v>-6.8649088999999988</v>
      </c>
      <c r="G5" s="60">
        <v>-14.0405981411</v>
      </c>
      <c r="H5" s="60">
        <v>5.4457340663499885</v>
      </c>
      <c r="I5" s="60">
        <v>4.8311683000000007</v>
      </c>
      <c r="J5" s="60">
        <v>14.681047388199998</v>
      </c>
      <c r="K5" s="60">
        <v>18.48203165272</v>
      </c>
      <c r="L5" s="60">
        <v>33.693647700000014</v>
      </c>
      <c r="M5" s="60">
        <v>-8.4583463999999999</v>
      </c>
      <c r="N5" s="60">
        <v>-50.239784</v>
      </c>
      <c r="P5" s="13"/>
    </row>
    <row r="6" spans="1:20" ht="15" x14ac:dyDescent="0.25">
      <c r="A6" s="48">
        <f>SUM(C6:N6)</f>
        <v>-148.36424241341999</v>
      </c>
      <c r="B6" s="58">
        <v>46118</v>
      </c>
      <c r="C6" s="55">
        <v>-3.9537460244800005</v>
      </c>
      <c r="D6" s="55">
        <v>-28.450908786900001</v>
      </c>
      <c r="E6" s="55">
        <v>10.0688312</v>
      </c>
      <c r="F6" s="55">
        <v>101.97912909999999</v>
      </c>
      <c r="G6" s="55">
        <v>-23.420833841900009</v>
      </c>
      <c r="H6" s="55">
        <v>-63.713010307549993</v>
      </c>
      <c r="I6" s="55">
        <v>2.2575047000000006</v>
      </c>
      <c r="J6" s="55">
        <v>-15.907090697999998</v>
      </c>
      <c r="K6" s="55">
        <v>-18.482830138589996</v>
      </c>
      <c r="L6" s="55">
        <v>-142.107694216</v>
      </c>
      <c r="M6" s="55">
        <v>69.45226000000001</v>
      </c>
      <c r="N6" s="55">
        <v>-36.085853400000005</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29</v>
      </c>
      <c r="C9" s="10"/>
      <c r="D9" s="10"/>
    </row>
    <row r="10" spans="1:20" x14ac:dyDescent="0.2">
      <c r="B10" s="10" t="s">
        <v>6</v>
      </c>
      <c r="C10" s="10"/>
      <c r="D10" s="10"/>
    </row>
    <row r="11" spans="1:20" x14ac:dyDescent="0.2">
      <c r="B11" s="10" t="s">
        <v>26</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7 A3:A6"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RuiJia Li</cp:lastModifiedBy>
  <cp:lastPrinted>2024-07-01T01:26:22Z</cp:lastPrinted>
  <dcterms:created xsi:type="dcterms:W3CDTF">2020-01-13T01:31:10Z</dcterms:created>
  <dcterms:modified xsi:type="dcterms:W3CDTF">2026-04-13T01:58:41Z</dcterms:modified>
</cp:coreProperties>
</file>