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206903AB-1EFB-4C1E-9862-8D6FBEB6D7C4}" xr6:coauthVersionLast="47" xr6:coauthVersionMax="47" xr10:uidLastSave="{00000000-0000-0000-0000-000000000000}"/>
  <bookViews>
    <workbookView xWindow="2868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<sst xmlns="http://schemas.openxmlformats.org/spreadsheetml/2006/main" count="139" uniqueCount="85">
  <si>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</si>
  <si>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</si>
  <si>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</si>
  <si>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</si>
  <si>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</si>
  <si>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</si>
  <si>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</si>
  <si>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</si>
  <si>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</si>
  <si>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</si>
  <si>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</si>
  <si>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</si>
  <si>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</si>
  <si>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</si>
  <si>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</si>
  <si>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</si>
  <si>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</si>
  <si>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</si>
  <si>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</si>
  <si>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</si>
  <si>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</si>
  <si>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</si>
  <si>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</si>
  <si>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</si>
  <si>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</si>
  <si>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</si>
  <si>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</si>
  <si>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</si>
  <si>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</si>
  <si>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</si>
  <si>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</si>
  <si>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</si>
  <si>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</si>
  <si>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</si>
  <si>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</si>
  <si>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</si>
  <si>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</si>
  <si>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</si>
  <si>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ST Engineering</t>
  </si>
  <si>
    <t>S63</t>
  </si>
  <si>
    <t>Yangzijiang Shipbuilding</t>
  </si>
  <si>
    <t>BS6</t>
  </si>
  <si>
    <t>Singtel</t>
  </si>
  <si>
    <t>Z74</t>
  </si>
  <si>
    <t>SGX</t>
  </si>
  <si>
    <t>S68</t>
  </si>
  <si>
    <t>Wilmar International</t>
  </si>
  <si>
    <t>F34</t>
  </si>
  <si>
    <t>SIA</t>
  </si>
  <si>
    <t>C6L</t>
  </si>
  <si>
    <t>CapitaLand Ascendas REIT</t>
  </si>
  <si>
    <t>A17U</t>
  </si>
  <si>
    <t>iFast Corporation</t>
  </si>
  <si>
    <t>AIY</t>
  </si>
  <si>
    <t>Keppel</t>
  </si>
  <si>
    <t>BN4</t>
  </si>
  <si>
    <t>Genting Singapore</t>
  </si>
  <si>
    <t>G13</t>
  </si>
  <si>
    <t>Sheng Siong</t>
  </si>
  <si>
    <t>OV8</t>
  </si>
  <si>
    <t>Mapletree Logistics Trust</t>
  </si>
  <si>
    <t>M44U</t>
  </si>
  <si>
    <t>ComfortDelGro</t>
  </si>
  <si>
    <t>C52</t>
  </si>
  <si>
    <t>CapitaLand Integrated Commercial Trust</t>
  </si>
  <si>
    <t>C38U</t>
  </si>
  <si>
    <t>Lendlease REIT</t>
  </si>
  <si>
    <t>JYEU</t>
  </si>
  <si>
    <t>Hongkong Land</t>
  </si>
  <si>
    <t>H78</t>
  </si>
  <si>
    <t>Venture Corporation</t>
  </si>
  <si>
    <t>V03</t>
  </si>
  <si>
    <t>StarHub</t>
  </si>
  <si>
    <t>CC3</t>
  </si>
  <si>
    <t>ULG</t>
  </si>
  <si>
    <t>SATS</t>
  </si>
  <si>
    <t>S58</t>
  </si>
  <si>
    <t>Seatrium</t>
  </si>
  <si>
    <t>5E2</t>
  </si>
  <si>
    <t>Marco Polo Marine</t>
  </si>
  <si>
    <t>5LY</t>
  </si>
  <si>
    <t>Week of 16 February 2026</t>
  </si>
  <si>
    <r>
      <t xml:space="preserve">Institutional investors net </t>
    </r>
    <r>
      <rPr>
        <b/>
        <sz val="11"/>
        <rFont val="Arial"/>
        <family val="2"/>
      </rPr>
      <t>buy</t>
    </r>
    <r>
      <rPr>
        <sz val="11"/>
        <rFont val="Arial"/>
        <family val="2"/>
      </rPr>
      <t xml:space="preserve"> (+S$204.7m) vs. (-S$156.0m) a week ago</t>
    </r>
  </si>
  <si>
    <r>
      <t xml:space="preserve">Retail investors net </t>
    </r>
    <r>
      <rPr>
        <b/>
        <sz val="11"/>
        <rFont val="Arial"/>
        <family val="2"/>
      </rPr>
      <t>sell</t>
    </r>
    <r>
      <rPr>
        <sz val="11"/>
        <rFont val="Arial"/>
        <family val="2"/>
      </rPr>
      <t xml:space="preserve"> (-S$180.0m) vs. (+S$316.0m) a week ago</t>
    </r>
  </si>
  <si>
    <t>Ultragreen.AI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</si>
</sst>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81</v>
      </c>
      <c r="C1" s="59"/>
    </row>
    <row r="2" spans="1:13" ht="15" x14ac:dyDescent="0.25">
      <c r="A2" s="52" t="s">
        <v>82</v>
      </c>
      <c r="I2" s="40"/>
    </row>
    <row r="3" spans="1:13" ht="15" x14ac:dyDescent="0.25">
      <c r="A3" s="52" t="s">
        <v>83</v>
      </c>
      <c r="I3" s="40"/>
    </row>
    <row r="5" spans="1:13" ht="29.25" customHeight="1" x14ac:dyDescent="0.2">
      <c r="A5" s="3" t="s">
        <v>0</v>
      </c>
      <c r="B5" s="3" t="s">
        <v>1</v>
      </c>
      <c r="C5" s="4" t="s">
        <v>81</v>
      </c>
      <c r="D5" s="43" t="s">
        <v>2</v>
      </c>
      <c r="E5" s="43" t="s">
        <v>1</v>
      </c>
      <c r="F5" s="44" t="str">
        <f>+C5</f>
        <v>Week of 16 February 2026</v>
      </c>
      <c r="I5" s="2"/>
    </row>
    <row r="6" spans="1:13" ht="15" x14ac:dyDescent="0.25">
      <c r="A6" s="28" t="s">
        <v>42</v>
      </c>
      <c r="B6" s="46" t="s">
        <v>43</v>
      </c>
      <c r="C6" s="5">
        <v>69.223523799999995</v>
      </c>
      <c r="D6" s="28" t="s">
        <v>44</v>
      </c>
      <c r="E6" s="46" t="s">
        <v>45</v>
      </c>
      <c r="F6" s="5">
        <v>-27.129422000000002</v>
      </c>
      <c r="G6" s="61"/>
      <c r="H6"/>
      <c r="I6" s="2"/>
      <c r="M6"/>
    </row>
    <row r="7" spans="1:13" ht="15" x14ac:dyDescent="0.25">
      <c r="A7" s="29" t="s">
        <v>40</v>
      </c>
      <c r="B7" s="9" t="s">
        <v>41</v>
      </c>
      <c r="C7" s="7">
        <v>59.854298</v>
      </c>
      <c r="D7" s="29" t="s">
        <v>52</v>
      </c>
      <c r="E7" s="9" t="s">
        <v>53</v>
      </c>
      <c r="F7" s="7">
        <v>-20.681327</v>
      </c>
      <c r="G7" s="61"/>
      <c r="H7"/>
      <c r="I7" s="2"/>
      <c r="L7"/>
      <c r="M7"/>
    </row>
    <row r="8" spans="1:13" ht="15" x14ac:dyDescent="0.25">
      <c r="A8" s="30" t="s">
        <v>48</v>
      </c>
      <c r="B8" s="46" t="s">
        <v>49</v>
      </c>
      <c r="C8" s="5">
        <v>32.582203</v>
      </c>
      <c r="D8" s="30" t="s">
        <v>66</v>
      </c>
      <c r="E8" s="46" t="s">
        <v>67</v>
      </c>
      <c r="F8" s="5">
        <v>-11.715937500000001</v>
      </c>
      <c r="G8" s="61"/>
      <c r="H8"/>
      <c r="I8" s="2"/>
      <c r="L8"/>
      <c r="M8"/>
    </row>
    <row r="9" spans="1:13" ht="15" x14ac:dyDescent="0.25">
      <c r="A9" s="29" t="s">
        <v>56</v>
      </c>
      <c r="B9" s="9" t="s">
        <v>57</v>
      </c>
      <c r="C9" s="7">
        <v>24.245550999999999</v>
      </c>
      <c r="D9" s="29" t="s">
        <v>50</v>
      </c>
      <c r="E9" s="9" t="s">
        <v>51</v>
      </c>
      <c r="F9" s="7">
        <v>-6.8927810000000003</v>
      </c>
      <c r="G9" s="61"/>
      <c r="H9"/>
      <c r="I9" s="2"/>
      <c r="L9"/>
      <c r="M9"/>
    </row>
    <row r="10" spans="1:13" ht="15" x14ac:dyDescent="0.25">
      <c r="A10" s="30" t="s">
        <v>54</v>
      </c>
      <c r="B10" s="46" t="s">
        <v>55</v>
      </c>
      <c r="C10" s="5">
        <v>23.108371000000002</v>
      </c>
      <c r="D10" s="30" t="s">
        <v>68</v>
      </c>
      <c r="E10" s="46" t="s">
        <v>69</v>
      </c>
      <c r="F10" s="5">
        <v>-6.8211285532000012</v>
      </c>
      <c r="G10" s="61"/>
      <c r="H10"/>
      <c r="I10" s="2"/>
      <c r="L10"/>
      <c r="M10"/>
    </row>
    <row r="11" spans="1:13" ht="15" x14ac:dyDescent="0.25">
      <c r="A11" s="29" t="s">
        <v>64</v>
      </c>
      <c r="B11" s="9" t="s">
        <v>65</v>
      </c>
      <c r="C11" s="7">
        <v>14.441368000000001</v>
      </c>
      <c r="D11" s="29" t="s">
        <v>70</v>
      </c>
      <c r="E11" s="9" t="s">
        <v>71</v>
      </c>
      <c r="F11" s="7">
        <v>-6.3881230000000002</v>
      </c>
      <c r="G11" s="61"/>
      <c r="H11"/>
      <c r="I11" s="2"/>
      <c r="L11"/>
      <c r="M11"/>
    </row>
    <row r="12" spans="1:13" ht="15" x14ac:dyDescent="0.25">
      <c r="A12" s="30" t="s">
        <v>36</v>
      </c>
      <c r="B12" s="46" t="s">
        <v>37</v>
      </c>
      <c r="C12" s="5">
        <v>13.610345000000001</v>
      </c>
      <c r="D12" s="30" t="s">
        <v>24</v>
      </c>
      <c r="E12" s="46" t="s">
        <v>22</v>
      </c>
      <c r="F12" s="5">
        <v>-6.0686150000000003</v>
      </c>
      <c r="G12" s="61"/>
      <c r="H12"/>
      <c r="I12" s="2"/>
      <c r="L12"/>
      <c r="M12"/>
    </row>
    <row r="13" spans="1:13" ht="15" x14ac:dyDescent="0.25">
      <c r="A13" s="29" t="s">
        <v>46</v>
      </c>
      <c r="B13" s="9" t="s">
        <v>47</v>
      </c>
      <c r="C13" s="7">
        <v>11.135617</v>
      </c>
      <c r="D13" s="29" t="s">
        <v>72</v>
      </c>
      <c r="E13" s="9" t="s">
        <v>73</v>
      </c>
      <c r="F13" s="7">
        <v>-5.7201190000000004</v>
      </c>
      <c r="G13" s="61"/>
      <c r="H13"/>
      <c r="I13" s="2"/>
      <c r="L13"/>
      <c r="M13"/>
    </row>
    <row r="14" spans="1:13" ht="15" x14ac:dyDescent="0.25">
      <c r="A14" s="30" t="s">
        <v>23</v>
      </c>
      <c r="B14" s="46" t="s">
        <v>21</v>
      </c>
      <c r="C14" s="5">
        <v>10.228147999999999</v>
      </c>
      <c r="D14" s="30" t="s">
        <v>58</v>
      </c>
      <c r="E14" s="46" t="s">
        <v>59</v>
      </c>
      <c r="F14" s="5">
        <v>-5.3534379999999997</v>
      </c>
      <c r="G14" s="61"/>
      <c r="H14"/>
      <c r="I14" s="2"/>
      <c r="L14"/>
      <c r="M14"/>
    </row>
    <row r="15" spans="1:13" ht="15" x14ac:dyDescent="0.25">
      <c r="A15" s="31" t="s">
        <v>62</v>
      </c>
      <c r="B15" s="27" t="s">
        <v>63</v>
      </c>
      <c r="C15" s="8">
        <v>9.4368529999999993</v>
      </c>
      <c r="D15" s="31" t="s">
        <v>84</v>
      </c>
      <c r="E15" s="27" t="s">
        <v>74</v>
      </c>
      <c r="F15" s="8">
        <v>-3.5293306814999998</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16 February 2026</v>
      </c>
      <c r="D18" s="45" t="s">
        <v>4</v>
      </c>
      <c r="E18" s="43" t="s">
        <v>1</v>
      </c>
      <c r="F18" s="44" t="str">
        <f>+C18</f>
        <v>Week of 16 February 2026</v>
      </c>
    </row>
    <row r="19" spans="1:9" x14ac:dyDescent="0.2">
      <c r="A19" s="30" t="s">
        <v>44</v>
      </c>
      <c r="B19" s="46" t="s">
        <v>45</v>
      </c>
      <c r="C19" s="16">
        <v>28.100546000000001</v>
      </c>
      <c r="D19" s="30" t="s">
        <v>40</v>
      </c>
      <c r="E19" s="15" t="s">
        <v>41</v>
      </c>
      <c r="F19" s="5">
        <v>-78.397023000000004</v>
      </c>
      <c r="I19" s="2"/>
    </row>
    <row r="20" spans="1:9" ht="15" x14ac:dyDescent="0.25">
      <c r="A20" s="29" t="s">
        <v>52</v>
      </c>
      <c r="B20" s="9" t="s">
        <v>53</v>
      </c>
      <c r="C20" s="7">
        <v>24.781381</v>
      </c>
      <c r="D20" s="29" t="s">
        <v>56</v>
      </c>
      <c r="E20" s="17" t="s">
        <v>57</v>
      </c>
      <c r="F20" s="7">
        <v>-34.514104500000002</v>
      </c>
      <c r="G20" s="61"/>
      <c r="I20" s="2"/>
    </row>
    <row r="21" spans="1:9" ht="15" x14ac:dyDescent="0.25">
      <c r="A21" s="30" t="s">
        <v>24</v>
      </c>
      <c r="B21" s="46" t="s">
        <v>22</v>
      </c>
      <c r="C21" s="5">
        <v>11.03004</v>
      </c>
      <c r="D21" s="30" t="s">
        <v>48</v>
      </c>
      <c r="E21" s="6" t="s">
        <v>49</v>
      </c>
      <c r="F21" s="5">
        <v>-32.368788000000002</v>
      </c>
      <c r="G21" s="61"/>
      <c r="I21" s="2"/>
    </row>
    <row r="22" spans="1:9" ht="15" x14ac:dyDescent="0.25">
      <c r="A22" s="29" t="s">
        <v>66</v>
      </c>
      <c r="B22" s="9" t="s">
        <v>67</v>
      </c>
      <c r="C22" s="7">
        <v>9.9728124999999999</v>
      </c>
      <c r="D22" s="29" t="s">
        <v>36</v>
      </c>
      <c r="E22" s="17" t="s">
        <v>37</v>
      </c>
      <c r="F22" s="7">
        <v>-31.134001999999999</v>
      </c>
      <c r="G22" s="61"/>
      <c r="I22" s="2"/>
    </row>
    <row r="23" spans="1:9" ht="15" x14ac:dyDescent="0.25">
      <c r="A23" s="30" t="s">
        <v>50</v>
      </c>
      <c r="B23" s="46" t="s">
        <v>51</v>
      </c>
      <c r="C23" s="5">
        <v>9.3733269999999997</v>
      </c>
      <c r="D23" s="30" t="s">
        <v>42</v>
      </c>
      <c r="E23" s="6" t="s">
        <v>43</v>
      </c>
      <c r="F23" s="5">
        <v>-27.592942499999999</v>
      </c>
      <c r="G23" s="61"/>
      <c r="I23" s="2"/>
    </row>
    <row r="24" spans="1:9" ht="15" x14ac:dyDescent="0.25">
      <c r="A24" s="29" t="s">
        <v>72</v>
      </c>
      <c r="B24" s="9" t="s">
        <v>73</v>
      </c>
      <c r="C24" s="7">
        <v>8.9242980000000003</v>
      </c>
      <c r="D24" s="29" t="s">
        <v>77</v>
      </c>
      <c r="E24" s="17" t="s">
        <v>78</v>
      </c>
      <c r="F24" s="7">
        <v>-9.5661710000000006</v>
      </c>
      <c r="G24" s="61"/>
      <c r="I24" s="2"/>
    </row>
    <row r="25" spans="1:9" ht="15" x14ac:dyDescent="0.25">
      <c r="A25" s="30" t="s">
        <v>23</v>
      </c>
      <c r="B25" s="46" t="s">
        <v>21</v>
      </c>
      <c r="C25" s="5">
        <v>7.1359159999999999</v>
      </c>
      <c r="D25" s="30" t="s">
        <v>62</v>
      </c>
      <c r="E25" s="6" t="s">
        <v>63</v>
      </c>
      <c r="F25" s="5">
        <v>-9.5586280000000006</v>
      </c>
      <c r="G25" s="61"/>
      <c r="I25" s="2"/>
    </row>
    <row r="26" spans="1:9" ht="15" x14ac:dyDescent="0.25">
      <c r="A26" s="29" t="s">
        <v>58</v>
      </c>
      <c r="B26" s="9" t="s">
        <v>59</v>
      </c>
      <c r="C26" s="7">
        <v>6.0515230000000004</v>
      </c>
      <c r="D26" s="29" t="s">
        <v>38</v>
      </c>
      <c r="E26" s="17" t="s">
        <v>39</v>
      </c>
      <c r="F26" s="7">
        <v>-9.4053260000000005</v>
      </c>
      <c r="G26" s="61"/>
      <c r="I26" s="2"/>
    </row>
    <row r="27" spans="1:9" ht="15" x14ac:dyDescent="0.25">
      <c r="A27" s="30" t="s">
        <v>75</v>
      </c>
      <c r="B27" s="46" t="s">
        <v>76</v>
      </c>
      <c r="C27" s="5">
        <v>2.675046</v>
      </c>
      <c r="D27" s="30" t="s">
        <v>54</v>
      </c>
      <c r="E27" s="6" t="s">
        <v>55</v>
      </c>
      <c r="F27" s="5">
        <v>-8.5236879999999999</v>
      </c>
      <c r="G27" s="61"/>
      <c r="I27" s="2"/>
    </row>
    <row r="28" spans="1:9" ht="15" x14ac:dyDescent="0.25">
      <c r="A28" s="27" t="s">
        <v>60</v>
      </c>
      <c r="B28" s="56" t="s">
        <v>61</v>
      </c>
      <c r="C28" s="8">
        <v>2.3485939999999998</v>
      </c>
      <c r="D28" s="27" t="s">
        <v>79</v>
      </c>
      <c r="E28" s="56" t="s">
        <v>80</v>
      </c>
      <c r="F28" s="8">
        <v>-5.8273349000000003</v>
      </c>
      <c r="G28" s="61"/>
      <c r="I28" s="2"/>
    </row>
    <row r="29" spans="1:9" x14ac:dyDescent="0.2">
      <c r="A29" s="9"/>
      <c r="B29" s="9"/>
      <c r="C29" s="9"/>
      <c r="D29" s="9"/>
      <c r="E29" s="9"/>
      <c r="F29" s="9"/>
    </row>
    <row r="30" spans="1:9" x14ac:dyDescent="0.2">
      <c r="A30" s="10" t="s">
        <v>32</v>
      </c>
      <c r="B30" s="10"/>
      <c r="C30" s="9"/>
      <c r="D30" s="9"/>
      <c r="E30" s="9"/>
      <c r="F30" s="9"/>
    </row>
    <row r="31" spans="1:9" x14ac:dyDescent="0.2">
      <c r="A31" s="10" t="s">
        <v>29</v>
      </c>
      <c r="B31" s="10"/>
      <c r="C31" s="9"/>
      <c r="D31" s="9"/>
      <c r="E31" s="9"/>
      <c r="F31" s="9"/>
    </row>
    <row r="32" spans="1:9" x14ac:dyDescent="0.2">
      <c r="A32" s="10" t="s">
        <v>30</v>
      </c>
      <c r="B32" s="10"/>
      <c r="C32" s="9"/>
      <c r="D32" s="9"/>
      <c r="E32" s="9"/>
      <c r="F32" s="9"/>
    </row>
    <row r="33" spans="1:9" x14ac:dyDescent="0.2">
      <c r="A33" s="10" t="s">
        <v>6</v>
      </c>
      <c r="B33" s="10"/>
      <c r="C33" s="9"/>
      <c r="D33" s="9"/>
      <c r="E33" s="9"/>
      <c r="F33" s="9"/>
    </row>
    <row r="34" spans="1:9" x14ac:dyDescent="0.2">
      <c r="A34" s="57" t="s">
        <v>28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25</v>
      </c>
      <c r="B37" s="19"/>
      <c r="C37" s="20"/>
      <c r="D37" s="20"/>
      <c r="E37" s="19"/>
      <c r="F37" s="19"/>
      <c r="I37" s="32"/>
    </row>
    <row r="38" spans="1:9" customFormat="1" ht="15" x14ac:dyDescent="0.25">
      <c r="A38" s="21" t="s">
        <v>34</v>
      </c>
      <c r="B38" s="19"/>
      <c r="C38" s="20"/>
      <c r="D38" s="20"/>
      <c r="E38" s="19"/>
      <c r="F38" s="19"/>
      <c r="I38" s="32"/>
    </row>
    <row r="39" spans="1:9" s="25" customFormat="1" ht="19.350000000000001" customHeight="1" x14ac:dyDescent="0.25">
      <c r="A39" s="22" t="s">
        <v>33</v>
      </c>
      <c r="B39" s="23"/>
      <c r="C39" s="24"/>
      <c r="D39" s="24"/>
      <c r="E39" s="23"/>
      <c r="F39" s="23"/>
      <c r="I39" s="35"/>
    </row>
    <row r="40" spans="1:9" ht="169.35" customHeight="1" x14ac:dyDescent="0.2">
      <c r="A40" s="67" t="s">
        <v>35</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ht="15" x14ac:dyDescent="0.25">
      <c r="A3" s="38">
        <f>SUM(C3:N3)</f>
        <v>-325.29196633841991</v>
      </c>
      <c r="B3" s="54">
        <v>46048</v>
      </c>
      <c r="C3" s="14">
        <v>-9.5350222027300049</v>
      </c>
      <c r="D3" s="14">
        <v>12.5937500267</v>
      </c>
      <c r="E3" s="14">
        <v>-2.018085399999999</v>
      </c>
      <c r="F3" s="14">
        <v>-189.3614863</v>
      </c>
      <c r="G3" s="14">
        <v>-12.659195747699998</v>
      </c>
      <c r="H3" s="14">
        <v>-64.198346074649976</v>
      </c>
      <c r="I3" s="14">
        <v>10.663035800000001</v>
      </c>
      <c r="J3" s="14">
        <v>-0.98645783119999964</v>
      </c>
      <c r="K3" s="14">
        <v>-132.03459160883992</v>
      </c>
      <c r="L3" s="14">
        <v>26.257012099999997</v>
      </c>
      <c r="M3" s="14">
        <v>47.556278800000001</v>
      </c>
      <c r="N3" s="14">
        <v>-11.568857900000001</v>
      </c>
    </row>
    <row r="4" spans="1:15" ht="15" x14ac:dyDescent="0.25">
      <c r="A4" s="38">
        <f>SUM(C4:N4)</f>
        <v>-121.59366085145997</v>
      </c>
      <c r="B4" s="42">
        <v>46055</v>
      </c>
      <c r="C4" s="53">
        <v>18.287836100600007</v>
      </c>
      <c r="D4" s="53">
        <v>20.171228363600001</v>
      </c>
      <c r="E4" s="53">
        <v>-1.1369559999999999</v>
      </c>
      <c r="F4" s="53">
        <v>-109.15834960000002</v>
      </c>
      <c r="G4" s="53">
        <v>-3.6214717372999998</v>
      </c>
      <c r="H4" s="53">
        <v>50.56510787970003</v>
      </c>
      <c r="I4" s="53">
        <v>-1.2593072999999992</v>
      </c>
      <c r="J4" s="53">
        <v>10.2604781215</v>
      </c>
      <c r="K4" s="53">
        <v>-77.019198829560011</v>
      </c>
      <c r="L4" s="53">
        <v>-27.000366249999995</v>
      </c>
      <c r="M4" s="53">
        <v>-4.5278872000000003</v>
      </c>
      <c r="N4" s="53">
        <v>2.8452256</v>
      </c>
    </row>
    <row r="5" spans="1:15" ht="15" x14ac:dyDescent="0.25">
      <c r="A5" s="38">
        <f>SUM(C5:N5)</f>
        <v>-155.99243927416012</v>
      </c>
      <c r="B5" s="66">
        <v>46062</v>
      </c>
      <c r="C5" s="14">
        <v>27.021643146900001</v>
      </c>
      <c r="D5" s="14">
        <v>9.3171853748000011</v>
      </c>
      <c r="E5" s="14">
        <v>-0.8662601000000002</v>
      </c>
      <c r="F5" s="14">
        <v>-307.49651730000005</v>
      </c>
      <c r="G5" s="14">
        <v>-4.2939881611000015</v>
      </c>
      <c r="H5" s="14">
        <v>153.06972211564999</v>
      </c>
      <c r="I5" s="14">
        <v>3.3525673</v>
      </c>
      <c r="J5" s="14">
        <v>4.9379623184999994</v>
      </c>
      <c r="K5" s="14">
        <v>-110.27163231891001</v>
      </c>
      <c r="L5" s="14">
        <v>-11.459010550000002</v>
      </c>
      <c r="M5" s="14">
        <v>72.486333500000001</v>
      </c>
      <c r="N5" s="14">
        <v>8.2095553999999993</v>
      </c>
    </row>
    <row r="6" spans="1:15" ht="15" x14ac:dyDescent="0.25">
      <c r="A6" s="38">
        <f>SUM(C6:N6)</f>
        <v>204.65983347664005</v>
      </c>
      <c r="B6" s="58">
        <v>46069</v>
      </c>
      <c r="C6" s="53">
        <v>22.697704989830005</v>
      </c>
      <c r="D6" s="53">
        <v>3.3556465133000009</v>
      </c>
      <c r="E6" s="53">
        <v>-0.33970680000000003</v>
      </c>
      <c r="F6" s="53">
        <v>-0.78023360000000141</v>
      </c>
      <c r="G6" s="53">
        <v>-5.4906756799999998</v>
      </c>
      <c r="H6" s="53">
        <v>130.12171892865001</v>
      </c>
      <c r="I6" s="53">
        <v>3.0045366999999996</v>
      </c>
      <c r="J6" s="53">
        <v>4.682061746799997</v>
      </c>
      <c r="K6" s="53">
        <v>-0.68515152193999973</v>
      </c>
      <c r="L6" s="53">
        <v>-33.503875399999998</v>
      </c>
      <c r="M6" s="53">
        <v>65.416232499999992</v>
      </c>
      <c r="N6" s="53">
        <v>16.181575100000003</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29</v>
      </c>
      <c r="C9" s="10"/>
      <c r="D9" s="10"/>
    </row>
    <row r="10" spans="1:15" x14ac:dyDescent="0.2">
      <c r="B10" s="10" t="s">
        <v>6</v>
      </c>
      <c r="C10" s="10"/>
      <c r="D10" s="10"/>
    </row>
    <row r="11" spans="1:15" x14ac:dyDescent="0.2">
      <c r="B11" s="10" t="s">
        <v>28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ht="15" x14ac:dyDescent="0.25">
      <c r="A3" s="48">
        <f>SUM(C3:N3)</f>
        <v>118.61974091753997</v>
      </c>
      <c r="B3" s="47">
        <v>46048</v>
      </c>
      <c r="C3" s="60">
        <v>9.7046633826499988</v>
      </c>
      <c r="D3" s="60">
        <v>-22.974116818399999</v>
      </c>
      <c r="E3" s="60">
        <v>2.8871077000000001</v>
      </c>
      <c r="F3" s="60">
        <v>96.383474699999994</v>
      </c>
      <c r="G3" s="60">
        <v>16.203696560699999</v>
      </c>
      <c r="H3" s="60">
        <v>62.140184924199993</v>
      </c>
      <c r="I3" s="60">
        <v>-15.292568900000001</v>
      </c>
      <c r="J3" s="60">
        <v>-14.359934703099997</v>
      </c>
      <c r="K3" s="60">
        <v>69.241455921489987</v>
      </c>
      <c r="L3" s="60">
        <v>-35.57072955000001</v>
      </c>
      <c r="M3" s="60">
        <v>-53.579819499999999</v>
      </c>
      <c r="N3" s="60">
        <v>3.8363271999999999</v>
      </c>
      <c r="P3" s="13"/>
    </row>
    <row r="4" spans="1:20" ht="15" x14ac:dyDescent="0.25">
      <c r="A4" s="48">
        <f>SUM(C4:N4)</f>
        <v>103.42850332620998</v>
      </c>
      <c r="B4" s="58">
        <v>46055</v>
      </c>
      <c r="C4" s="55">
        <v>-13.394217613309999</v>
      </c>
      <c r="D4" s="55">
        <v>-31.248623039899996</v>
      </c>
      <c r="E4" s="55">
        <v>2.3167372999999998</v>
      </c>
      <c r="F4" s="55">
        <v>152.16603039999998</v>
      </c>
      <c r="G4" s="55">
        <v>1.1509739273999993</v>
      </c>
      <c r="H4" s="55">
        <v>-74.432052075049981</v>
      </c>
      <c r="I4" s="55">
        <v>6.7945060000000019</v>
      </c>
      <c r="J4" s="55">
        <v>-18.132680907799998</v>
      </c>
      <c r="K4" s="55">
        <v>58.223240484869983</v>
      </c>
      <c r="L4" s="55">
        <v>49.543052549999977</v>
      </c>
      <c r="M4" s="55">
        <v>-32.826947699999998</v>
      </c>
      <c r="N4" s="55">
        <v>3.2684839999999999</v>
      </c>
      <c r="P4" s="13"/>
    </row>
    <row r="5" spans="1:20" ht="15" x14ac:dyDescent="0.25">
      <c r="A5" s="48">
        <f>SUM(C5:N5)</f>
        <v>315.9599121665903</v>
      </c>
      <c r="B5" s="66">
        <v>46062</v>
      </c>
      <c r="C5" s="60">
        <v>-24.355300072869998</v>
      </c>
      <c r="D5" s="60">
        <v>13.458001332700002</v>
      </c>
      <c r="E5" s="60">
        <v>0.1158702000000002</v>
      </c>
      <c r="F5" s="60">
        <v>613.58877800000016</v>
      </c>
      <c r="G5" s="60">
        <v>-0.45948178290000019</v>
      </c>
      <c r="H5" s="60">
        <v>-248.90370392554999</v>
      </c>
      <c r="I5" s="60">
        <v>-4.1890207999999989</v>
      </c>
      <c r="J5" s="60">
        <v>-21.679238804000004</v>
      </c>
      <c r="K5" s="60">
        <v>119.61175206921001</v>
      </c>
      <c r="L5" s="60">
        <v>-39.39712505</v>
      </c>
      <c r="M5" s="60">
        <v>-60.012134799999998</v>
      </c>
      <c r="N5" s="60">
        <v>-31.818484199999997</v>
      </c>
      <c r="P5" s="13"/>
    </row>
    <row r="6" spans="1:20" ht="15" x14ac:dyDescent="0.25">
      <c r="A6" s="48">
        <f>SUM(C6:N6)</f>
        <v>-180.03792476071999</v>
      </c>
      <c r="B6" s="58">
        <v>46069</v>
      </c>
      <c r="C6" s="55">
        <v>-37.387602451859998</v>
      </c>
      <c r="D6" s="55">
        <v>0.23299137380000134</v>
      </c>
      <c r="E6" s="55">
        <v>-0.51864089999999996</v>
      </c>
      <c r="F6" s="55">
        <v>9.6754304000000015</v>
      </c>
      <c r="G6" s="55">
        <v>-1.3947103986000002</v>
      </c>
      <c r="H6" s="55">
        <v>-160.02519906029997</v>
      </c>
      <c r="I6" s="55">
        <v>-6.3537693000000006</v>
      </c>
      <c r="J6" s="55">
        <v>-7.6328597293000016</v>
      </c>
      <c r="K6" s="55">
        <v>21.48557660554</v>
      </c>
      <c r="L6" s="55">
        <v>28.6547114</v>
      </c>
      <c r="M6" s="55">
        <v>-20.4618982</v>
      </c>
      <c r="N6" s="55">
        <v>-6.3119544999999988</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31</v>
      </c>
      <c r="C9" s="10"/>
      <c r="D9" s="10"/>
    </row>
    <row r="10" spans="1:20" x14ac:dyDescent="0.2">
      <c r="B10" s="10" t="s">
        <v>6</v>
      </c>
      <c r="C10" s="10"/>
      <c r="D10" s="10"/>
    </row>
    <row r="11" spans="1:20" x14ac:dyDescent="0.2">
      <c r="B11" s="10" t="s">
        <v>28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RuiJia Li</cp:lastModifiedBy>
  <cp:lastPrinted>2024-07-01T01:26:22Z</cp:lastPrinted>
  <dcterms:created xsi:type="dcterms:W3CDTF">2020-01-13T01:31:10Z</dcterms:created>
  <dcterms:modified xsi:type="dcterms:W3CDTF">2026-02-23T02:49:11Z</dcterms:modified>
</cp:coreProperties>
</file>