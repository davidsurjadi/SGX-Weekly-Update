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codeName="ThisWorkbook"/>
  <mc:AlternateContent xmlns:mc="http://schemas.openxmlformats.org/markup-compatibility/2006">
    <mc:Choice Requires="x15">
      <x15ac:absPath xmlns:x15ac="http://schemas.microsoft.com/office/spreadsheetml/2010/11/ac" url="Z:\Research &amp; Retail &amp; Intermed\Research\Production\Insti fund flow tracker files\Draft reports\Final reports\Weekly excel files\"/>
    </mc:Choice>
  </mc:AlternateContent>
  <xr:revisionPtr revIDLastSave="0" documentId="13_ncr:1_{CBF4CAF4-149D-4A46-8A59-DE8EA7405838}" xr6:coauthVersionLast="47" xr6:coauthVersionMax="47" xr10:uidLastSave="{00000000-0000-0000-0000-000000000000}"/>
  <bookViews>
    <workbookView xWindow="-28920" yWindow="3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2" i="4" l="1"/>
  <c r="C32" i="4"/>
  <c r="A6" i="2" l="1"/>
  <c r="A1" i="5"/>
  <c r="A6" i="3" l="1"/>
  <c r="A1" i="4" l="1"/>
  <c r="C18" i="1" l="1"/>
  <c r="F18" i="1" s="1"/>
  <c r="F5" i="1"/>
</calcChain>
</file>

<file path=xl/sharedStrings.xml><?xml version="1.0" encoding="utf-8"?>
<sst xmlns="http://schemas.openxmlformats.org/spreadsheetml/2006/main" count="517" uniqueCount="288">
  <si>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</si>
  <si>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</si>
  <si>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</si>
  <si>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</si>
  <si>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</si>
  <si>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</si>
  <si>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</si>
  <si>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</si>
  <si>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</si>
  <si>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</si>
  <si>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</si>
  <si>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</si>
  <si>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</si>
  <si>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</si>
  <si>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</si>
  <si>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</si>
  <si>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</si>
  <si>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</si>
  <si>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</si>
  <si>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</si>
  <si>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</si>
  <si>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</si>
  <si>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</si>
  <si>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</si>
  <si>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</si>
  <si>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</si>
  <si>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</si>
  <si>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</si>
  <si>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</si>
  <si>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</si>
  <si>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</si>
  <si>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</si>
  <si>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</si>
  <si>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</si>
  <si>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</si>
  <si>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</si>
  <si>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</si>
  <si>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</si>
  <si>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</si>
  <si>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</si>
  <si>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</si>
  <si>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</si>
  <si>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</si>
  <si>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</si>
  <si>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</si>
  <si>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</si>
  <si>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</si>
  <si>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</si>
  <si>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</si>
  <si>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</si>
  <si>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</si>
  <si>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</si>
  <si>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</si>
  <si>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</si>
  <si>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</si>
  <si>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</si>
  <si>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</si>
  <si>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</si>
  <si>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</si>
  <si>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</si>
  <si>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</si>
  <si>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</si>
  <si>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</si>
  <si>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</si>
  <si>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</si>
  <si>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</si>
  <si>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</si>
  <si>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</si>
  <si>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</si>
  <si>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</si>
  <si>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</si>
  <si>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</si>
  <si>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</si>
  <si>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</si>
  <si>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</si>
  <si>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</si>
  <si>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</si>
  <si>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</si>
  <si>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</si>
  <si>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</si>
  <si>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</si>
  <si>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</si>
  <si>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</si>
  <si>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</si>
  <si>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</si>
  <si>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</si>
  <si>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</si>
  <si>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</si>
  <si>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</si>
  <si>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</si>
  <si>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</si>
  <si>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</si>
  <si>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</si>
  <si>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</si>
  <si>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</si>
  <si>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</si>
  <si>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</si>
  <si>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</si>
  <si>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</si>
  <si>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</si>
  <si>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</si>
  <si>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</si>
  <si>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</si>
  <si>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</si>
  <si>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</si>
  <si>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</si>
  <si>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</si>
  <si>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</si>
  <si>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</si>
  <si>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</si>
  <si>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</si>
  <si>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</si>
  <si>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</si>
  <si>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</si>
  <si>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</si>
  <si>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</si>
  <si>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</si>
  <si>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</si>
  <si>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</si>
  <si>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</si>
  <si>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</si>
  <si>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</si>
  <si>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</si>
  <si>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</si>
  <si>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</si>
  <si>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</si>
  <si>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</si>
  <si>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</si>
  <si>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</si>
  <si>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</si>
  <si>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</si>
  <si>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</si>
  <si>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</si>
  <si>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</si>
  <si>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</si>
  <si>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</si>
  <si>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</si>
  <si>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</si>
  <si>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</si>
  <si>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</si>
  <si>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</si>
  <si>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</si>
  <si>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</si>
  <si>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</si>
  <si>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</si>
  <si>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</si>
  <si>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</si>
  <si>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</si>
  <si>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</si>
  <si>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</si>
  <si>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</si>
  <si>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</si>
  <si>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</si>
  <si>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</si>
  <si>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T14</t>
  </si>
  <si>
    <t>H02</t>
  </si>
  <si>
    <t>S59</t>
  </si>
  <si>
    <t>5LY</t>
  </si>
  <si>
    <t>AGS</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</si>
  <si>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</si>
  <si>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</si>
  <si>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</si>
  <si>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</si>
  <si>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</si>
  <si>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</si>
  <si>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</si>
  <si>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</si>
  <si>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</si>
  <si>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</si>
  <si>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</si>
  <si>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</si>
  <si>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</si>
  <si>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</si>
  <si>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</si>
  <si>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</si>
  <si>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</si>
  <si>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</si>
  <si>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</si>
  <si>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</si>
  <si>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</si>
  <si>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</si>
  <si>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</si>
  <si>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</si>
  <si>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</si>
  <si>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</si>
  <si>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</si>
  <si>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</si>
  <si>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</si>
  <si>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</si>
  <si>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</si>
  <si>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</si>
  <si>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</si>
  <si>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</si>
  <si>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</si>
  <si>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</si>
  <si>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</si>
  <si>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</si>
  <si>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</si>
  <si>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</si>
  <si>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</si>
  <si>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</si>
  <si>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</si>
  <si>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</si>
  <si>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</si>
  <si>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</si>
  <si>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</si>
  <si>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</si>
  <si>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</si>
  <si>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</si>
  <si>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</si>
  <si>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</si>
  <si>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</si>
  <si>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</si>
  <si>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</si>
  <si>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</si>
  <si>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</si>
  <si>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</si>
  <si>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</si>
  <si>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</si>
  <si>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</si>
  <si>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</si>
  <si>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</si>
  <si>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</si>
  <si>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</si>
  <si>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</si>
  <si>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</si>
  <si>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</si>
  <si>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</si>
  <si>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</si>
  <si>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</si>
  <si>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</si>
  <si>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</si>
  <si>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</si>
  <si>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</si>
  <si>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TJ DaRenTang USD</t>
  </si>
  <si>
    <t>RH PetroGas</t>
  </si>
  <si>
    <t>China Aviation</t>
  </si>
  <si>
    <t>MarcoPolo Marine</t>
  </si>
  <si>
    <t>CSE Global</t>
  </si>
  <si>
    <t>Beng Kuang^</t>
  </si>
  <si>
    <t>Best World</t>
  </si>
  <si>
    <t>Haw Par</t>
  </si>
  <si>
    <t>TheHourGlass</t>
  </si>
  <si>
    <t>Delfi</t>
  </si>
  <si>
    <t>Yoma Strategic</t>
  </si>
  <si>
    <t>SIA Engineering</t>
  </si>
  <si>
    <t>Source: SGX.</t>
  </si>
  <si>
    <t>Straits Trading</t>
  </si>
  <si>
    <t>S20</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</si>
  <si>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</si>
  <si>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</si>
  <si>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</si>
  <si>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</si>
  <si>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Bumitama Agri</t>
  </si>
  <si>
    <t>P8Z</t>
  </si>
  <si>
    <t>Great Eastern</t>
  </si>
  <si>
    <t>G07</t>
  </si>
  <si>
    <t>5E2</t>
  </si>
  <si>
    <t>Japfa</t>
  </si>
  <si>
    <t>UD2</t>
  </si>
  <si>
    <t>https://www2.SGX.com/research-education/data-reports</t>
  </si>
  <si>
    <t>To sign up for daily market updates or for more information, please contact research@SGX.com.</t>
  </si>
  <si>
    <t>SGX.com/research</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</si>
  <si>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Investmentestment product. This document/material has been published for general circulation only. It   does not address the specific Investmentestment objectives, financial situation or particular needs of any person. Advice should be sought from a   financial adviser regarding the suitability of any Investmentestment product before Investmentesting or adopting any Investmentestment strategies. Use of and/or reliance on this document/material is entirely at the reader’s own risk. Investmentestment products are subject to significant Investmentestment risks, including the possible loss of the principal amount Investmentested.  Past  performance of  Investmentestment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</si>
  <si>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558</t>
  </si>
  <si>
    <t xml:space="preserve">Jardine Cycle &amp; Carriage </t>
  </si>
  <si>
    <t xml:space="preserve">Sembcorp Industries </t>
  </si>
  <si>
    <t xml:space="preserve">Genting Singapore </t>
  </si>
  <si>
    <t xml:space="preserve">CapitaLand Investment </t>
  </si>
  <si>
    <t xml:space="preserve">Wilmar International </t>
  </si>
  <si>
    <t>Valuetronics</t>
  </si>
  <si>
    <t>BN2</t>
  </si>
  <si>
    <t>CapitaLand Ascott Trust</t>
  </si>
  <si>
    <t xml:space="preserve">Sheng Siong Group </t>
  </si>
  <si>
    <t xml:space="preserve">Great Eastern  </t>
  </si>
  <si>
    <t>Mapletree Pan Asia Commercial Trust</t>
  </si>
  <si>
    <t>XZL</t>
  </si>
  <si>
    <t>Week of 8 July 2024</t>
  </si>
  <si>
    <t xml:space="preserve">Venture Corporation </t>
  </si>
  <si>
    <t xml:space="preserve">Keppel </t>
  </si>
  <si>
    <t xml:space="preserve">SIA </t>
  </si>
  <si>
    <t xml:space="preserve">Yangzijiang Shipbuilding  </t>
  </si>
  <si>
    <t xml:space="preserve">Samudera Shipping Line </t>
  </si>
  <si>
    <t>ARA HTrust USD</t>
  </si>
  <si>
    <t>ARA US Hospitality Trust</t>
  </si>
  <si>
    <t>Seatrium Ltd (from 7 May 2024)</t>
  </si>
  <si>
    <r>
      <t xml:space="preserve">Retail investors net </t>
    </r>
    <r>
      <rPr>
        <b/>
        <sz val="11"/>
        <rFont val="Arial"/>
        <family val="2"/>
      </rPr>
      <t>sell</t>
    </r>
    <r>
      <rPr>
        <sz val="11"/>
        <rFont val="Arial"/>
        <family val="2"/>
      </rPr>
      <t xml:space="preserve"> (-S$313.1m) vs. (-S$324.9m) a week ago</t>
    </r>
  </si>
  <si>
    <r>
      <t xml:space="preserve">Institutional investors net </t>
    </r>
    <r>
      <rPr>
        <b/>
        <sz val="11"/>
        <rFont val="Arial"/>
        <family val="2"/>
      </rPr>
      <t>buy</t>
    </r>
    <r>
      <rPr>
        <sz val="11"/>
        <rFont val="Arial"/>
        <family val="2"/>
      </rPr>
      <t xml:space="preserve"> (+S$180.6m) vs. (+S$233.2m)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</si>
</sst>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s>
  <fonts count="19"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2">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70" fontId="3" fillId="0" borderId="0" xfId="0" applyNumberFormat="1" applyFon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0" fontId="14" fillId="4" borderId="4" xfId="0" applyFont="1" applyFill="1" applyBorder="1" applyAlignment="1">
      <alignment vertical="center"/>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15" fontId="3" fillId="0" borderId="13" xfId="0" applyNumberFormat="1" applyFont="1" applyBorder="1" applyAlignment="1">
      <alignment horizontal="left" vertic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4" borderId="4" xfId="0" quotePrefix="1" applyNumberFormat="1" applyFont="1" applyFill="1" applyBorder="1" applyAlignment="1">
      <alignment horizontal="right"/>
    </xf>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26.453125" style="2" customWidth="1"/>
    <col min="8" max="8" width="13.7265625" style="2" customWidth="1"/>
    <col min="9" max="9" width="17" style="40" bestFit="1" customWidth="1"/>
    <col min="10" max="10" width="10.453125" style="2" bestFit="1" customWidth="1"/>
    <col min="11" max="11" width="9.453125" style="2"/>
    <col min="12" max="12" width="10.54296875" style="2" bestFit="1" customWidth="1"/>
    <col min="13" max="16384" width="9.453125" style="2"/>
  </cols>
  <sheetData>
    <row r="1" spans="1:13" x14ac:dyDescent="0.3">
      <c r="A1" s="1" t="s">
        <v>277</v>
      </c>
    </row>
    <row r="2" spans="1:13" x14ac:dyDescent="0.3">
      <c r="A2" s="73" t="s">
        <v>287</v>
      </c>
      <c r="I2" s="51"/>
    </row>
    <row r="3" spans="1:13" x14ac:dyDescent="0.3">
      <c r="A3" s="73" t="s">
        <v>286</v>
      </c>
      <c r="I3" s="51"/>
    </row>
    <row r="5" spans="1:13" ht="29.25" customHeight="1" x14ac:dyDescent="0.3">
      <c r="A5" s="3" t="s">
        <v>0</v>
      </c>
      <c r="B5" s="3" t="s">
        <v>1</v>
      </c>
      <c r="C5" s="4" t="s">
        <v>277</v>
      </c>
      <c r="D5" s="63" t="s">
        <v>2</v>
      </c>
      <c r="E5" s="63" t="s">
        <v>1</v>
      </c>
      <c r="F5" s="64" t="str">
        <f>+C5</f>
        <v>Week of 8 July 2024</v>
      </c>
    </row>
    <row r="6" spans="1:13" ht="14.5" x14ac:dyDescent="0.35">
      <c r="A6" s="34" t="s">
        <v>284</v>
      </c>
      <c r="B6" s="66" t="s">
        <v>276</v>
      </c>
      <c r="C6" s="78">
        <v>46.067533356589998</v>
      </c>
      <c r="D6" s="34" t="s">
        <v>280</v>
      </c>
      <c r="E6" s="66" t="s">
        <v>31</v>
      </c>
      <c r="F6" s="6">
        <v>-26.883237000000001</v>
      </c>
      <c r="K6" s="44"/>
      <c r="L6"/>
      <c r="M6"/>
    </row>
    <row r="7" spans="1:13" ht="14.5" x14ac:dyDescent="0.35">
      <c r="A7" s="35" t="s">
        <v>26</v>
      </c>
      <c r="B7" s="10" t="s">
        <v>21</v>
      </c>
      <c r="C7" s="8">
        <v>42.539132000000023</v>
      </c>
      <c r="D7" s="35" t="s">
        <v>265</v>
      </c>
      <c r="E7" s="10" t="s">
        <v>48</v>
      </c>
      <c r="F7" s="8">
        <v>-16.382549999999998</v>
      </c>
      <c r="K7" s="44"/>
      <c r="L7"/>
      <c r="M7"/>
    </row>
    <row r="8" spans="1:13" ht="14.5" x14ac:dyDescent="0.35">
      <c r="A8" s="36" t="s">
        <v>34</v>
      </c>
      <c r="B8" s="66" t="s">
        <v>30</v>
      </c>
      <c r="C8" s="6">
        <v>33.813274999999997</v>
      </c>
      <c r="D8" s="36" t="s">
        <v>269</v>
      </c>
      <c r="E8" s="66" t="s">
        <v>41</v>
      </c>
      <c r="F8" s="6">
        <v>-14.731498999999999</v>
      </c>
      <c r="K8" s="44"/>
      <c r="L8"/>
      <c r="M8"/>
    </row>
    <row r="9" spans="1:13" ht="14.5" x14ac:dyDescent="0.35">
      <c r="A9" s="35" t="s">
        <v>28</v>
      </c>
      <c r="B9" s="10" t="s">
        <v>23</v>
      </c>
      <c r="C9" s="8">
        <v>26.536535000000001</v>
      </c>
      <c r="D9" s="35" t="s">
        <v>266</v>
      </c>
      <c r="E9" s="10" t="s">
        <v>42</v>
      </c>
      <c r="F9" s="8">
        <v>-7.8895710000000001</v>
      </c>
      <c r="K9" s="44"/>
      <c r="L9"/>
      <c r="M9"/>
    </row>
    <row r="10" spans="1:13" ht="14.5" x14ac:dyDescent="0.35">
      <c r="A10" s="36" t="s">
        <v>49</v>
      </c>
      <c r="B10" s="66" t="s">
        <v>47</v>
      </c>
      <c r="C10" s="6">
        <v>22.923476100000009</v>
      </c>
      <c r="D10" s="36" t="s">
        <v>142</v>
      </c>
      <c r="E10" s="66" t="s">
        <v>257</v>
      </c>
      <c r="F10" s="6">
        <v>-7.3038610000000004</v>
      </c>
      <c r="K10" s="44"/>
      <c r="L10"/>
      <c r="M10"/>
    </row>
    <row r="11" spans="1:13" ht="14.5" x14ac:dyDescent="0.35">
      <c r="A11" s="35" t="s">
        <v>39</v>
      </c>
      <c r="B11" s="10" t="s">
        <v>37</v>
      </c>
      <c r="C11" s="8">
        <v>22.380621999999999</v>
      </c>
      <c r="D11" s="35" t="s">
        <v>79</v>
      </c>
      <c r="E11" s="10" t="s">
        <v>78</v>
      </c>
      <c r="F11" s="8">
        <v>-7.2311775000000003</v>
      </c>
      <c r="K11" s="44"/>
      <c r="L11"/>
      <c r="M11"/>
    </row>
    <row r="12" spans="1:13" ht="14.5" x14ac:dyDescent="0.35">
      <c r="A12" s="36" t="s">
        <v>29</v>
      </c>
      <c r="B12" s="66" t="s">
        <v>24</v>
      </c>
      <c r="C12" s="6">
        <v>13.732393999999999</v>
      </c>
      <c r="D12" s="36" t="s">
        <v>272</v>
      </c>
      <c r="E12" s="66" t="s">
        <v>91</v>
      </c>
      <c r="F12" s="6">
        <v>-6.6680659999999996</v>
      </c>
      <c r="K12" s="44"/>
      <c r="L12"/>
      <c r="M12"/>
    </row>
    <row r="13" spans="1:13" ht="14.5" x14ac:dyDescent="0.35">
      <c r="A13" s="35" t="s">
        <v>278</v>
      </c>
      <c r="B13" s="10" t="s">
        <v>43</v>
      </c>
      <c r="C13" s="8">
        <v>12.653218000000001</v>
      </c>
      <c r="D13" s="35" t="s">
        <v>279</v>
      </c>
      <c r="E13" s="10" t="s">
        <v>32</v>
      </c>
      <c r="F13" s="8">
        <v>-5.0134239999999997</v>
      </c>
      <c r="K13" s="44"/>
      <c r="L13"/>
      <c r="M13"/>
    </row>
    <row r="14" spans="1:13" ht="14.5" x14ac:dyDescent="0.35">
      <c r="A14" s="36" t="s">
        <v>281</v>
      </c>
      <c r="B14" s="66" t="s">
        <v>53</v>
      </c>
      <c r="C14" s="6">
        <v>11.185755800000001</v>
      </c>
      <c r="D14" s="36" t="s">
        <v>40</v>
      </c>
      <c r="E14" s="66" t="s">
        <v>38</v>
      </c>
      <c r="F14" s="6">
        <v>-4.8838489999999997</v>
      </c>
      <c r="K14" s="44"/>
      <c r="L14"/>
      <c r="M14"/>
    </row>
    <row r="15" spans="1:13" ht="14.5" x14ac:dyDescent="0.35">
      <c r="A15" s="37" t="s">
        <v>274</v>
      </c>
      <c r="B15" s="33" t="s">
        <v>256</v>
      </c>
      <c r="C15" s="9">
        <v>10.255087</v>
      </c>
      <c r="D15" s="37" t="s">
        <v>250</v>
      </c>
      <c r="E15" s="33" t="s">
        <v>108</v>
      </c>
      <c r="F15" s="9">
        <v>-2.76553</v>
      </c>
      <c r="K15" s="44"/>
      <c r="L15"/>
      <c r="M15"/>
    </row>
    <row r="16" spans="1:13" ht="15.5" x14ac:dyDescent="0.35">
      <c r="A16" s="10"/>
      <c r="B16" s="10"/>
      <c r="C16" s="10"/>
      <c r="D16" s="31"/>
      <c r="E16" s="10"/>
      <c r="F16" s="10"/>
    </row>
    <row r="17" spans="1:9" x14ac:dyDescent="0.3">
      <c r="A17" s="10"/>
      <c r="B17" s="10"/>
      <c r="C17" s="10"/>
      <c r="D17" s="10"/>
      <c r="E17" s="10"/>
      <c r="F17" s="10"/>
    </row>
    <row r="18" spans="1:9" ht="28.5" customHeight="1" x14ac:dyDescent="0.3">
      <c r="A18" s="39" t="s">
        <v>3</v>
      </c>
      <c r="B18" s="3" t="s">
        <v>1</v>
      </c>
      <c r="C18" s="4" t="str">
        <f>C5</f>
        <v>Week of 8 July 2024</v>
      </c>
      <c r="D18" s="65" t="s">
        <v>4</v>
      </c>
      <c r="E18" s="63" t="s">
        <v>1</v>
      </c>
      <c r="F18" s="64" t="str">
        <f>+C18</f>
        <v>Week of 8 July 2024</v>
      </c>
    </row>
    <row r="19" spans="1:9" x14ac:dyDescent="0.3">
      <c r="A19" s="60" t="s">
        <v>280</v>
      </c>
      <c r="B19" s="66" t="s">
        <v>31</v>
      </c>
      <c r="C19" s="6">
        <v>26.962104</v>
      </c>
      <c r="D19" s="34" t="s">
        <v>49</v>
      </c>
      <c r="E19" s="66" t="s">
        <v>47</v>
      </c>
      <c r="F19" s="6">
        <v>-55.579473700000001</v>
      </c>
      <c r="I19" s="2"/>
    </row>
    <row r="20" spans="1:9" x14ac:dyDescent="0.3">
      <c r="A20" s="35" t="s">
        <v>265</v>
      </c>
      <c r="B20" s="10" t="s">
        <v>48</v>
      </c>
      <c r="C20" s="8">
        <v>13.568187</v>
      </c>
      <c r="D20" s="35" t="s">
        <v>284</v>
      </c>
      <c r="E20" s="10" t="s">
        <v>276</v>
      </c>
      <c r="F20" s="8">
        <v>-46.067533356589998</v>
      </c>
      <c r="I20" s="2"/>
    </row>
    <row r="21" spans="1:9" x14ac:dyDescent="0.3">
      <c r="A21" s="36" t="s">
        <v>266</v>
      </c>
      <c r="B21" s="66" t="s">
        <v>42</v>
      </c>
      <c r="C21" s="6">
        <v>7.3702480000000001</v>
      </c>
      <c r="D21" s="36" t="s">
        <v>34</v>
      </c>
      <c r="E21" s="66" t="s">
        <v>30</v>
      </c>
      <c r="F21" s="6">
        <v>-36.044552000000003</v>
      </c>
      <c r="I21" s="2"/>
    </row>
    <row r="22" spans="1:9" x14ac:dyDescent="0.3">
      <c r="A22" s="35" t="s">
        <v>281</v>
      </c>
      <c r="B22" s="10" t="s">
        <v>53</v>
      </c>
      <c r="C22" s="8">
        <v>7.1196039999999998</v>
      </c>
      <c r="D22" s="35" t="s">
        <v>28</v>
      </c>
      <c r="E22" s="10" t="s">
        <v>23</v>
      </c>
      <c r="F22" s="8">
        <v>-31.405904</v>
      </c>
      <c r="I22" s="2"/>
    </row>
    <row r="23" spans="1:9" x14ac:dyDescent="0.3">
      <c r="A23" s="36" t="s">
        <v>142</v>
      </c>
      <c r="B23" s="66" t="s">
        <v>257</v>
      </c>
      <c r="C23" s="6">
        <v>6.5650919999999999</v>
      </c>
      <c r="D23" s="36" t="s">
        <v>77</v>
      </c>
      <c r="E23" s="66" t="s">
        <v>56</v>
      </c>
      <c r="F23" s="6">
        <v>-23.549320000000002</v>
      </c>
      <c r="I23" s="2"/>
    </row>
    <row r="24" spans="1:9" x14ac:dyDescent="0.3">
      <c r="A24" s="35" t="s">
        <v>282</v>
      </c>
      <c r="B24" s="10" t="s">
        <v>94</v>
      </c>
      <c r="C24" s="8">
        <v>4.0102080000000004</v>
      </c>
      <c r="D24" s="35" t="s">
        <v>39</v>
      </c>
      <c r="E24" s="10" t="s">
        <v>37</v>
      </c>
      <c r="F24" s="8">
        <v>-21.066717000000001</v>
      </c>
      <c r="I24" s="2"/>
    </row>
    <row r="25" spans="1:9" x14ac:dyDescent="0.3">
      <c r="A25" s="36" t="s">
        <v>267</v>
      </c>
      <c r="B25" s="66" t="s">
        <v>35</v>
      </c>
      <c r="C25" s="6">
        <v>3.9472844999999999</v>
      </c>
      <c r="D25" s="36" t="s">
        <v>278</v>
      </c>
      <c r="E25" s="66" t="s">
        <v>43</v>
      </c>
      <c r="F25" s="6">
        <v>-19.646174999999999</v>
      </c>
      <c r="I25" s="2"/>
    </row>
    <row r="26" spans="1:9" x14ac:dyDescent="0.3">
      <c r="A26" s="35" t="s">
        <v>272</v>
      </c>
      <c r="B26" s="10" t="s">
        <v>91</v>
      </c>
      <c r="C26" s="8">
        <v>3.6687799999999999</v>
      </c>
      <c r="D26" s="35" t="s">
        <v>29</v>
      </c>
      <c r="E26" s="10" t="s">
        <v>24</v>
      </c>
      <c r="F26" s="8">
        <v>-18.312172</v>
      </c>
      <c r="I26" s="2"/>
    </row>
    <row r="27" spans="1:9" x14ac:dyDescent="0.3">
      <c r="A27" s="36" t="s">
        <v>251</v>
      </c>
      <c r="B27" s="66" t="s">
        <v>252</v>
      </c>
      <c r="C27" s="6">
        <v>2.6526901999999999</v>
      </c>
      <c r="D27" s="36" t="s">
        <v>268</v>
      </c>
      <c r="E27" s="66" t="s">
        <v>83</v>
      </c>
      <c r="F27" s="6">
        <v>-17.843505</v>
      </c>
      <c r="I27" s="2"/>
    </row>
    <row r="28" spans="1:9" x14ac:dyDescent="0.3">
      <c r="A28" s="37" t="s">
        <v>273</v>
      </c>
      <c r="B28" s="33" t="s">
        <v>90</v>
      </c>
      <c r="C28" s="9">
        <v>2.379216</v>
      </c>
      <c r="D28" s="37" t="s">
        <v>26</v>
      </c>
      <c r="E28" s="33" t="s">
        <v>21</v>
      </c>
      <c r="F28" s="9">
        <v>-14.013724</v>
      </c>
      <c r="I28" s="2"/>
    </row>
    <row r="29" spans="1:9" x14ac:dyDescent="0.3">
      <c r="A29" s="10"/>
      <c r="B29" s="10"/>
      <c r="C29" s="10"/>
      <c r="D29" s="10"/>
      <c r="E29" s="10"/>
      <c r="F29" s="10"/>
    </row>
    <row r="30" spans="1:9" ht="14.5" x14ac:dyDescent="0.35">
      <c r="A30" s="11" t="s">
        <v>246</v>
      </c>
      <c r="B30" s="11"/>
      <c r="C30" s="10"/>
      <c r="D30" s="10"/>
      <c r="E30" s="10"/>
      <c r="F30" s="10"/>
    </row>
    <row r="31" spans="1:9" ht="14.5" x14ac:dyDescent="0.35">
      <c r="A31" s="11" t="s">
        <v>80</v>
      </c>
      <c r="B31" s="11"/>
      <c r="C31" s="10"/>
      <c r="D31" s="10"/>
      <c r="E31" s="10"/>
      <c r="F31" s="10"/>
    </row>
    <row r="32" spans="1:9" ht="14.5" x14ac:dyDescent="0.35">
      <c r="A32" s="11" t="s">
        <v>249</v>
      </c>
      <c r="B32" s="11"/>
      <c r="C32" s="10"/>
      <c r="D32" s="10"/>
      <c r="E32" s="10"/>
      <c r="F32" s="10"/>
    </row>
    <row r="33" spans="1:9" ht="14.5" x14ac:dyDescent="0.35">
      <c r="A33" s="11" t="s">
        <v>6</v>
      </c>
      <c r="B33" s="11"/>
      <c r="C33" s="10"/>
      <c r="D33" s="10"/>
      <c r="E33" s="10"/>
      <c r="F33" s="10"/>
    </row>
    <row r="34" spans="1:9" ht="14.5" x14ac:dyDescent="0.35">
      <c r="A34" s="11" t="s">
        <v>260</v>
      </c>
      <c r="B34" s="11"/>
      <c r="C34" s="10"/>
      <c r="D34" s="10"/>
      <c r="E34" s="10"/>
      <c r="F34" s="10"/>
      <c r="G34" s="70"/>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3" t="s">
        <v>68</v>
      </c>
      <c r="B37" s="24"/>
      <c r="C37" s="25"/>
      <c r="D37" s="25"/>
      <c r="E37" s="24"/>
      <c r="F37" s="24"/>
      <c r="I37" s="38"/>
    </row>
    <row r="38" spans="1:9" customFormat="1" ht="14.5" x14ac:dyDescent="0.35">
      <c r="A38" s="26" t="s">
        <v>261</v>
      </c>
      <c r="B38" s="24"/>
      <c r="C38" s="25"/>
      <c r="D38" s="25"/>
      <c r="E38" s="24"/>
      <c r="F38" s="24"/>
      <c r="I38" s="38"/>
    </row>
    <row r="39" spans="1:9" s="30" customFormat="1" ht="19.399999999999999" customHeight="1" x14ac:dyDescent="0.35">
      <c r="A39" s="27" t="s">
        <v>262</v>
      </c>
      <c r="B39" s="28"/>
      <c r="C39" s="29"/>
      <c r="D39" s="29"/>
      <c r="E39" s="28"/>
      <c r="F39" s="28"/>
      <c r="I39" s="41"/>
    </row>
    <row r="40" spans="1:9" ht="169.4" customHeight="1" x14ac:dyDescent="0.3">
      <c r="A40" s="84" t="s">
        <v>263</v>
      </c>
      <c r="B40" s="84"/>
      <c r="C40" s="84"/>
      <c r="D40" s="84"/>
      <c r="E40" s="84"/>
      <c r="F40" s="84"/>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E10 B2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81640625" style="2" bestFit="1" customWidth="1"/>
    <col min="11" max="11" width="7.54296875" style="2" bestFit="1" customWidth="1"/>
    <col min="12" max="12" width="13.81640625" style="2" customWidth="1"/>
    <col min="13" max="13" width="7.81640625" style="2" customWidth="1"/>
    <col min="14" max="14" width="8.54296875" style="2" customWidth="1"/>
    <col min="15" max="16384" width="9.453125" style="2"/>
  </cols>
  <sheetData>
    <row r="1" spans="1:15" ht="17.25" customHeight="1" x14ac:dyDescent="0.3">
      <c r="A1" s="85" t="s">
        <v>7</v>
      </c>
      <c r="B1" s="13"/>
      <c r="C1" s="87" t="s">
        <v>8</v>
      </c>
      <c r="D1" s="88"/>
      <c r="E1" s="88"/>
      <c r="F1" s="88"/>
      <c r="G1" s="88"/>
      <c r="H1" s="88"/>
      <c r="I1" s="88"/>
      <c r="J1" s="88"/>
      <c r="K1" s="88"/>
      <c r="L1" s="88"/>
      <c r="M1" s="88"/>
      <c r="N1" s="89"/>
    </row>
    <row r="2" spans="1:15" ht="60" customHeight="1" x14ac:dyDescent="0.3">
      <c r="A2" s="86"/>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3">
      <c r="A3" s="45">
        <v>-121.93686918721993</v>
      </c>
      <c r="B3" s="75">
        <v>45460</v>
      </c>
      <c r="C3" s="15">
        <v>24.139443783599997</v>
      </c>
      <c r="D3" s="15">
        <v>5.2030824966999996</v>
      </c>
      <c r="E3" s="15">
        <v>0.25408929999999996</v>
      </c>
      <c r="F3" s="15">
        <v>-68.483769600000002</v>
      </c>
      <c r="G3" s="15">
        <v>-2.3365619793000003</v>
      </c>
      <c r="H3" s="15">
        <v>-77.576379505929907</v>
      </c>
      <c r="I3" s="15">
        <v>2.1944595999999996</v>
      </c>
      <c r="J3" s="15">
        <v>-10.1885239459</v>
      </c>
      <c r="K3" s="15">
        <v>-47.110491036390009</v>
      </c>
      <c r="L3" s="15">
        <v>11.151593300000002</v>
      </c>
      <c r="M3" s="15">
        <v>35.680075500000001</v>
      </c>
      <c r="N3" s="15">
        <v>5.1361129000000005</v>
      </c>
    </row>
    <row r="4" spans="1:15" x14ac:dyDescent="0.3">
      <c r="A4" s="45">
        <v>-117.26344911964009</v>
      </c>
      <c r="B4" s="12">
        <v>45467</v>
      </c>
      <c r="C4" s="74">
        <v>-29.144275539270005</v>
      </c>
      <c r="D4" s="74">
        <v>-26.184556056600002</v>
      </c>
      <c r="E4" s="74">
        <v>-0.87871569999999977</v>
      </c>
      <c r="F4" s="74">
        <v>-56.189728200000033</v>
      </c>
      <c r="G4" s="74">
        <v>-4.6159646699999994</v>
      </c>
      <c r="H4" s="74">
        <v>-23.032223120730016</v>
      </c>
      <c r="I4" s="74">
        <v>-0.96738109999999988</v>
      </c>
      <c r="J4" s="74">
        <v>-2.0954642135000023</v>
      </c>
      <c r="K4" s="74">
        <v>-33.756216419539996</v>
      </c>
      <c r="L4" s="74">
        <v>7.4059911000000005</v>
      </c>
      <c r="M4" s="74">
        <v>80.419705900000011</v>
      </c>
      <c r="N4" s="74">
        <v>-28.2246211</v>
      </c>
    </row>
    <row r="5" spans="1:15" x14ac:dyDescent="0.3">
      <c r="A5" s="45">
        <v>233.18360833938002</v>
      </c>
      <c r="B5" s="75">
        <v>45474</v>
      </c>
      <c r="C5" s="15">
        <v>-39.050590125900001</v>
      </c>
      <c r="D5" s="15">
        <v>-19.179637712000002</v>
      </c>
      <c r="E5" s="15">
        <v>1.0257879000000003</v>
      </c>
      <c r="F5" s="15">
        <v>223.68827739999998</v>
      </c>
      <c r="G5" s="15">
        <v>-1.4899783762000001</v>
      </c>
      <c r="H5" s="15">
        <v>17.332954804880004</v>
      </c>
      <c r="I5" s="15">
        <v>-0.2599108</v>
      </c>
      <c r="J5" s="15">
        <v>9.3204062747999998</v>
      </c>
      <c r="K5" s="15">
        <v>-22.983856626200001</v>
      </c>
      <c r="L5" s="15">
        <v>9.9523589000000019</v>
      </c>
      <c r="M5" s="15">
        <v>69.969411300000004</v>
      </c>
      <c r="N5" s="15">
        <v>-15.1416146</v>
      </c>
    </row>
    <row r="6" spans="1:15" ht="14.5" x14ac:dyDescent="0.35">
      <c r="A6" s="45">
        <f>SUM(C6:N6)</f>
        <v>180.62344384006002</v>
      </c>
      <c r="B6" s="12">
        <v>45481</v>
      </c>
      <c r="C6" s="79">
        <v>-18.005229375479999</v>
      </c>
      <c r="D6" s="79">
        <v>-6.4606672263000018</v>
      </c>
      <c r="E6" s="79">
        <v>3.8219747999999991</v>
      </c>
      <c r="F6" s="79">
        <v>105.20452770000003</v>
      </c>
      <c r="G6" s="79">
        <v>-0.10897505390000001</v>
      </c>
      <c r="H6" s="79">
        <v>32.840824945749986</v>
      </c>
      <c r="I6" s="79">
        <v>-1.6130830000000003</v>
      </c>
      <c r="J6" s="79">
        <v>0.12251599239999866</v>
      </c>
      <c r="K6" s="79">
        <v>34.770520057589998</v>
      </c>
      <c r="L6" s="79">
        <v>17.780223599999999</v>
      </c>
      <c r="M6" s="79">
        <v>20.155107000000008</v>
      </c>
      <c r="N6" s="79">
        <v>-7.8842955999999997</v>
      </c>
      <c r="O6"/>
    </row>
    <row r="7" spans="1:15" ht="14.5" x14ac:dyDescent="0.35">
      <c r="A7" s="72"/>
      <c r="B7" s="59"/>
      <c r="C7" s="76"/>
      <c r="D7" s="76"/>
      <c r="E7" s="76"/>
      <c r="F7" s="76"/>
      <c r="G7" s="76"/>
      <c r="H7" s="76"/>
      <c r="I7" s="76"/>
      <c r="J7" s="76"/>
      <c r="K7" s="76"/>
      <c r="L7" s="76"/>
      <c r="M7" s="76"/>
      <c r="N7" s="76"/>
    </row>
    <row r="8" spans="1:15" ht="14.5" x14ac:dyDescent="0.35">
      <c r="B8" s="11" t="s">
        <v>5</v>
      </c>
      <c r="C8" s="11"/>
      <c r="D8" s="11"/>
    </row>
    <row r="9" spans="1:15" ht="14.5" x14ac:dyDescent="0.35">
      <c r="B9" s="11" t="s">
        <v>80</v>
      </c>
      <c r="C9" s="11"/>
      <c r="D9" s="11"/>
    </row>
    <row r="10" spans="1:15" ht="14.5" x14ac:dyDescent="0.35">
      <c r="B10" s="11" t="s">
        <v>6</v>
      </c>
      <c r="C10" s="11"/>
      <c r="D10" s="11"/>
    </row>
    <row r="11" spans="1:15" ht="14.5" x14ac:dyDescent="0.35">
      <c r="B11" s="11" t="s">
        <v>73</v>
      </c>
      <c r="C11" s="12"/>
      <c r="D11" s="12"/>
    </row>
    <row r="12" spans="1:15" ht="14.5" x14ac:dyDescent="0.35">
      <c r="B12"/>
    </row>
    <row r="13" spans="1:15" ht="14.5" x14ac:dyDescent="0.35">
      <c r="C13" s="71"/>
      <c r="D13" s="71"/>
      <c r="E13" s="71"/>
      <c r="F13" s="71"/>
      <c r="G13" s="71"/>
      <c r="H13" s="71"/>
      <c r="I13" s="71"/>
      <c r="J13" s="71"/>
      <c r="K13" s="71"/>
      <c r="L13" s="71"/>
      <c r="M13" s="71"/>
      <c r="N13" s="71"/>
    </row>
    <row r="14" spans="1:15" ht="14.5" x14ac:dyDescent="0.35">
      <c r="B14" s="50"/>
      <c r="C14" s="50"/>
      <c r="D14" s="50"/>
      <c r="E14" s="50"/>
      <c r="F14" s="50"/>
      <c r="G14" s="50"/>
      <c r="H14" s="50"/>
      <c r="I14" s="50"/>
      <c r="J14" s="50"/>
      <c r="K14" s="50"/>
      <c r="L14" s="50"/>
      <c r="M14" s="50"/>
      <c r="N14"/>
      <c r="O14" s="43"/>
    </row>
    <row r="15" spans="1:15" ht="14.5" x14ac:dyDescent="0.35">
      <c r="C15" s="50"/>
      <c r="D15" s="50"/>
      <c r="E15" s="50"/>
      <c r="F15" s="50"/>
      <c r="G15" s="50"/>
      <c r="H15" s="50"/>
      <c r="I15" s="50"/>
      <c r="J15" s="50"/>
      <c r="K15" s="50"/>
      <c r="L15" s="50"/>
      <c r="M15" s="50"/>
      <c r="N15" s="50"/>
      <c r="O15" s="50"/>
    </row>
    <row r="16" spans="1:15" ht="14.5" x14ac:dyDescent="0.35">
      <c r="C16" s="43"/>
      <c r="D16" s="43"/>
      <c r="E16" s="43"/>
      <c r="F16" s="43"/>
      <c r="G16" s="43"/>
      <c r="H16" s="43"/>
      <c r="I16" s="43"/>
      <c r="J16" s="43"/>
      <c r="K16" s="43"/>
      <c r="L16" s="43"/>
      <c r="M16" s="43"/>
      <c r="N16" s="43"/>
      <c r="O16" s="43"/>
    </row>
    <row r="17" spans="3:15" ht="14.5" x14ac:dyDescent="0.35">
      <c r="C17" s="42"/>
      <c r="D17" s="42"/>
      <c r="E17" s="42"/>
      <c r="F17" s="42"/>
      <c r="G17" s="42"/>
      <c r="H17" s="42"/>
      <c r="I17" s="42"/>
      <c r="J17" s="42"/>
      <c r="K17" s="42"/>
      <c r="L17" s="42"/>
      <c r="M17" s="42"/>
      <c r="N17" s="42"/>
      <c r="O17" s="42"/>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53125" defaultRowHeight="14" x14ac:dyDescent="0.3"/>
  <cols>
    <col min="1" max="1" width="9.36328125" style="2" customWidth="1"/>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0" width="7.81640625" style="2" bestFit="1" customWidth="1"/>
    <col min="11" max="11" width="7.1796875" style="2" bestFit="1" customWidth="1"/>
    <col min="12" max="12" width="13.81640625" style="2" customWidth="1"/>
    <col min="13" max="13" width="7.81640625" style="2" bestFit="1" customWidth="1"/>
    <col min="14" max="14" width="8.54296875" style="2" bestFit="1" customWidth="1"/>
    <col min="15" max="16384" width="9.453125" style="2"/>
  </cols>
  <sheetData>
    <row r="1" spans="1:18" ht="17.25" customHeight="1" x14ac:dyDescent="0.3">
      <c r="A1" s="85" t="s">
        <v>7</v>
      </c>
      <c r="B1" s="13"/>
      <c r="C1" s="87" t="s">
        <v>8</v>
      </c>
      <c r="D1" s="88"/>
      <c r="E1" s="88"/>
      <c r="F1" s="88"/>
      <c r="G1" s="88"/>
      <c r="H1" s="88"/>
      <c r="I1" s="88"/>
      <c r="J1" s="88"/>
      <c r="K1" s="88"/>
      <c r="L1" s="88"/>
      <c r="M1" s="88"/>
      <c r="N1" s="89"/>
    </row>
    <row r="2" spans="1:18" ht="56" x14ac:dyDescent="0.3">
      <c r="A2" s="86"/>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3">
      <c r="A3" s="68">
        <v>71.916294767039972</v>
      </c>
      <c r="B3" s="67">
        <v>45460</v>
      </c>
      <c r="C3" s="58">
        <v>-29.725481190199996</v>
      </c>
      <c r="D3" s="58">
        <v>4.3831815075999998</v>
      </c>
      <c r="E3" s="58">
        <v>-4.3690449000000005</v>
      </c>
      <c r="F3" s="58">
        <v>22.495589400000007</v>
      </c>
      <c r="G3" s="58">
        <v>1.1455067937999999</v>
      </c>
      <c r="H3" s="58">
        <v>78.454997628449959</v>
      </c>
      <c r="I3" s="58">
        <v>-1.0884749999999999</v>
      </c>
      <c r="J3" s="58">
        <v>12.333689480100002</v>
      </c>
      <c r="K3" s="58">
        <v>42.82918384728999</v>
      </c>
      <c r="L3" s="58">
        <v>-13.937927099999998</v>
      </c>
      <c r="M3" s="58">
        <v>-37.6492711</v>
      </c>
      <c r="N3" s="58">
        <v>-2.9556545999999999</v>
      </c>
      <c r="P3" s="14"/>
    </row>
    <row r="4" spans="1:18" x14ac:dyDescent="0.3">
      <c r="A4" s="68">
        <v>-92.490112603250012</v>
      </c>
      <c r="B4" s="69">
        <v>45467</v>
      </c>
      <c r="C4" s="52">
        <v>36.512791460370003</v>
      </c>
      <c r="D4" s="52">
        <v>16.313744207300001</v>
      </c>
      <c r="E4" s="52">
        <v>2.0702863999999992</v>
      </c>
      <c r="F4" s="52">
        <v>-153.72309229999999</v>
      </c>
      <c r="G4" s="52">
        <v>6.2370899500999988</v>
      </c>
      <c r="H4" s="52">
        <v>6.7529405089299885</v>
      </c>
      <c r="I4" s="52">
        <v>0.91710700000000012</v>
      </c>
      <c r="J4" s="52">
        <v>6.6867620061000004</v>
      </c>
      <c r="K4" s="52">
        <v>34.748151763949991</v>
      </c>
      <c r="L4" s="52">
        <v>-7.0777466999999996</v>
      </c>
      <c r="M4" s="52">
        <v>-69.19573059999999</v>
      </c>
      <c r="N4" s="52">
        <v>27.267583699999999</v>
      </c>
      <c r="P4" s="14"/>
    </row>
    <row r="5" spans="1:18" x14ac:dyDescent="0.3">
      <c r="A5" s="68">
        <v>-324.94196155318002</v>
      </c>
      <c r="B5" s="67">
        <v>45474</v>
      </c>
      <c r="C5" s="58">
        <v>39.479257665010017</v>
      </c>
      <c r="D5" s="58">
        <v>16.977363634900001</v>
      </c>
      <c r="E5" s="58">
        <v>-4.0075597000000007</v>
      </c>
      <c r="F5" s="58">
        <v>-309.2464956</v>
      </c>
      <c r="G5" s="58">
        <v>-0.17209156910000009</v>
      </c>
      <c r="H5" s="58">
        <v>-9.223655250869994</v>
      </c>
      <c r="I5" s="58">
        <v>0.26327050000000007</v>
      </c>
      <c r="J5" s="58">
        <v>-8.7355905507000013</v>
      </c>
      <c r="K5" s="58">
        <v>16.906902717580003</v>
      </c>
      <c r="L5" s="58">
        <v>-18.177889700000001</v>
      </c>
      <c r="M5" s="58">
        <v>-63.809434300000014</v>
      </c>
      <c r="N5" s="58">
        <v>14.8039606</v>
      </c>
      <c r="P5" s="14"/>
    </row>
    <row r="6" spans="1:18" x14ac:dyDescent="0.3">
      <c r="A6" s="68">
        <f t="shared" ref="A6" si="0">SUM(C6:N6)</f>
        <v>-313.06245604459002</v>
      </c>
      <c r="B6" s="69">
        <v>45481</v>
      </c>
      <c r="C6" s="79">
        <v>18.201958888039993</v>
      </c>
      <c r="D6" s="79">
        <v>-2.7976339393000007</v>
      </c>
      <c r="E6" s="79">
        <v>-0.60502580000000017</v>
      </c>
      <c r="F6" s="79">
        <v>-106.87333580000001</v>
      </c>
      <c r="G6" s="79">
        <v>-3.1466437650000008</v>
      </c>
      <c r="H6" s="79">
        <v>-19.652169246119982</v>
      </c>
      <c r="I6" s="79">
        <v>1.7655106000000003</v>
      </c>
      <c r="J6" s="79">
        <v>-8.1520864806999995</v>
      </c>
      <c r="K6" s="79">
        <v>-123.01571280151001</v>
      </c>
      <c r="L6" s="79">
        <v>-22.0061827</v>
      </c>
      <c r="M6" s="79">
        <v>-54.149960300000004</v>
      </c>
      <c r="N6" s="79">
        <v>7.3688253000000001</v>
      </c>
      <c r="P6" s="14"/>
    </row>
    <row r="7" spans="1:18" ht="14.5" x14ac:dyDescent="0.35">
      <c r="A7" s="72"/>
      <c r="B7" s="53"/>
      <c r="C7" s="76"/>
      <c r="D7" s="76"/>
      <c r="E7" s="76"/>
      <c r="F7" s="76"/>
      <c r="G7" s="76"/>
      <c r="H7" s="76"/>
      <c r="I7" s="76"/>
      <c r="J7" s="76"/>
      <c r="K7" s="76"/>
      <c r="L7" s="76"/>
      <c r="M7" s="76"/>
      <c r="N7" s="76"/>
      <c r="P7" s="14"/>
    </row>
    <row r="8" spans="1:18" ht="14.5" x14ac:dyDescent="0.35">
      <c r="B8" s="11" t="s">
        <v>5</v>
      </c>
      <c r="C8" s="11"/>
      <c r="D8" s="11"/>
    </row>
    <row r="9" spans="1:18" ht="14.5" x14ac:dyDescent="0.35">
      <c r="B9" s="11" t="s">
        <v>82</v>
      </c>
      <c r="C9" s="11"/>
      <c r="D9" s="11"/>
    </row>
    <row r="10" spans="1:18" ht="14.5" x14ac:dyDescent="0.35">
      <c r="B10" s="11" t="s">
        <v>6</v>
      </c>
      <c r="C10" s="11"/>
      <c r="D10" s="11"/>
    </row>
    <row r="11" spans="1:18" ht="14.5" x14ac:dyDescent="0.35">
      <c r="B11" s="11" t="s">
        <v>73</v>
      </c>
      <c r="C11" s="12"/>
      <c r="D11" s="12"/>
    </row>
    <row r="12" spans="1:18" ht="14.5" x14ac:dyDescent="0.35">
      <c r="C12" s="50"/>
      <c r="D12" s="50"/>
      <c r="E12" s="50"/>
      <c r="F12" s="50"/>
      <c r="G12" s="50"/>
      <c r="H12" s="50"/>
      <c r="I12" s="50"/>
      <c r="J12" s="50"/>
      <c r="K12" s="50"/>
      <c r="L12" s="50"/>
      <c r="M12" s="50"/>
      <c r="N12" s="50"/>
    </row>
    <row r="13" spans="1:18" ht="14.5" x14ac:dyDescent="0.35">
      <c r="B13"/>
      <c r="C13" s="50"/>
      <c r="D13" s="50"/>
      <c r="E13" s="50"/>
      <c r="F13" s="50"/>
      <c r="G13" s="50"/>
      <c r="H13" s="50"/>
      <c r="I13" s="50"/>
      <c r="J13" s="50"/>
      <c r="K13" s="50"/>
      <c r="L13" s="50"/>
      <c r="M13" s="50"/>
      <c r="N13" s="50"/>
      <c r="O13" s="43"/>
      <c r="P13"/>
      <c r="Q13"/>
      <c r="R13"/>
    </row>
    <row r="14" spans="1:18" ht="14.5" x14ac:dyDescent="0.35">
      <c r="B14"/>
      <c r="C14"/>
      <c r="D14"/>
      <c r="E14"/>
      <c r="F14"/>
      <c r="G14"/>
      <c r="H14"/>
      <c r="I14"/>
      <c r="J14"/>
      <c r="K14"/>
      <c r="L14"/>
      <c r="M14"/>
      <c r="N14"/>
      <c r="O14"/>
      <c r="P14"/>
      <c r="Q14"/>
      <c r="R14"/>
    </row>
    <row r="15" spans="1:18" ht="14.5" x14ac:dyDescent="0.35">
      <c r="C15" s="50"/>
      <c r="D15" s="50"/>
      <c r="E15" s="50"/>
      <c r="F15" s="50"/>
      <c r="G15" s="50"/>
      <c r="H15" s="50"/>
      <c r="I15" s="50"/>
      <c r="J15" s="50"/>
      <c r="K15" s="50"/>
      <c r="L15" s="50"/>
      <c r="M15" s="50"/>
      <c r="N15" s="50"/>
      <c r="O15"/>
    </row>
    <row r="16" spans="1:18" ht="14.5" x14ac:dyDescent="0.35">
      <c r="C16" s="42"/>
      <c r="D16" s="42"/>
      <c r="E16" s="42"/>
      <c r="F16" s="42"/>
      <c r="G16" s="42"/>
      <c r="H16" s="42"/>
      <c r="I16" s="42"/>
      <c r="J16" s="42"/>
      <c r="K16" s="42"/>
      <c r="L16" s="42"/>
      <c r="M16" s="42"/>
      <c r="N16" s="42"/>
    </row>
    <row r="17" spans="3:14" ht="14.5" x14ac:dyDescent="0.35">
      <c r="C17"/>
      <c r="D17"/>
      <c r="E17"/>
      <c r="F17"/>
      <c r="G17"/>
      <c r="H17"/>
      <c r="I17"/>
      <c r="J17"/>
      <c r="K17"/>
      <c r="L17"/>
      <c r="M17"/>
      <c r="N17"/>
    </row>
    <row r="18" spans="3:14" ht="14.5" x14ac:dyDescent="0.35">
      <c r="C18" s="43"/>
      <c r="D18" s="43"/>
      <c r="E18" s="43"/>
      <c r="F18" s="43"/>
      <c r="G18" s="43"/>
      <c r="H18" s="43"/>
      <c r="I18" s="43"/>
      <c r="J18" s="43"/>
      <c r="K18" s="43"/>
      <c r="L18" s="43"/>
      <c r="M18" s="43"/>
      <c r="N18" s="43"/>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 min="6" max="6" width="38" customWidth="1"/>
    <col min="7" max="7" width="9.36328125" customWidth="1"/>
    <col min="12" max="12" width="16" customWidth="1"/>
  </cols>
  <sheetData>
    <row r="1" spans="1:5" ht="56" x14ac:dyDescent="0.35">
      <c r="A1" s="32" t="str">
        <f>CONCATENATE("STI Constituents - ",'Weekly Top 10'!$C$5)</f>
        <v>STI Constituents - Week of 8 July 2024</v>
      </c>
      <c r="B1" s="16" t="s">
        <v>1</v>
      </c>
      <c r="C1" s="17" t="s">
        <v>71</v>
      </c>
      <c r="D1" s="17" t="s">
        <v>72</v>
      </c>
    </row>
    <row r="2" spans="1:5" x14ac:dyDescent="0.35">
      <c r="A2" s="18" t="s">
        <v>87</v>
      </c>
      <c r="B2" s="19" t="s">
        <v>25</v>
      </c>
      <c r="C2" s="20">
        <v>-0.98697800000000002</v>
      </c>
      <c r="D2" s="20">
        <v>-12.355975000000001</v>
      </c>
      <c r="E2" s="38"/>
    </row>
    <row r="3" spans="1:5" x14ac:dyDescent="0.35">
      <c r="A3" s="21" t="s">
        <v>77</v>
      </c>
      <c r="B3" s="22" t="s">
        <v>56</v>
      </c>
      <c r="C3" s="8">
        <v>6.8764409999999998</v>
      </c>
      <c r="D3" s="8">
        <v>-23.549320000000002</v>
      </c>
      <c r="E3" s="38"/>
    </row>
    <row r="4" spans="1:5" x14ac:dyDescent="0.35">
      <c r="A4" s="5" t="s">
        <v>84</v>
      </c>
      <c r="B4" s="7" t="s">
        <v>83</v>
      </c>
      <c r="C4" s="6">
        <v>8.0819080000000003</v>
      </c>
      <c r="D4" s="6">
        <v>-17.843505</v>
      </c>
      <c r="E4" s="38"/>
    </row>
    <row r="5" spans="1:5" x14ac:dyDescent="0.35">
      <c r="A5" s="21" t="s">
        <v>63</v>
      </c>
      <c r="B5" s="22" t="s">
        <v>54</v>
      </c>
      <c r="C5" s="8">
        <v>0.55446099999999998</v>
      </c>
      <c r="D5" s="8">
        <v>-5.3362290000000003</v>
      </c>
      <c r="E5" s="38"/>
    </row>
    <row r="6" spans="1:5" x14ac:dyDescent="0.35">
      <c r="A6" s="5" t="s">
        <v>26</v>
      </c>
      <c r="B6" s="7" t="s">
        <v>21</v>
      </c>
      <c r="C6" s="6">
        <v>42.539132000000023</v>
      </c>
      <c r="D6" s="6">
        <v>-14.013724</v>
      </c>
      <c r="E6" s="38"/>
    </row>
    <row r="7" spans="1:5" x14ac:dyDescent="0.35">
      <c r="A7" s="21" t="s">
        <v>85</v>
      </c>
      <c r="B7" s="22" t="s">
        <v>57</v>
      </c>
      <c r="C7" s="8">
        <v>-0.91095872630000041</v>
      </c>
      <c r="D7" s="8">
        <v>0.8354410606999999</v>
      </c>
      <c r="E7" s="38"/>
    </row>
    <row r="8" spans="1:5" x14ac:dyDescent="0.35">
      <c r="A8" s="5" t="s">
        <v>250</v>
      </c>
      <c r="B8" s="7" t="s">
        <v>108</v>
      </c>
      <c r="C8" s="6">
        <v>-2.76553</v>
      </c>
      <c r="D8" s="6">
        <v>-1.6473249999999999</v>
      </c>
      <c r="E8" s="38"/>
    </row>
    <row r="9" spans="1:5" x14ac:dyDescent="0.35">
      <c r="A9" s="21" t="s">
        <v>79</v>
      </c>
      <c r="B9" s="22" t="s">
        <v>78</v>
      </c>
      <c r="C9" s="8">
        <v>-7.2311775000000003</v>
      </c>
      <c r="D9" s="8">
        <v>-1.7768065</v>
      </c>
      <c r="E9" s="38"/>
    </row>
    <row r="10" spans="1:5" x14ac:dyDescent="0.35">
      <c r="A10" s="5" t="s">
        <v>36</v>
      </c>
      <c r="B10" s="7" t="s">
        <v>35</v>
      </c>
      <c r="C10" s="6">
        <v>-0.56138549999999998</v>
      </c>
      <c r="D10" s="6">
        <v>3.9472844999999999</v>
      </c>
      <c r="E10" s="38"/>
    </row>
    <row r="11" spans="1:5" x14ac:dyDescent="0.35">
      <c r="A11" s="21" t="s">
        <v>64</v>
      </c>
      <c r="B11" s="22" t="s">
        <v>55</v>
      </c>
      <c r="C11" s="8">
        <v>-2.3644696076000011</v>
      </c>
      <c r="D11" s="8">
        <v>-1.5003701807000001</v>
      </c>
      <c r="E11" s="38"/>
    </row>
    <row r="12" spans="1:5" x14ac:dyDescent="0.35">
      <c r="A12" s="5" t="s">
        <v>50</v>
      </c>
      <c r="B12" s="7" t="s">
        <v>48</v>
      </c>
      <c r="C12" s="6">
        <v>-16.382549999999998</v>
      </c>
      <c r="D12" s="6">
        <v>13.568187</v>
      </c>
      <c r="E12" s="38"/>
    </row>
    <row r="13" spans="1:5" x14ac:dyDescent="0.35">
      <c r="A13" s="21" t="s">
        <v>62</v>
      </c>
      <c r="B13" s="22" t="s">
        <v>52</v>
      </c>
      <c r="C13" s="8">
        <v>-1.631106297499999</v>
      </c>
      <c r="D13" s="8">
        <v>-2.7696148751999998</v>
      </c>
      <c r="E13" s="38"/>
    </row>
    <row r="14" spans="1:5" x14ac:dyDescent="0.35">
      <c r="A14" s="5" t="s">
        <v>148</v>
      </c>
      <c r="B14" s="7" t="s">
        <v>32</v>
      </c>
      <c r="C14" s="6">
        <v>-5.0134239999999997</v>
      </c>
      <c r="D14" s="6">
        <v>-1.801445</v>
      </c>
      <c r="E14" s="38"/>
    </row>
    <row r="15" spans="1:5" x14ac:dyDescent="0.35">
      <c r="A15" s="21" t="s">
        <v>75</v>
      </c>
      <c r="B15" s="22" t="s">
        <v>74</v>
      </c>
      <c r="C15" s="8">
        <v>-4.8838489999999997</v>
      </c>
      <c r="D15" s="8">
        <v>-9.3423289999999994</v>
      </c>
      <c r="E15" s="38"/>
    </row>
    <row r="16" spans="1:5" x14ac:dyDescent="0.35">
      <c r="A16" s="5" t="s">
        <v>40</v>
      </c>
      <c r="B16" s="7" t="s">
        <v>38</v>
      </c>
      <c r="C16" s="6">
        <v>6.6817159999999998</v>
      </c>
      <c r="D16" s="6">
        <v>-7.2391379999999996</v>
      </c>
      <c r="E16" s="38"/>
    </row>
    <row r="17" spans="1:5" x14ac:dyDescent="0.35">
      <c r="A17" s="21" t="s">
        <v>275</v>
      </c>
      <c r="B17" s="22" t="s">
        <v>58</v>
      </c>
      <c r="C17" s="8">
        <v>-2.04291</v>
      </c>
      <c r="D17" s="8">
        <v>-2.7041219999999999</v>
      </c>
      <c r="E17" s="38"/>
    </row>
    <row r="18" spans="1:5" x14ac:dyDescent="0.35">
      <c r="A18" s="5" t="s">
        <v>27</v>
      </c>
      <c r="B18" s="7" t="s">
        <v>22</v>
      </c>
      <c r="C18" s="6">
        <v>2.7139069999999998</v>
      </c>
      <c r="D18" s="6">
        <v>-11.361183</v>
      </c>
      <c r="E18" s="38"/>
    </row>
    <row r="19" spans="1:5" x14ac:dyDescent="0.35">
      <c r="A19" s="21" t="s">
        <v>34</v>
      </c>
      <c r="B19" s="22" t="s">
        <v>30</v>
      </c>
      <c r="C19" s="8">
        <v>33.813274999999997</v>
      </c>
      <c r="D19" s="8">
        <v>-36.044552000000003</v>
      </c>
      <c r="E19" s="38"/>
    </row>
    <row r="20" spans="1:5" x14ac:dyDescent="0.35">
      <c r="A20" s="5" t="s">
        <v>142</v>
      </c>
      <c r="B20" s="7" t="s">
        <v>257</v>
      </c>
      <c r="C20" s="6">
        <v>-7.3038610000000004</v>
      </c>
      <c r="D20" s="6">
        <v>6.5650919999999999</v>
      </c>
      <c r="E20" s="38"/>
    </row>
    <row r="21" spans="1:5" x14ac:dyDescent="0.35">
      <c r="A21" s="21" t="s">
        <v>45</v>
      </c>
      <c r="B21" s="22" t="s">
        <v>42</v>
      </c>
      <c r="C21" s="8">
        <v>-7.8895710000000001</v>
      </c>
      <c r="D21" s="8">
        <v>7.3702480000000001</v>
      </c>
      <c r="E21" s="38"/>
    </row>
    <row r="22" spans="1:5" x14ac:dyDescent="0.35">
      <c r="A22" s="5" t="s">
        <v>33</v>
      </c>
      <c r="B22" s="7" t="s">
        <v>31</v>
      </c>
      <c r="C22" s="6">
        <v>-26.883237000000001</v>
      </c>
      <c r="D22" s="6">
        <v>26.962104</v>
      </c>
      <c r="E22" s="38"/>
    </row>
    <row r="23" spans="1:5" x14ac:dyDescent="0.35">
      <c r="A23" s="21" t="s">
        <v>29</v>
      </c>
      <c r="B23" s="22" t="s">
        <v>24</v>
      </c>
      <c r="C23" s="8">
        <v>13.732393999999999</v>
      </c>
      <c r="D23" s="8">
        <v>-18.312172</v>
      </c>
      <c r="E23" s="38"/>
    </row>
    <row r="24" spans="1:5" x14ac:dyDescent="0.35">
      <c r="A24" s="5" t="s">
        <v>39</v>
      </c>
      <c r="B24" s="7" t="s">
        <v>37</v>
      </c>
      <c r="C24" s="6">
        <v>22.380621999999999</v>
      </c>
      <c r="D24" s="6">
        <v>-21.066717000000001</v>
      </c>
      <c r="E24" s="38"/>
    </row>
    <row r="25" spans="1:5" x14ac:dyDescent="0.35">
      <c r="A25" s="21" t="s">
        <v>49</v>
      </c>
      <c r="B25" s="22" t="s">
        <v>47</v>
      </c>
      <c r="C25" s="8">
        <v>22.923476100000009</v>
      </c>
      <c r="D25" s="8">
        <v>-55.579473700000001</v>
      </c>
      <c r="E25" s="38"/>
    </row>
    <row r="26" spans="1:5" x14ac:dyDescent="0.35">
      <c r="A26" s="5" t="s">
        <v>60</v>
      </c>
      <c r="B26" s="7" t="s">
        <v>51</v>
      </c>
      <c r="C26" s="6">
        <v>9.3933520000000001</v>
      </c>
      <c r="D26" s="6">
        <v>-4.4907320000000004</v>
      </c>
      <c r="E26" s="38"/>
    </row>
    <row r="27" spans="1:5" x14ac:dyDescent="0.35">
      <c r="A27" s="21" t="s">
        <v>28</v>
      </c>
      <c r="B27" s="22" t="s">
        <v>23</v>
      </c>
      <c r="C27" s="8">
        <v>26.536535000000001</v>
      </c>
      <c r="D27" s="8">
        <v>-31.405904</v>
      </c>
      <c r="E27" s="38"/>
    </row>
    <row r="28" spans="1:5" x14ac:dyDescent="0.35">
      <c r="A28" s="5" t="s">
        <v>65</v>
      </c>
      <c r="B28" s="7" t="s">
        <v>59</v>
      </c>
      <c r="C28" s="6">
        <v>2.2209409999999998</v>
      </c>
      <c r="D28" s="6">
        <v>-1.9918640000000001</v>
      </c>
      <c r="E28" s="38"/>
    </row>
    <row r="29" spans="1:5" x14ac:dyDescent="0.35">
      <c r="A29" s="21" t="s">
        <v>46</v>
      </c>
      <c r="B29" s="22" t="s">
        <v>43</v>
      </c>
      <c r="C29" s="8">
        <v>12.653218000000001</v>
      </c>
      <c r="D29" s="8">
        <v>-19.646174999999999</v>
      </c>
      <c r="E29" s="38"/>
    </row>
    <row r="30" spans="1:5" x14ac:dyDescent="0.35">
      <c r="A30" s="5" t="s">
        <v>44</v>
      </c>
      <c r="B30" s="7" t="s">
        <v>41</v>
      </c>
      <c r="C30" s="6">
        <v>-14.731498999999999</v>
      </c>
      <c r="D30" s="6">
        <v>6.7541000000000004E-2</v>
      </c>
      <c r="E30" s="38"/>
    </row>
    <row r="31" spans="1:5" ht="15" thickBot="1" x14ac:dyDescent="0.4">
      <c r="A31" s="21" t="s">
        <v>61</v>
      </c>
      <c r="B31" s="22" t="s">
        <v>53</v>
      </c>
      <c r="C31" s="8">
        <v>11.185755800000001</v>
      </c>
      <c r="D31" s="8">
        <v>7.1196039999999998</v>
      </c>
      <c r="E31" s="38"/>
    </row>
    <row r="32" spans="1:5" ht="21" customHeight="1" thickBot="1" x14ac:dyDescent="0.4">
      <c r="A32" s="90" t="s">
        <v>66</v>
      </c>
      <c r="B32" s="91"/>
      <c r="C32" s="61">
        <f>SUM(C2:C31)</f>
        <v>120.70462726859999</v>
      </c>
      <c r="D32" s="62">
        <f>SUM(D2:D31)</f>
        <v>-235.34317469519999</v>
      </c>
    </row>
    <row r="34" spans="1:5" x14ac:dyDescent="0.35">
      <c r="A34" s="11" t="s">
        <v>67</v>
      </c>
      <c r="B34" s="49"/>
      <c r="C34" s="49"/>
      <c r="D34" s="49"/>
      <c r="E34" s="49"/>
    </row>
    <row r="35" spans="1:5" x14ac:dyDescent="0.35">
      <c r="A35" s="11" t="s">
        <v>80</v>
      </c>
    </row>
    <row r="36" spans="1:5" x14ac:dyDescent="0.35">
      <c r="A36" s="11" t="s">
        <v>81</v>
      </c>
    </row>
    <row r="37" spans="1:5" x14ac:dyDescent="0.3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O109"/>
  <sheetViews>
    <sheetView showGridLines="0" zoomScaleNormal="100" workbookViewId="0"/>
  </sheetViews>
  <sheetFormatPr defaultRowHeight="14.5" x14ac:dyDescent="0.35"/>
  <cols>
    <col min="1" max="1" width="51.54296875" customWidth="1"/>
    <col min="2" max="2" width="8.54296875" customWidth="1"/>
    <col min="3" max="3" width="23" customWidth="1"/>
    <col min="4" max="4" width="24.453125" customWidth="1"/>
    <col min="5" max="5" width="25" customWidth="1"/>
    <col min="6" max="6" width="31.54296875" bestFit="1" customWidth="1"/>
    <col min="7" max="7" width="14" customWidth="1"/>
    <col min="8" max="8" width="19.54296875" customWidth="1"/>
    <col min="9" max="9" width="27.1796875" customWidth="1"/>
    <col min="10" max="10" width="23.90625" customWidth="1"/>
    <col min="11" max="11" width="20.90625" customWidth="1"/>
    <col min="12" max="12" width="36.08984375" customWidth="1"/>
    <col min="13" max="13" width="33.81640625" customWidth="1"/>
  </cols>
  <sheetData>
    <row r="1" spans="1:15" ht="42" x14ac:dyDescent="0.35">
      <c r="A1" s="32" t="str">
        <f>CONCATENATE("100 Most Traded Stocks YTD - ",'Weekly Top 10'!$C$5)</f>
        <v>100 Most Traded Stocks YTD - Week of 8 July 2024</v>
      </c>
      <c r="B1" s="16" t="s">
        <v>1</v>
      </c>
      <c r="C1" s="48" t="s">
        <v>98</v>
      </c>
      <c r="D1" s="17" t="s">
        <v>97</v>
      </c>
      <c r="E1" s="17" t="s">
        <v>99</v>
      </c>
      <c r="F1" s="17" t="s">
        <v>100</v>
      </c>
      <c r="G1" s="54"/>
      <c r="H1" s="83"/>
      <c r="I1" s="83"/>
      <c r="J1" s="83"/>
      <c r="K1" s="83"/>
      <c r="L1" s="83"/>
      <c r="M1" s="83"/>
    </row>
    <row r="2" spans="1:15" x14ac:dyDescent="0.35">
      <c r="A2" s="18" t="s">
        <v>26</v>
      </c>
      <c r="B2" s="19" t="s">
        <v>21</v>
      </c>
      <c r="C2" s="55">
        <v>146.96504625233081</v>
      </c>
      <c r="D2" s="55">
        <v>102.51662349999999</v>
      </c>
      <c r="E2" s="55">
        <v>42.539132000000002</v>
      </c>
      <c r="F2" s="20" t="s">
        <v>13</v>
      </c>
      <c r="G2" s="54"/>
      <c r="O2" s="77"/>
    </row>
    <row r="3" spans="1:15" x14ac:dyDescent="0.35">
      <c r="A3" s="21" t="s">
        <v>28</v>
      </c>
      <c r="B3" s="22" t="s">
        <v>23</v>
      </c>
      <c r="C3" s="56">
        <v>83.541202921586461</v>
      </c>
      <c r="D3" s="56">
        <v>497.91874200000001</v>
      </c>
      <c r="E3" s="56">
        <v>26.536535000000001</v>
      </c>
      <c r="F3" s="8" t="s">
        <v>13</v>
      </c>
      <c r="G3" s="54"/>
      <c r="O3" s="77"/>
    </row>
    <row r="4" spans="1:15" x14ac:dyDescent="0.35">
      <c r="A4" s="5" t="s">
        <v>49</v>
      </c>
      <c r="B4" s="7" t="s">
        <v>47</v>
      </c>
      <c r="C4" s="57">
        <v>79.809011513368418</v>
      </c>
      <c r="D4" s="57">
        <v>309.0606252</v>
      </c>
      <c r="E4" s="57">
        <v>22.923476100000002</v>
      </c>
      <c r="F4" s="6" t="s">
        <v>159</v>
      </c>
      <c r="G4" s="54"/>
      <c r="O4" s="77"/>
    </row>
    <row r="5" spans="1:15" x14ac:dyDescent="0.35">
      <c r="A5" s="21" t="s">
        <v>163</v>
      </c>
      <c r="B5" s="22" t="s">
        <v>22</v>
      </c>
      <c r="C5" s="56">
        <v>72.833952049225573</v>
      </c>
      <c r="D5" s="56">
        <v>290.55510710000004</v>
      </c>
      <c r="E5" s="56">
        <v>2.7139069999999998</v>
      </c>
      <c r="F5" s="8" t="s">
        <v>13</v>
      </c>
      <c r="G5" s="54"/>
      <c r="O5" s="77"/>
    </row>
    <row r="6" spans="1:15" x14ac:dyDescent="0.35">
      <c r="A6" s="5" t="s">
        <v>285</v>
      </c>
      <c r="B6" s="7" t="s">
        <v>257</v>
      </c>
      <c r="C6" s="57">
        <v>71.3</v>
      </c>
      <c r="D6" s="57">
        <v>-257.80228399999999</v>
      </c>
      <c r="E6" s="57">
        <v>-7.3038610000000004</v>
      </c>
      <c r="F6" s="6" t="s">
        <v>14</v>
      </c>
      <c r="G6" s="54"/>
      <c r="O6" s="77"/>
    </row>
    <row r="7" spans="1:15" x14ac:dyDescent="0.35">
      <c r="A7" s="21" t="s">
        <v>164</v>
      </c>
      <c r="B7" s="22" t="s">
        <v>56</v>
      </c>
      <c r="C7" s="56">
        <v>42.926182374210519</v>
      </c>
      <c r="D7" s="56">
        <v>-31.171202000000001</v>
      </c>
      <c r="E7" s="56">
        <v>6.8764409999999989</v>
      </c>
      <c r="F7" s="8" t="s">
        <v>17</v>
      </c>
      <c r="G7" s="54"/>
      <c r="O7" s="77"/>
    </row>
    <row r="8" spans="1:15" x14ac:dyDescent="0.35">
      <c r="A8" s="5" t="s">
        <v>166</v>
      </c>
      <c r="B8" s="7" t="s">
        <v>53</v>
      </c>
      <c r="C8" s="57">
        <v>41.888754598255623</v>
      </c>
      <c r="D8" s="57">
        <v>194.02838080000001</v>
      </c>
      <c r="E8" s="57">
        <v>11.185755800000001</v>
      </c>
      <c r="F8" s="6" t="s">
        <v>14</v>
      </c>
      <c r="G8" s="54"/>
      <c r="O8" s="77"/>
    </row>
    <row r="9" spans="1:15" x14ac:dyDescent="0.35">
      <c r="A9" s="21" t="s">
        <v>33</v>
      </c>
      <c r="B9" s="22" t="s">
        <v>31</v>
      </c>
      <c r="C9" s="56">
        <v>36.993580928195477</v>
      </c>
      <c r="D9" s="56">
        <v>-297.26576899999998</v>
      </c>
      <c r="E9" s="56">
        <v>-26.883237000000001</v>
      </c>
      <c r="F9" s="8" t="s">
        <v>14</v>
      </c>
      <c r="G9" s="54"/>
      <c r="O9" s="77"/>
    </row>
    <row r="10" spans="1:15" x14ac:dyDescent="0.35">
      <c r="A10" s="5" t="s">
        <v>165</v>
      </c>
      <c r="B10" s="7" t="s">
        <v>25</v>
      </c>
      <c r="C10" s="57">
        <v>34.889248393383461</v>
      </c>
      <c r="D10" s="57">
        <v>-165.348266</v>
      </c>
      <c r="E10" s="57">
        <v>-0.98697799999999991</v>
      </c>
      <c r="F10" s="6" t="s">
        <v>17</v>
      </c>
      <c r="G10" s="54"/>
      <c r="O10" s="77"/>
    </row>
    <row r="11" spans="1:15" x14ac:dyDescent="0.35">
      <c r="A11" s="21" t="s">
        <v>168</v>
      </c>
      <c r="B11" s="22" t="s">
        <v>38</v>
      </c>
      <c r="C11" s="56">
        <v>34.521982914812028</v>
      </c>
      <c r="D11" s="56">
        <v>-245.92642599999999</v>
      </c>
      <c r="E11" s="56">
        <v>-4.8838489999999979</v>
      </c>
      <c r="F11" s="8" t="s">
        <v>17</v>
      </c>
      <c r="G11" s="54"/>
      <c r="O11" s="77"/>
    </row>
    <row r="12" spans="1:15" x14ac:dyDescent="0.35">
      <c r="A12" s="5" t="s">
        <v>169</v>
      </c>
      <c r="B12" s="7" t="s">
        <v>35</v>
      </c>
      <c r="C12" s="57">
        <v>27.357538917646622</v>
      </c>
      <c r="D12" s="57">
        <v>-129.05744100000001</v>
      </c>
      <c r="E12" s="57">
        <v>-0.56138549999999998</v>
      </c>
      <c r="F12" s="6" t="s">
        <v>10</v>
      </c>
      <c r="G12" s="54"/>
      <c r="O12" s="77"/>
    </row>
    <row r="13" spans="1:15" x14ac:dyDescent="0.35">
      <c r="A13" s="21" t="s">
        <v>167</v>
      </c>
      <c r="B13" s="22" t="s">
        <v>83</v>
      </c>
      <c r="C13" s="56">
        <v>26.63509417345113</v>
      </c>
      <c r="D13" s="56">
        <v>-113.251761</v>
      </c>
      <c r="E13" s="56">
        <v>8.0819080000000003</v>
      </c>
      <c r="F13" s="8" t="s">
        <v>13</v>
      </c>
      <c r="G13" s="54"/>
      <c r="O13" s="77"/>
    </row>
    <row r="14" spans="1:15" x14ac:dyDescent="0.35">
      <c r="A14" s="5" t="s">
        <v>148</v>
      </c>
      <c r="B14" s="7" t="s">
        <v>32</v>
      </c>
      <c r="C14" s="57">
        <v>24.03145507542105</v>
      </c>
      <c r="D14" s="57">
        <v>-4.7760059999999998</v>
      </c>
      <c r="E14" s="57">
        <v>-5.0134239999999997</v>
      </c>
      <c r="F14" s="6" t="s">
        <v>14</v>
      </c>
      <c r="G14" s="54"/>
      <c r="O14" s="77"/>
    </row>
    <row r="15" spans="1:15" x14ac:dyDescent="0.35">
      <c r="A15" s="21" t="s">
        <v>177</v>
      </c>
      <c r="B15" s="22" t="s">
        <v>48</v>
      </c>
      <c r="C15" s="56">
        <v>23.287953566390978</v>
      </c>
      <c r="D15" s="56">
        <v>-90.668760000000006</v>
      </c>
      <c r="E15" s="56">
        <v>-16.382549999999998</v>
      </c>
      <c r="F15" s="8" t="s">
        <v>10</v>
      </c>
      <c r="G15" s="54"/>
      <c r="O15" s="77"/>
    </row>
    <row r="16" spans="1:15" x14ac:dyDescent="0.35">
      <c r="A16" s="5" t="s">
        <v>175</v>
      </c>
      <c r="B16" s="7" t="s">
        <v>58</v>
      </c>
      <c r="C16" s="57">
        <v>23.124578232932329</v>
      </c>
      <c r="D16" s="57">
        <v>-169.50045600000001</v>
      </c>
      <c r="E16" s="57">
        <v>6.6817159999999998</v>
      </c>
      <c r="F16" s="6" t="s">
        <v>17</v>
      </c>
      <c r="G16" s="54"/>
      <c r="O16" s="77"/>
    </row>
    <row r="17" spans="1:15" x14ac:dyDescent="0.35">
      <c r="A17" s="21" t="s">
        <v>179</v>
      </c>
      <c r="B17" s="22" t="s">
        <v>54</v>
      </c>
      <c r="C17" s="56">
        <v>19.981063976315788</v>
      </c>
      <c r="D17" s="56">
        <v>-216.84230059999999</v>
      </c>
      <c r="E17" s="56">
        <v>0.55446099999999998</v>
      </c>
      <c r="F17" s="8" t="s">
        <v>16</v>
      </c>
      <c r="G17" s="54"/>
      <c r="O17" s="77"/>
    </row>
    <row r="18" spans="1:15" x14ac:dyDescent="0.35">
      <c r="A18" s="5" t="s">
        <v>39</v>
      </c>
      <c r="B18" s="7" t="s">
        <v>37</v>
      </c>
      <c r="C18" s="57">
        <v>17.746287439097738</v>
      </c>
      <c r="D18" s="57">
        <v>139.13320899999999</v>
      </c>
      <c r="E18" s="57">
        <v>22.380621999999999</v>
      </c>
      <c r="F18" s="6" t="s">
        <v>14</v>
      </c>
      <c r="G18" s="54"/>
      <c r="O18" s="77"/>
    </row>
    <row r="19" spans="1:15" x14ac:dyDescent="0.35">
      <c r="A19" s="21" t="s">
        <v>172</v>
      </c>
      <c r="B19" s="22" t="s">
        <v>41</v>
      </c>
      <c r="C19" s="56">
        <v>17.527821070834587</v>
      </c>
      <c r="D19" s="56">
        <v>-70.422267000000005</v>
      </c>
      <c r="E19" s="56">
        <v>-14.731498999999999</v>
      </c>
      <c r="F19" s="8" t="s">
        <v>11</v>
      </c>
      <c r="G19" s="54"/>
      <c r="O19" s="77"/>
    </row>
    <row r="20" spans="1:15" x14ac:dyDescent="0.35">
      <c r="A20" s="5" t="s">
        <v>173</v>
      </c>
      <c r="B20" s="7" t="s">
        <v>42</v>
      </c>
      <c r="C20" s="57">
        <v>17.519597285563908</v>
      </c>
      <c r="D20" s="57">
        <v>-41.863405799999995</v>
      </c>
      <c r="E20" s="57">
        <v>-7.8895710000000001</v>
      </c>
      <c r="F20" s="6" t="s">
        <v>19</v>
      </c>
      <c r="G20" s="54"/>
      <c r="O20" s="77"/>
    </row>
    <row r="21" spans="1:15" x14ac:dyDescent="0.35">
      <c r="A21" s="21" t="s">
        <v>29</v>
      </c>
      <c r="B21" s="22" t="s">
        <v>24</v>
      </c>
      <c r="C21" s="56">
        <v>17.142666783157889</v>
      </c>
      <c r="D21" s="56">
        <v>-41.961742000000001</v>
      </c>
      <c r="E21" s="56">
        <v>13.732393999999999</v>
      </c>
      <c r="F21" s="8" t="s">
        <v>13</v>
      </c>
      <c r="G21" s="54"/>
      <c r="O21" s="77"/>
    </row>
    <row r="22" spans="1:15" x14ac:dyDescent="0.35">
      <c r="A22" s="5" t="s">
        <v>176</v>
      </c>
      <c r="B22" s="7" t="s">
        <v>51</v>
      </c>
      <c r="C22" s="57">
        <v>16.935033651879703</v>
      </c>
      <c r="D22" s="57">
        <v>39.382972000000009</v>
      </c>
      <c r="E22" s="57">
        <v>9.3933520000000001</v>
      </c>
      <c r="F22" s="6" t="s">
        <v>11</v>
      </c>
      <c r="G22" s="54"/>
      <c r="O22" s="77"/>
    </row>
    <row r="23" spans="1:15" x14ac:dyDescent="0.35">
      <c r="A23" s="21" t="s">
        <v>171</v>
      </c>
      <c r="B23" s="22" t="s">
        <v>52</v>
      </c>
      <c r="C23" s="56">
        <v>15.477487385642011</v>
      </c>
      <c r="D23" s="56">
        <v>10.540973551750001</v>
      </c>
      <c r="E23" s="56">
        <v>-1.631106297500001</v>
      </c>
      <c r="F23" s="8" t="s">
        <v>14</v>
      </c>
      <c r="G23" s="54"/>
      <c r="O23" s="77"/>
    </row>
    <row r="24" spans="1:15" x14ac:dyDescent="0.35">
      <c r="A24" s="5" t="s">
        <v>178</v>
      </c>
      <c r="B24" s="7" t="s">
        <v>59</v>
      </c>
      <c r="C24" s="57">
        <v>13.55947454406015</v>
      </c>
      <c r="D24" s="57">
        <v>-119.61092600000001</v>
      </c>
      <c r="E24" s="57">
        <v>2.2209409999999998</v>
      </c>
      <c r="F24" s="6" t="s">
        <v>16</v>
      </c>
      <c r="G24" s="54"/>
      <c r="O24" s="77"/>
    </row>
    <row r="25" spans="1:15" x14ac:dyDescent="0.35">
      <c r="A25" s="21" t="s">
        <v>174</v>
      </c>
      <c r="B25" s="22" t="s">
        <v>74</v>
      </c>
      <c r="C25" s="56">
        <v>13.487403580751879</v>
      </c>
      <c r="D25" s="56">
        <v>-97.665710000000004</v>
      </c>
      <c r="E25" s="56">
        <v>-2.04291</v>
      </c>
      <c r="F25" s="8" t="s">
        <v>17</v>
      </c>
      <c r="G25" s="54"/>
      <c r="O25" s="77"/>
    </row>
    <row r="26" spans="1:15" x14ac:dyDescent="0.35">
      <c r="A26" s="5" t="s">
        <v>34</v>
      </c>
      <c r="B26" s="7" t="s">
        <v>30</v>
      </c>
      <c r="C26" s="57">
        <v>12.7448438</v>
      </c>
      <c r="D26" s="57">
        <v>79.895517999999996</v>
      </c>
      <c r="E26" s="57">
        <v>33.813274999999997</v>
      </c>
      <c r="F26" s="6" t="s">
        <v>14</v>
      </c>
      <c r="G26" s="54"/>
      <c r="O26" s="77"/>
    </row>
    <row r="27" spans="1:15" x14ac:dyDescent="0.35">
      <c r="A27" s="21" t="s">
        <v>183</v>
      </c>
      <c r="B27" s="22" t="s">
        <v>78</v>
      </c>
      <c r="C27" s="56">
        <v>11.565031970300751</v>
      </c>
      <c r="D27" s="56">
        <v>-73.482151500000001</v>
      </c>
      <c r="E27" s="56">
        <v>-7.2311775000000003</v>
      </c>
      <c r="F27" s="8" t="s">
        <v>17</v>
      </c>
      <c r="G27" s="54"/>
      <c r="O27" s="77"/>
    </row>
    <row r="28" spans="1:15" x14ac:dyDescent="0.35">
      <c r="A28" s="5" t="s">
        <v>180</v>
      </c>
      <c r="B28" s="7" t="s">
        <v>43</v>
      </c>
      <c r="C28" s="57">
        <v>10.81813111169925</v>
      </c>
      <c r="D28" s="57">
        <v>80.601583000000005</v>
      </c>
      <c r="E28" s="57">
        <v>12.653218000000001</v>
      </c>
      <c r="F28" s="6" t="s">
        <v>160</v>
      </c>
      <c r="G28" s="54"/>
      <c r="O28" s="77"/>
    </row>
    <row r="29" spans="1:15" x14ac:dyDescent="0.35">
      <c r="A29" s="21" t="s">
        <v>170</v>
      </c>
      <c r="B29" s="22" t="s">
        <v>76</v>
      </c>
      <c r="C29" s="56">
        <v>10.650116735037589</v>
      </c>
      <c r="D29" s="56">
        <v>-42.278739999999999</v>
      </c>
      <c r="E29" s="56">
        <v>5.7721629999999999</v>
      </c>
      <c r="F29" s="8" t="s">
        <v>17</v>
      </c>
      <c r="G29" s="54"/>
      <c r="O29" s="77"/>
    </row>
    <row r="30" spans="1:15" x14ac:dyDescent="0.35">
      <c r="A30" s="5" t="s">
        <v>184</v>
      </c>
      <c r="B30" s="7" t="s">
        <v>55</v>
      </c>
      <c r="C30" s="57">
        <v>9.0777796831787967</v>
      </c>
      <c r="D30" s="57">
        <v>21.425225224599998</v>
      </c>
      <c r="E30" s="57">
        <v>-2.3644696076000002</v>
      </c>
      <c r="F30" s="6" t="s">
        <v>16</v>
      </c>
      <c r="G30" s="54"/>
      <c r="O30" s="77"/>
    </row>
    <row r="31" spans="1:15" x14ac:dyDescent="0.35">
      <c r="A31" s="21" t="s">
        <v>185</v>
      </c>
      <c r="B31" s="22" t="s">
        <v>88</v>
      </c>
      <c r="C31" s="56">
        <v>8.3227227556390968</v>
      </c>
      <c r="D31" s="56">
        <v>-16.330190000000002</v>
      </c>
      <c r="E31" s="56">
        <v>4.1981929999999998</v>
      </c>
      <c r="F31" s="8" t="s">
        <v>17</v>
      </c>
      <c r="G31" s="54"/>
      <c r="O31" s="77"/>
    </row>
    <row r="32" spans="1:15" x14ac:dyDescent="0.35">
      <c r="A32" s="5" t="s">
        <v>139</v>
      </c>
      <c r="B32" s="7" t="s">
        <v>105</v>
      </c>
      <c r="C32" s="57">
        <v>8.0642252030075188</v>
      </c>
      <c r="D32" s="57">
        <v>59.216386</v>
      </c>
      <c r="E32" s="57">
        <v>5.9094239999999996</v>
      </c>
      <c r="F32" s="6" t="s">
        <v>14</v>
      </c>
      <c r="G32" s="54"/>
      <c r="O32" s="77"/>
    </row>
    <row r="33" spans="1:15" x14ac:dyDescent="0.35">
      <c r="A33" s="21" t="s">
        <v>182</v>
      </c>
      <c r="B33" s="22" t="s">
        <v>108</v>
      </c>
      <c r="C33" s="56">
        <v>7.0596352466165415</v>
      </c>
      <c r="D33" s="56">
        <v>-7.2704519999999997</v>
      </c>
      <c r="E33" s="56">
        <v>-2.76553</v>
      </c>
      <c r="F33" s="8" t="s">
        <v>17</v>
      </c>
      <c r="G33" s="54"/>
      <c r="O33" s="77"/>
    </row>
    <row r="34" spans="1:15" x14ac:dyDescent="0.35">
      <c r="A34" s="5" t="s">
        <v>181</v>
      </c>
      <c r="B34" s="7" t="s">
        <v>101</v>
      </c>
      <c r="C34" s="57">
        <v>6.4773870766315795</v>
      </c>
      <c r="D34" s="57">
        <v>-19.113505499999999</v>
      </c>
      <c r="E34" s="57">
        <v>-1.3140505</v>
      </c>
      <c r="F34" s="6" t="s">
        <v>17</v>
      </c>
      <c r="G34" s="54"/>
      <c r="O34" s="77"/>
    </row>
    <row r="35" spans="1:15" x14ac:dyDescent="0.35">
      <c r="A35" s="21" t="s">
        <v>188</v>
      </c>
      <c r="B35" s="22" t="s">
        <v>109</v>
      </c>
      <c r="C35" s="56">
        <v>5.9416820518796998</v>
      </c>
      <c r="D35" s="56">
        <v>23.043163</v>
      </c>
      <c r="E35" s="56">
        <v>1.1104860000000001</v>
      </c>
      <c r="F35" s="8" t="s">
        <v>160</v>
      </c>
      <c r="G35" s="54"/>
      <c r="O35" s="77"/>
    </row>
    <row r="36" spans="1:15" x14ac:dyDescent="0.35">
      <c r="A36" s="5" t="s">
        <v>189</v>
      </c>
      <c r="B36" s="7" t="s">
        <v>264</v>
      </c>
      <c r="C36" s="57">
        <v>5.9287968548872181</v>
      </c>
      <c r="D36" s="57">
        <v>-18.238793999999999</v>
      </c>
      <c r="E36" s="57">
        <v>-0.37156</v>
      </c>
      <c r="F36" s="6" t="s">
        <v>160</v>
      </c>
      <c r="G36" s="54"/>
      <c r="O36" s="77"/>
    </row>
    <row r="37" spans="1:15" x14ac:dyDescent="0.35">
      <c r="A37" s="21" t="s">
        <v>186</v>
      </c>
      <c r="B37" s="22" t="s">
        <v>89</v>
      </c>
      <c r="C37" s="56">
        <v>5.3849304821353376</v>
      </c>
      <c r="D37" s="56">
        <v>-77.191782223999994</v>
      </c>
      <c r="E37" s="56">
        <v>-0.73050700000000002</v>
      </c>
      <c r="F37" s="8" t="s">
        <v>160</v>
      </c>
      <c r="G37" s="54"/>
      <c r="O37" s="77"/>
    </row>
    <row r="38" spans="1:15" x14ac:dyDescent="0.35">
      <c r="A38" s="5" t="s">
        <v>187</v>
      </c>
      <c r="B38" s="7" t="s">
        <v>91</v>
      </c>
      <c r="C38" s="57">
        <v>4.8823974874060152</v>
      </c>
      <c r="D38" s="57">
        <v>-61.302601500000002</v>
      </c>
      <c r="E38" s="57">
        <v>-6.6680659999999996</v>
      </c>
      <c r="F38" s="6" t="s">
        <v>17</v>
      </c>
      <c r="G38" s="54"/>
      <c r="O38" s="77"/>
    </row>
    <row r="39" spans="1:15" x14ac:dyDescent="0.35">
      <c r="A39" s="21" t="s">
        <v>192</v>
      </c>
      <c r="B39" s="22" t="s">
        <v>123</v>
      </c>
      <c r="C39" s="56">
        <v>4.0725206124060147</v>
      </c>
      <c r="D39" s="56">
        <v>10.838963</v>
      </c>
      <c r="E39" s="56">
        <v>0.95236799999999999</v>
      </c>
      <c r="F39" s="8" t="s">
        <v>160</v>
      </c>
      <c r="G39" s="54"/>
      <c r="O39" s="77"/>
    </row>
    <row r="40" spans="1:15" x14ac:dyDescent="0.35">
      <c r="A40" s="5" t="s">
        <v>206</v>
      </c>
      <c r="B40" s="7" t="s">
        <v>107</v>
      </c>
      <c r="C40" s="57">
        <v>4.0698612724812033</v>
      </c>
      <c r="D40" s="57">
        <v>-31.183921999999999</v>
      </c>
      <c r="E40" s="57">
        <v>3.287716000000001</v>
      </c>
      <c r="F40" s="6" t="s">
        <v>11</v>
      </c>
      <c r="G40" s="54"/>
      <c r="O40" s="77"/>
    </row>
    <row r="41" spans="1:15" x14ac:dyDescent="0.35">
      <c r="A41" s="21" t="s">
        <v>211</v>
      </c>
      <c r="B41" s="22" t="s">
        <v>128</v>
      </c>
      <c r="C41" s="56">
        <v>3.6326691669172928</v>
      </c>
      <c r="D41" s="56">
        <v>23.597299499999998</v>
      </c>
      <c r="E41" s="56">
        <v>4.8825349999999998</v>
      </c>
      <c r="F41" s="8" t="s">
        <v>161</v>
      </c>
      <c r="G41" s="54"/>
      <c r="O41" s="77"/>
    </row>
    <row r="42" spans="1:15" x14ac:dyDescent="0.35">
      <c r="A42" s="5" t="s">
        <v>193</v>
      </c>
      <c r="B42" s="7" t="s">
        <v>110</v>
      </c>
      <c r="C42" s="57">
        <v>3.5994352187969931</v>
      </c>
      <c r="D42" s="57">
        <v>-16.403848499999999</v>
      </c>
      <c r="E42" s="57">
        <v>1.2285459999999999</v>
      </c>
      <c r="F42" s="6" t="s">
        <v>160</v>
      </c>
      <c r="G42" s="54"/>
      <c r="O42" s="77"/>
    </row>
    <row r="43" spans="1:15" x14ac:dyDescent="0.35">
      <c r="A43" s="21" t="s">
        <v>190</v>
      </c>
      <c r="B43" s="22" t="s">
        <v>120</v>
      </c>
      <c r="C43" s="56">
        <v>3.286824605263158</v>
      </c>
      <c r="D43" s="56">
        <v>7.6584345000000003</v>
      </c>
      <c r="E43" s="56">
        <v>-4.4430000000000034E-3</v>
      </c>
      <c r="F43" s="8" t="s">
        <v>161</v>
      </c>
      <c r="G43" s="54"/>
      <c r="O43" s="77"/>
    </row>
    <row r="44" spans="1:15" x14ac:dyDescent="0.35">
      <c r="A44" s="5" t="s">
        <v>195</v>
      </c>
      <c r="B44" s="7" t="s">
        <v>115</v>
      </c>
      <c r="C44" s="57">
        <v>3.2323334078195489</v>
      </c>
      <c r="D44" s="57">
        <v>-31.7578195</v>
      </c>
      <c r="E44" s="57">
        <v>-2.2210135000000002</v>
      </c>
      <c r="F44" s="6" t="s">
        <v>159</v>
      </c>
      <c r="G44" s="54"/>
      <c r="O44" s="77"/>
    </row>
    <row r="45" spans="1:15" x14ac:dyDescent="0.35">
      <c r="A45" s="21" t="s">
        <v>194</v>
      </c>
      <c r="B45" s="22" t="s">
        <v>102</v>
      </c>
      <c r="C45" s="56">
        <v>3.2096059042105258</v>
      </c>
      <c r="D45" s="56">
        <v>-2.8383564999999993</v>
      </c>
      <c r="E45" s="56">
        <v>-3.4834499999999761E-2</v>
      </c>
      <c r="F45" s="8" t="s">
        <v>17</v>
      </c>
      <c r="G45" s="54"/>
      <c r="O45" s="77"/>
    </row>
    <row r="46" spans="1:15" x14ac:dyDescent="0.35">
      <c r="A46" s="5" t="s">
        <v>191</v>
      </c>
      <c r="B46" s="7" t="s">
        <v>94</v>
      </c>
      <c r="C46" s="57">
        <v>3.0507790676691728</v>
      </c>
      <c r="D46" s="57">
        <v>11.498445</v>
      </c>
      <c r="E46" s="57">
        <v>-0.88292099999999996</v>
      </c>
      <c r="F46" s="6" t="s">
        <v>14</v>
      </c>
      <c r="G46" s="54"/>
      <c r="O46" s="77"/>
    </row>
    <row r="47" spans="1:15" x14ac:dyDescent="0.35">
      <c r="A47" s="21" t="s">
        <v>255</v>
      </c>
      <c r="B47" s="22" t="s">
        <v>256</v>
      </c>
      <c r="C47" s="56">
        <v>2.888597244360902</v>
      </c>
      <c r="D47" s="56">
        <v>55.098126999999998</v>
      </c>
      <c r="E47" s="56">
        <v>10.255087</v>
      </c>
      <c r="F47" s="8" t="s">
        <v>13</v>
      </c>
      <c r="G47" s="54"/>
      <c r="O47" s="77"/>
    </row>
    <row r="48" spans="1:15" x14ac:dyDescent="0.35">
      <c r="A48" s="5" t="s">
        <v>215</v>
      </c>
      <c r="B48" s="7" t="s">
        <v>130</v>
      </c>
      <c r="C48" s="57">
        <v>2.7673059520300747</v>
      </c>
      <c r="D48" s="57">
        <v>15.8650605</v>
      </c>
      <c r="E48" s="57">
        <v>-0.38347550000000002</v>
      </c>
      <c r="F48" s="6" t="s">
        <v>162</v>
      </c>
      <c r="G48" s="54"/>
      <c r="O48" s="77"/>
    </row>
    <row r="49" spans="1:15" x14ac:dyDescent="0.35">
      <c r="A49" s="21" t="s">
        <v>199</v>
      </c>
      <c r="B49" s="22" t="s">
        <v>106</v>
      </c>
      <c r="C49" s="56">
        <v>2.4931534699248123</v>
      </c>
      <c r="D49" s="56">
        <v>-18.503610500000001</v>
      </c>
      <c r="E49" s="56">
        <v>-0.96963500000000002</v>
      </c>
      <c r="F49" s="8" t="s">
        <v>17</v>
      </c>
      <c r="G49" s="54"/>
      <c r="O49" s="77"/>
    </row>
    <row r="50" spans="1:15" x14ac:dyDescent="0.35">
      <c r="A50" s="5" t="s">
        <v>198</v>
      </c>
      <c r="B50" s="7" t="s">
        <v>117</v>
      </c>
      <c r="C50" s="57">
        <v>2.4859831645338351</v>
      </c>
      <c r="D50" s="57">
        <v>-7.0161440000000006</v>
      </c>
      <c r="E50" s="57">
        <v>0.34114499999999998</v>
      </c>
      <c r="F50" s="6" t="s">
        <v>17</v>
      </c>
      <c r="G50" s="54"/>
      <c r="O50" s="77"/>
    </row>
    <row r="51" spans="1:15" x14ac:dyDescent="0.35">
      <c r="A51" s="21" t="s">
        <v>205</v>
      </c>
      <c r="B51" s="22" t="s">
        <v>103</v>
      </c>
      <c r="C51" s="56">
        <v>2.3695364366165408</v>
      </c>
      <c r="D51" s="56">
        <v>-15.099990500000001</v>
      </c>
      <c r="E51" s="56">
        <v>0.47558800000000001</v>
      </c>
      <c r="F51" s="8" t="s">
        <v>15</v>
      </c>
      <c r="G51" s="54"/>
      <c r="O51" s="77"/>
    </row>
    <row r="52" spans="1:15" x14ac:dyDescent="0.35">
      <c r="A52" s="5" t="s">
        <v>207</v>
      </c>
      <c r="B52" s="7" t="s">
        <v>118</v>
      </c>
      <c r="C52" s="57">
        <v>2.3363900479754882</v>
      </c>
      <c r="D52" s="57">
        <v>4.9851681268500023</v>
      </c>
      <c r="E52" s="57">
        <v>-1.1449122679000001</v>
      </c>
      <c r="F52" s="6" t="s">
        <v>17</v>
      </c>
      <c r="G52" s="54"/>
      <c r="O52" s="77"/>
    </row>
    <row r="53" spans="1:15" x14ac:dyDescent="0.35">
      <c r="A53" s="21" t="s">
        <v>196</v>
      </c>
      <c r="B53" s="22" t="s">
        <v>95</v>
      </c>
      <c r="C53" s="56">
        <v>2.3331264440601509</v>
      </c>
      <c r="D53" s="56">
        <v>-46.503412500000003</v>
      </c>
      <c r="E53" s="56">
        <v>-1.1558375000000001</v>
      </c>
      <c r="F53" s="8" t="s">
        <v>17</v>
      </c>
      <c r="G53" s="54"/>
      <c r="O53" s="77"/>
    </row>
    <row r="54" spans="1:15" x14ac:dyDescent="0.35">
      <c r="A54" s="5" t="s">
        <v>244</v>
      </c>
      <c r="B54" s="7" t="s">
        <v>151</v>
      </c>
      <c r="C54" s="57">
        <v>2.1687703268721803</v>
      </c>
      <c r="D54" s="57">
        <v>3.7575585</v>
      </c>
      <c r="E54" s="57">
        <v>0.65788710000000006</v>
      </c>
      <c r="F54" s="6" t="s">
        <v>16</v>
      </c>
      <c r="G54" s="54"/>
      <c r="O54" s="77"/>
    </row>
    <row r="55" spans="1:15" x14ac:dyDescent="0.35">
      <c r="A55" s="21" t="s">
        <v>203</v>
      </c>
      <c r="B55" s="22" t="s">
        <v>121</v>
      </c>
      <c r="C55" s="56">
        <v>2.1356638293233092</v>
      </c>
      <c r="D55" s="56">
        <v>-24.065187000000002</v>
      </c>
      <c r="E55" s="56">
        <v>-0.63452200000000003</v>
      </c>
      <c r="F55" s="8" t="s">
        <v>17</v>
      </c>
      <c r="G55" s="54"/>
      <c r="O55" s="77"/>
    </row>
    <row r="56" spans="1:15" x14ac:dyDescent="0.35">
      <c r="A56" s="5" t="s">
        <v>197</v>
      </c>
      <c r="B56" s="7" t="s">
        <v>104</v>
      </c>
      <c r="C56" s="57">
        <v>2.096104854135338</v>
      </c>
      <c r="D56" s="57">
        <v>-5.3055922999999998</v>
      </c>
      <c r="E56" s="57">
        <v>-0.25890150000000001</v>
      </c>
      <c r="F56" s="6" t="s">
        <v>161</v>
      </c>
      <c r="G56" s="54"/>
      <c r="O56" s="77"/>
    </row>
    <row r="57" spans="1:15" x14ac:dyDescent="0.35">
      <c r="A57" s="21" t="s">
        <v>208</v>
      </c>
      <c r="B57" s="22" t="s">
        <v>90</v>
      </c>
      <c r="C57" s="56">
        <v>2.0745859834586469</v>
      </c>
      <c r="D57" s="56">
        <v>-36.438018999999997</v>
      </c>
      <c r="E57" s="56">
        <v>-2.6550910000000001</v>
      </c>
      <c r="F57" s="8" t="s">
        <v>11</v>
      </c>
      <c r="G57" s="54"/>
      <c r="O57" s="77"/>
    </row>
    <row r="58" spans="1:15" x14ac:dyDescent="0.35">
      <c r="A58" s="5" t="s">
        <v>204</v>
      </c>
      <c r="B58" s="7" t="s">
        <v>57</v>
      </c>
      <c r="C58" s="57">
        <v>2.047896551383158</v>
      </c>
      <c r="D58" s="57">
        <v>-13.2733803521</v>
      </c>
      <c r="E58" s="57">
        <v>-0.91095872630000008</v>
      </c>
      <c r="F58" s="6" t="s">
        <v>11</v>
      </c>
      <c r="G58" s="54"/>
      <c r="O58" s="77"/>
    </row>
    <row r="59" spans="1:15" x14ac:dyDescent="0.35">
      <c r="A59" s="21" t="s">
        <v>224</v>
      </c>
      <c r="B59" s="22" t="s">
        <v>96</v>
      </c>
      <c r="C59" s="56">
        <v>1.9705806932330829</v>
      </c>
      <c r="D59" s="56">
        <v>3.6139684999999999</v>
      </c>
      <c r="E59" s="56">
        <v>0.40384399999999998</v>
      </c>
      <c r="F59" s="8" t="s">
        <v>11</v>
      </c>
      <c r="G59" s="54"/>
      <c r="O59" s="77"/>
    </row>
    <row r="60" spans="1:15" x14ac:dyDescent="0.35">
      <c r="A60" s="5" t="s">
        <v>210</v>
      </c>
      <c r="B60" s="7" t="s">
        <v>111</v>
      </c>
      <c r="C60" s="57">
        <v>1.8956996541353381</v>
      </c>
      <c r="D60" s="57">
        <v>10.402393</v>
      </c>
      <c r="E60" s="57">
        <v>1.552244</v>
      </c>
      <c r="F60" s="6" t="s">
        <v>13</v>
      </c>
      <c r="G60" s="54"/>
      <c r="O60" s="77"/>
    </row>
    <row r="61" spans="1:15" x14ac:dyDescent="0.35">
      <c r="A61" s="21" t="s">
        <v>213</v>
      </c>
      <c r="B61" s="22" t="s">
        <v>112</v>
      </c>
      <c r="C61" s="56">
        <v>1.8077839902255639</v>
      </c>
      <c r="D61" s="56">
        <v>2.5260280000000002</v>
      </c>
      <c r="E61" s="56">
        <v>0.70440599999999998</v>
      </c>
      <c r="F61" s="8" t="s">
        <v>11</v>
      </c>
      <c r="G61" s="54"/>
      <c r="O61" s="77"/>
    </row>
    <row r="62" spans="1:15" x14ac:dyDescent="0.35">
      <c r="A62" s="5" t="s">
        <v>223</v>
      </c>
      <c r="B62" s="7" t="s">
        <v>113</v>
      </c>
      <c r="C62" s="57">
        <v>1.726685339849624</v>
      </c>
      <c r="D62" s="57">
        <v>-49.119269500000001</v>
      </c>
      <c r="E62" s="57">
        <v>0.54224499999999998</v>
      </c>
      <c r="F62" s="6" t="s">
        <v>162</v>
      </c>
      <c r="G62" s="54"/>
      <c r="O62" s="77"/>
    </row>
    <row r="63" spans="1:15" x14ac:dyDescent="0.35">
      <c r="A63" s="21" t="s">
        <v>201</v>
      </c>
      <c r="B63" s="22" t="s">
        <v>119</v>
      </c>
      <c r="C63" s="56">
        <v>1.6467103207518801</v>
      </c>
      <c r="D63" s="56">
        <v>-16.175979000000002</v>
      </c>
      <c r="E63" s="56">
        <v>-1.2265630000000001</v>
      </c>
      <c r="F63" s="8" t="s">
        <v>17</v>
      </c>
      <c r="G63" s="54"/>
      <c r="O63" s="77"/>
    </row>
    <row r="64" spans="1:15" x14ac:dyDescent="0.35">
      <c r="A64" s="5" t="s">
        <v>226</v>
      </c>
      <c r="B64" s="7" t="s">
        <v>133</v>
      </c>
      <c r="C64" s="57">
        <v>1.5796811789473679</v>
      </c>
      <c r="D64" s="57">
        <v>7.0807485000000003</v>
      </c>
      <c r="E64" s="57">
        <v>0.85699899999999996</v>
      </c>
      <c r="F64" s="6" t="s">
        <v>14</v>
      </c>
      <c r="G64" s="54"/>
      <c r="O64" s="77"/>
    </row>
    <row r="65" spans="1:15" x14ac:dyDescent="0.35">
      <c r="A65" s="21" t="s">
        <v>200</v>
      </c>
      <c r="B65" s="22" t="s">
        <v>149</v>
      </c>
      <c r="C65" s="56">
        <v>1.5650149360902261</v>
      </c>
      <c r="D65" s="56">
        <v>-0.3762956000000004</v>
      </c>
      <c r="E65" s="56">
        <v>-0.1968039</v>
      </c>
      <c r="F65" s="8" t="s">
        <v>14</v>
      </c>
      <c r="G65" s="54"/>
      <c r="O65" s="77"/>
    </row>
    <row r="66" spans="1:15" x14ac:dyDescent="0.35">
      <c r="A66" s="5" t="s">
        <v>202</v>
      </c>
      <c r="B66" s="7" t="s">
        <v>116</v>
      </c>
      <c r="C66" s="57">
        <v>1.3700921116838349</v>
      </c>
      <c r="D66" s="57">
        <v>-7.5374906212199999</v>
      </c>
      <c r="E66" s="57">
        <v>-0.54671583367999999</v>
      </c>
      <c r="F66" s="6" t="s">
        <v>10</v>
      </c>
      <c r="G66" s="54"/>
      <c r="O66" s="77"/>
    </row>
    <row r="67" spans="1:15" x14ac:dyDescent="0.35">
      <c r="A67" s="21" t="s">
        <v>209</v>
      </c>
      <c r="B67" s="22" t="s">
        <v>143</v>
      </c>
      <c r="C67" s="56">
        <v>1.327909014285714</v>
      </c>
      <c r="D67" s="56">
        <v>-0.79061349999999997</v>
      </c>
      <c r="E67" s="56">
        <v>-2.4145E-2</v>
      </c>
      <c r="F67" s="8" t="s">
        <v>162</v>
      </c>
      <c r="G67" s="54"/>
      <c r="O67" s="77"/>
    </row>
    <row r="68" spans="1:15" x14ac:dyDescent="0.35">
      <c r="A68" s="5" t="s">
        <v>214</v>
      </c>
      <c r="B68" s="7" t="s">
        <v>129</v>
      </c>
      <c r="C68" s="57">
        <v>1.3143876804511279</v>
      </c>
      <c r="D68" s="57">
        <v>13.95445</v>
      </c>
      <c r="E68" s="57">
        <v>-0.487508</v>
      </c>
      <c r="F68" s="6" t="s">
        <v>159</v>
      </c>
      <c r="G68" s="54"/>
      <c r="O68" s="77"/>
    </row>
    <row r="69" spans="1:15" x14ac:dyDescent="0.35">
      <c r="A69" s="21" t="s">
        <v>240</v>
      </c>
      <c r="B69" s="22" t="s">
        <v>114</v>
      </c>
      <c r="C69" s="56">
        <v>1.2885803007518801</v>
      </c>
      <c r="D69" s="56">
        <v>5.2253610000000004</v>
      </c>
      <c r="E69" s="56">
        <v>-0.13333500000000001</v>
      </c>
      <c r="F69" s="8" t="s">
        <v>10</v>
      </c>
      <c r="G69" s="54"/>
      <c r="O69" s="77"/>
    </row>
    <row r="70" spans="1:15" x14ac:dyDescent="0.35">
      <c r="A70" s="5" t="s">
        <v>219</v>
      </c>
      <c r="B70" s="7" t="s">
        <v>127</v>
      </c>
      <c r="C70" s="57">
        <v>1.246411914285714</v>
      </c>
      <c r="D70" s="57">
        <v>-3.2003339999999998</v>
      </c>
      <c r="E70" s="57">
        <v>0.632552</v>
      </c>
      <c r="F70" s="6" t="s">
        <v>17</v>
      </c>
      <c r="G70" s="54"/>
      <c r="O70" s="77"/>
    </row>
    <row r="71" spans="1:15" x14ac:dyDescent="0.35">
      <c r="A71" s="21" t="s">
        <v>221</v>
      </c>
      <c r="B71" s="22" t="s">
        <v>93</v>
      </c>
      <c r="C71" s="56">
        <v>1.0549158169106019</v>
      </c>
      <c r="D71" s="56">
        <v>-16.22215736743</v>
      </c>
      <c r="E71" s="56">
        <v>-0.41207149080000005</v>
      </c>
      <c r="F71" s="8" t="s">
        <v>17</v>
      </c>
      <c r="G71" s="54"/>
      <c r="O71" s="77"/>
    </row>
    <row r="72" spans="1:15" x14ac:dyDescent="0.35">
      <c r="A72" s="5" t="s">
        <v>216</v>
      </c>
      <c r="B72" s="7" t="s">
        <v>132</v>
      </c>
      <c r="C72" s="57">
        <v>1.0513995834586469</v>
      </c>
      <c r="D72" s="57">
        <v>-5.6637145000000002</v>
      </c>
      <c r="E72" s="57">
        <v>-8.3434999999999995E-2</v>
      </c>
      <c r="F72" s="6" t="s">
        <v>16</v>
      </c>
      <c r="G72" s="54"/>
      <c r="O72" s="77"/>
    </row>
    <row r="73" spans="1:15" x14ac:dyDescent="0.35">
      <c r="A73" s="21" t="s">
        <v>225</v>
      </c>
      <c r="B73" s="22" t="s">
        <v>125</v>
      </c>
      <c r="C73" s="56">
        <v>1.0291249548872179</v>
      </c>
      <c r="D73" s="56">
        <v>3.2604145</v>
      </c>
      <c r="E73" s="56">
        <v>-0.31785550000000001</v>
      </c>
      <c r="F73" s="8" t="s">
        <v>162</v>
      </c>
      <c r="G73" s="54"/>
      <c r="O73" s="77"/>
    </row>
    <row r="74" spans="1:15" x14ac:dyDescent="0.35">
      <c r="A74" s="5" t="s">
        <v>217</v>
      </c>
      <c r="B74" s="7" t="s">
        <v>150</v>
      </c>
      <c r="C74" s="57">
        <v>1.023385138345865</v>
      </c>
      <c r="D74" s="57">
        <v>-1.0782038</v>
      </c>
      <c r="E74" s="57">
        <v>7.9779999999999998E-4</v>
      </c>
      <c r="F74" s="6" t="s">
        <v>14</v>
      </c>
      <c r="G74" s="54"/>
      <c r="O74" s="77"/>
    </row>
    <row r="75" spans="1:15" x14ac:dyDescent="0.35">
      <c r="A75" s="21" t="s">
        <v>212</v>
      </c>
      <c r="B75" s="22" t="s">
        <v>136</v>
      </c>
      <c r="C75" s="56">
        <v>0.99080172330827065</v>
      </c>
      <c r="D75" s="56">
        <v>3.2120500000000003E-2</v>
      </c>
      <c r="E75" s="56">
        <v>-0.187719</v>
      </c>
      <c r="F75" s="8" t="s">
        <v>11</v>
      </c>
      <c r="G75" s="54"/>
      <c r="O75" s="77"/>
    </row>
    <row r="76" spans="1:15" x14ac:dyDescent="0.35">
      <c r="A76" s="5" t="s">
        <v>237</v>
      </c>
      <c r="B76" s="7" t="s">
        <v>157</v>
      </c>
      <c r="C76" s="57">
        <v>0.95330313684210533</v>
      </c>
      <c r="D76" s="57">
        <v>6.2946451000000003</v>
      </c>
      <c r="E76" s="57">
        <v>-0.27656040000000004</v>
      </c>
      <c r="F76" s="6" t="s">
        <v>14</v>
      </c>
      <c r="G76" s="54"/>
      <c r="O76" s="77"/>
    </row>
    <row r="77" spans="1:15" x14ac:dyDescent="0.35">
      <c r="A77" s="21" t="s">
        <v>239</v>
      </c>
      <c r="B77" s="22" t="s">
        <v>152</v>
      </c>
      <c r="C77" s="56">
        <v>0.94704135338345874</v>
      </c>
      <c r="D77" s="56">
        <v>2.340697</v>
      </c>
      <c r="E77" s="56">
        <v>-4.4703E-2</v>
      </c>
      <c r="F77" s="8" t="s">
        <v>14</v>
      </c>
      <c r="G77" s="54"/>
      <c r="O77" s="77"/>
    </row>
    <row r="78" spans="1:15" x14ac:dyDescent="0.35">
      <c r="A78" s="5" t="s">
        <v>222</v>
      </c>
      <c r="B78" s="7" t="s">
        <v>138</v>
      </c>
      <c r="C78" s="57">
        <v>0.94050983453523318</v>
      </c>
      <c r="D78" s="57">
        <v>-6.296246118800001</v>
      </c>
      <c r="E78" s="57">
        <v>-0.9701476253000002</v>
      </c>
      <c r="F78" s="6" t="s">
        <v>17</v>
      </c>
      <c r="G78" s="54"/>
      <c r="O78" s="77"/>
    </row>
    <row r="79" spans="1:15" x14ac:dyDescent="0.35">
      <c r="A79" s="21" t="s">
        <v>218</v>
      </c>
      <c r="B79" s="22" t="s">
        <v>92</v>
      </c>
      <c r="C79" s="56">
        <v>0.91860506336857151</v>
      </c>
      <c r="D79" s="56">
        <v>-5.0339029708999989</v>
      </c>
      <c r="E79" s="56">
        <v>0.41320124325000013</v>
      </c>
      <c r="F79" s="8" t="s">
        <v>14</v>
      </c>
      <c r="G79" s="54"/>
      <c r="O79" s="77"/>
    </row>
    <row r="80" spans="1:15" x14ac:dyDescent="0.35">
      <c r="A80" s="5" t="s">
        <v>233</v>
      </c>
      <c r="B80" s="7" t="s">
        <v>145</v>
      </c>
      <c r="C80" s="57">
        <v>0.91604022857142853</v>
      </c>
      <c r="D80" s="57">
        <v>7.9099575</v>
      </c>
      <c r="E80" s="57">
        <v>0.32583600000000001</v>
      </c>
      <c r="F80" s="6" t="s">
        <v>160</v>
      </c>
      <c r="G80" s="54"/>
      <c r="O80" s="77"/>
    </row>
    <row r="81" spans="1:15" x14ac:dyDescent="0.35">
      <c r="A81" s="21" t="s">
        <v>229</v>
      </c>
      <c r="B81" s="22" t="s">
        <v>131</v>
      </c>
      <c r="C81" s="56">
        <v>0.85161503936496241</v>
      </c>
      <c r="D81" s="56">
        <v>-2.5922772163099999</v>
      </c>
      <c r="E81" s="56">
        <v>0.22896676738999999</v>
      </c>
      <c r="F81" s="8" t="s">
        <v>17</v>
      </c>
      <c r="G81" s="54"/>
      <c r="O81" s="77"/>
    </row>
    <row r="82" spans="1:15" x14ac:dyDescent="0.35">
      <c r="A82" s="5" t="s">
        <v>251</v>
      </c>
      <c r="B82" s="7" t="s">
        <v>252</v>
      </c>
      <c r="C82" s="57">
        <v>0.84170142631578948</v>
      </c>
      <c r="D82" s="57">
        <v>7.0821086000000006</v>
      </c>
      <c r="E82" s="57">
        <v>-0.65986460000000002</v>
      </c>
      <c r="F82" s="6" t="s">
        <v>161</v>
      </c>
      <c r="G82" s="54"/>
      <c r="O82" s="77"/>
    </row>
    <row r="83" spans="1:15" x14ac:dyDescent="0.35">
      <c r="A83" s="21" t="s">
        <v>220</v>
      </c>
      <c r="B83" s="22" t="s">
        <v>134</v>
      </c>
      <c r="C83" s="56">
        <v>0.82567725864661656</v>
      </c>
      <c r="D83" s="56">
        <v>-8.4662244999999992</v>
      </c>
      <c r="E83" s="56">
        <v>-0.32302500000000001</v>
      </c>
      <c r="F83" s="8" t="s">
        <v>17</v>
      </c>
      <c r="G83" s="54"/>
      <c r="O83" s="77"/>
    </row>
    <row r="84" spans="1:15" x14ac:dyDescent="0.35">
      <c r="A84" s="5" t="s">
        <v>238</v>
      </c>
      <c r="B84" s="7" t="s">
        <v>147</v>
      </c>
      <c r="C84" s="57">
        <v>0.80536508515037597</v>
      </c>
      <c r="D84" s="57">
        <v>-4.8350185000000003</v>
      </c>
      <c r="E84" s="57">
        <v>3.6554120000000001</v>
      </c>
      <c r="F84" s="6" t="s">
        <v>160</v>
      </c>
      <c r="G84" s="54"/>
      <c r="O84" s="77"/>
    </row>
    <row r="85" spans="1:15" x14ac:dyDescent="0.35">
      <c r="A85" s="21" t="s">
        <v>241</v>
      </c>
      <c r="B85" s="22" t="s">
        <v>155</v>
      </c>
      <c r="C85" s="56">
        <v>0.80265831654135333</v>
      </c>
      <c r="D85" s="56">
        <v>-15.654374000000001</v>
      </c>
      <c r="E85" s="56">
        <v>-0.26558999999999999</v>
      </c>
      <c r="F85" s="8" t="s">
        <v>162</v>
      </c>
      <c r="G85" s="54"/>
      <c r="O85" s="77"/>
    </row>
    <row r="86" spans="1:15" x14ac:dyDescent="0.35">
      <c r="A86" s="5" t="s">
        <v>231</v>
      </c>
      <c r="B86" s="7" t="s">
        <v>126</v>
      </c>
      <c r="C86" s="57">
        <v>0.67029851804511287</v>
      </c>
      <c r="D86" s="57">
        <v>4.8863595000000002</v>
      </c>
      <c r="E86" s="57">
        <v>-2.5500000000000002E-4</v>
      </c>
      <c r="F86" s="6" t="s">
        <v>17</v>
      </c>
      <c r="G86" s="54"/>
      <c r="O86" s="77"/>
    </row>
    <row r="87" spans="1:15" x14ac:dyDescent="0.35">
      <c r="A87" s="21" t="s">
        <v>230</v>
      </c>
      <c r="B87" s="22" t="s">
        <v>135</v>
      </c>
      <c r="C87" s="56">
        <v>0.66896594060150372</v>
      </c>
      <c r="D87" s="56">
        <v>-5.5642969999999998</v>
      </c>
      <c r="E87" s="56">
        <v>-0.89492450000000001</v>
      </c>
      <c r="F87" s="8" t="s">
        <v>17</v>
      </c>
      <c r="G87" s="54"/>
      <c r="O87" s="77"/>
    </row>
    <row r="88" spans="1:15" x14ac:dyDescent="0.35">
      <c r="A88" s="5" t="s">
        <v>232</v>
      </c>
      <c r="B88" s="7" t="s">
        <v>86</v>
      </c>
      <c r="C88" s="57">
        <v>0.66603041353383463</v>
      </c>
      <c r="D88" s="57">
        <v>-1.435163</v>
      </c>
      <c r="E88" s="57">
        <v>-0.95883850000000004</v>
      </c>
      <c r="F88" s="6" t="s">
        <v>11</v>
      </c>
      <c r="G88" s="54"/>
      <c r="O88" s="77"/>
    </row>
    <row r="89" spans="1:15" x14ac:dyDescent="0.35">
      <c r="A89" s="21" t="s">
        <v>235</v>
      </c>
      <c r="B89" s="22" t="s">
        <v>122</v>
      </c>
      <c r="C89" s="56">
        <v>0.58339943684210527</v>
      </c>
      <c r="D89" s="56">
        <v>-2.2536749999999999</v>
      </c>
      <c r="E89" s="56">
        <v>-6.5679299999999996E-2</v>
      </c>
      <c r="F89" s="8" t="s">
        <v>161</v>
      </c>
      <c r="G89" s="54"/>
      <c r="O89" s="77"/>
    </row>
    <row r="90" spans="1:15" x14ac:dyDescent="0.35">
      <c r="A90" s="5" t="s">
        <v>228</v>
      </c>
      <c r="B90" s="7" t="s">
        <v>144</v>
      </c>
      <c r="C90" s="57">
        <v>0.56318525789473683</v>
      </c>
      <c r="D90" s="57">
        <v>-2.4687815</v>
      </c>
      <c r="E90" s="57">
        <v>-8.0403000000000002E-2</v>
      </c>
      <c r="F90" s="6" t="s">
        <v>17</v>
      </c>
      <c r="G90" s="54"/>
      <c r="O90" s="77"/>
    </row>
    <row r="91" spans="1:15" x14ac:dyDescent="0.35">
      <c r="A91" s="21" t="s">
        <v>243</v>
      </c>
      <c r="B91" s="22" t="s">
        <v>137</v>
      </c>
      <c r="C91" s="56">
        <v>0.55976293007518796</v>
      </c>
      <c r="D91" s="56">
        <v>-5.1961820000000003</v>
      </c>
      <c r="E91" s="56">
        <v>-0.1862</v>
      </c>
      <c r="F91" s="8" t="s">
        <v>11</v>
      </c>
      <c r="G91" s="54"/>
      <c r="O91" s="77"/>
    </row>
    <row r="92" spans="1:15" x14ac:dyDescent="0.35">
      <c r="A92" s="5" t="s">
        <v>245</v>
      </c>
      <c r="B92" s="7" t="s">
        <v>156</v>
      </c>
      <c r="C92" s="57">
        <v>0.52346157218045108</v>
      </c>
      <c r="D92" s="57">
        <v>0.72599200000000008</v>
      </c>
      <c r="E92" s="57">
        <v>1.0984050000000001</v>
      </c>
      <c r="F92" s="6" t="s">
        <v>14</v>
      </c>
      <c r="G92" s="54"/>
      <c r="O92" s="77"/>
    </row>
    <row r="93" spans="1:15" x14ac:dyDescent="0.35">
      <c r="A93" s="21" t="s">
        <v>247</v>
      </c>
      <c r="B93" s="22" t="s">
        <v>248</v>
      </c>
      <c r="C93" s="56">
        <v>0.49927310639097749</v>
      </c>
      <c r="D93" s="56">
        <v>-17.329557000000001</v>
      </c>
      <c r="E93" s="56">
        <v>-4.5650999999999997E-2</v>
      </c>
      <c r="F93" s="8" t="s">
        <v>15</v>
      </c>
      <c r="G93" s="54"/>
      <c r="O93" s="77"/>
    </row>
    <row r="94" spans="1:15" x14ac:dyDescent="0.35">
      <c r="A94" s="5" t="s">
        <v>236</v>
      </c>
      <c r="B94" s="7" t="s">
        <v>153</v>
      </c>
      <c r="C94" s="57">
        <v>0.48537836691729325</v>
      </c>
      <c r="D94" s="57">
        <v>-2.0643975000000001</v>
      </c>
      <c r="E94" s="57">
        <v>-0.50676399999999999</v>
      </c>
      <c r="F94" s="6" t="s">
        <v>14</v>
      </c>
      <c r="G94" s="54"/>
      <c r="O94" s="77"/>
    </row>
    <row r="95" spans="1:15" x14ac:dyDescent="0.35">
      <c r="A95" s="21" t="s">
        <v>227</v>
      </c>
      <c r="B95" s="22" t="s">
        <v>124</v>
      </c>
      <c r="C95" s="56">
        <v>0.43921097189932329</v>
      </c>
      <c r="D95" s="56">
        <v>0.79975472906000022</v>
      </c>
      <c r="E95" s="56">
        <v>0.41978751736000014</v>
      </c>
      <c r="F95" s="8" t="s">
        <v>17</v>
      </c>
      <c r="G95" s="54"/>
      <c r="O95" s="77"/>
    </row>
    <row r="96" spans="1:15" x14ac:dyDescent="0.35">
      <c r="A96" s="5" t="s">
        <v>283</v>
      </c>
      <c r="B96" s="7" t="s">
        <v>276</v>
      </c>
      <c r="C96" s="57">
        <v>0.40534881681082713</v>
      </c>
      <c r="D96" s="57">
        <v>44.691143269840005</v>
      </c>
      <c r="E96" s="57">
        <v>46.067533356590005</v>
      </c>
      <c r="F96" s="6" t="s">
        <v>17</v>
      </c>
      <c r="G96" s="54"/>
      <c r="O96" s="77"/>
    </row>
    <row r="97" spans="1:15" x14ac:dyDescent="0.35">
      <c r="A97" s="21" t="s">
        <v>242</v>
      </c>
      <c r="B97" s="22" t="s">
        <v>158</v>
      </c>
      <c r="C97" s="56">
        <v>0.40220365789473689</v>
      </c>
      <c r="D97" s="56">
        <v>-5.4056940000000004</v>
      </c>
      <c r="E97" s="56">
        <v>0.36327500000000001</v>
      </c>
      <c r="F97" s="8" t="s">
        <v>10</v>
      </c>
      <c r="G97" s="54"/>
      <c r="O97" s="77"/>
    </row>
    <row r="98" spans="1:15" x14ac:dyDescent="0.35">
      <c r="A98" s="5" t="s">
        <v>258</v>
      </c>
      <c r="B98" s="7" t="s">
        <v>259</v>
      </c>
      <c r="C98" s="57">
        <v>0.40103609849624061</v>
      </c>
      <c r="D98" s="57">
        <v>1.8603717</v>
      </c>
      <c r="E98" s="57">
        <v>-0.4789485</v>
      </c>
      <c r="F98" s="6" t="s">
        <v>11</v>
      </c>
      <c r="G98" s="54"/>
      <c r="O98" s="77"/>
    </row>
    <row r="99" spans="1:15" x14ac:dyDescent="0.35">
      <c r="A99" s="21" t="s">
        <v>270</v>
      </c>
      <c r="B99" s="22" t="s">
        <v>271</v>
      </c>
      <c r="C99" s="56">
        <v>0.39754410150375941</v>
      </c>
      <c r="D99" s="56">
        <v>-1.2987705</v>
      </c>
      <c r="E99" s="56">
        <v>-0.60681450000000003</v>
      </c>
      <c r="F99" s="8" t="s">
        <v>160</v>
      </c>
      <c r="G99" s="54"/>
      <c r="O99" s="77"/>
    </row>
    <row r="100" spans="1:15" x14ac:dyDescent="0.35">
      <c r="A100" s="5" t="s">
        <v>253</v>
      </c>
      <c r="B100" s="7" t="s">
        <v>254</v>
      </c>
      <c r="C100" s="57">
        <v>0.3943180781954887</v>
      </c>
      <c r="D100" s="57">
        <v>6.759277</v>
      </c>
      <c r="E100" s="57">
        <v>0.112516</v>
      </c>
      <c r="F100" s="6" t="s">
        <v>11</v>
      </c>
      <c r="G100" s="54"/>
      <c r="O100" s="77"/>
    </row>
    <row r="101" spans="1:15" x14ac:dyDescent="0.35">
      <c r="A101" s="80" t="s">
        <v>234</v>
      </c>
      <c r="B101" s="81" t="s">
        <v>154</v>
      </c>
      <c r="C101" s="82">
        <v>0.38596094613609033</v>
      </c>
      <c r="D101" s="82">
        <v>9.3505865992000015</v>
      </c>
      <c r="E101" s="82">
        <v>0.27684994610000002</v>
      </c>
      <c r="F101" s="9" t="s">
        <v>162</v>
      </c>
      <c r="G101" s="54"/>
    </row>
    <row r="102" spans="1:15" x14ac:dyDescent="0.35">
      <c r="A102" s="46"/>
      <c r="B102" s="10"/>
      <c r="C102" s="10"/>
      <c r="D102" s="10"/>
      <c r="E102" s="10"/>
      <c r="F102" s="47"/>
    </row>
    <row r="105" spans="1:15" x14ac:dyDescent="0.35">
      <c r="A105" s="11" t="s">
        <v>80</v>
      </c>
    </row>
    <row r="106" spans="1:15" x14ac:dyDescent="0.35">
      <c r="A106" s="11" t="s">
        <v>141</v>
      </c>
    </row>
    <row r="107" spans="1:15" x14ac:dyDescent="0.35">
      <c r="A107" s="11" t="s">
        <v>140</v>
      </c>
    </row>
    <row r="108" spans="1:15" x14ac:dyDescent="0.35">
      <c r="A108" s="11" t="s">
        <v>146</v>
      </c>
    </row>
    <row r="109" spans="1:15" x14ac:dyDescent="0.35">
      <c r="A109" s="11" t="s">
        <v>73</v>
      </c>
    </row>
  </sheetData>
  <conditionalFormatting sqref="D2:E101">
    <cfRule type="cellIs" dxfId="0" priority="1" operator="lessThan">
      <formula>0</formula>
    </cfRule>
  </conditionalFormatting>
  <pageMargins left="0.7" right="0.7" top="0.75" bottom="0.75" header="0.3" footer="0.3"/>
  <pageSetup scale="65" orientation="portrait" r:id="rId1"/>
  <ignoredErrors>
    <ignoredError sqref="B6 B36 B67 B84"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Benjamin Leong</cp:lastModifiedBy>
  <cp:lastPrinted>2024-07-01T01:26:22Z</cp:lastPrinted>
  <dcterms:created xsi:type="dcterms:W3CDTF">2020-01-13T01:31:10Z</dcterms:created>
  <dcterms:modified xsi:type="dcterms:W3CDTF">2024-07-15T04:49:58Z</dcterms:modified>
</cp:coreProperties>
</file>