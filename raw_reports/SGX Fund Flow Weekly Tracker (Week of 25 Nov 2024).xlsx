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128E37C-31E2-4FFC-A097-2C14CDC2BBD3}"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C32" i="4"/>
  <c r="A1" i="5" l="1"/>
  <c r="F5" i="1"/>
  <c r="C18" i="1"/>
  <c r="F18" i="1" s="1"/>
  <c r="D32" i="4" l="1"/>
  <c r="A1" i="4" l="1"/>
</calcChain>
</file>

<file path=xl/sharedStrings.xml><?xml version="1.0" encoding="utf-8"?>
<sst xmlns="http://schemas.openxmlformats.org/spreadsheetml/2006/main" count="517" uniqueCount="280">
  <si>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</si>
  <si>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</si>
  <si>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</si>
  <si>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</si>
  <si>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</si>
  <si>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</si>
  <si>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</si>
  <si>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</si>
  <si>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</si>
  <si>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</si>
  <si>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</si>
  <si>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</si>
  <si>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</si>
  <si>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</si>
  <si>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</si>
  <si>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</si>
  <si>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</si>
  <si>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</si>
  <si>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</si>
  <si>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</si>
  <si>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</si>
  <si>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</si>
  <si>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</si>
  <si>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</si>
  <si>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</si>
  <si>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</si>
  <si>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</si>
  <si>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</si>
  <si>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</si>
  <si>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</si>
  <si>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</si>
  <si>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</si>
  <si>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</si>
  <si>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</si>
  <si>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</si>
  <si>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</si>
  <si>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</si>
  <si>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</si>
  <si>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</si>
  <si>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</si>
  <si>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</si>
  <si>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</si>
  <si>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</si>
  <si>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</si>
  <si>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</si>
  <si>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</si>
  <si>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</si>
  <si>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</si>
  <si>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</si>
  <si>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</si>
  <si>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</si>
  <si>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</si>
  <si>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</si>
  <si>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</si>
  <si>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</si>
  <si>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</si>
  <si>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</si>
  <si>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</si>
  <si>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</si>
  <si>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</si>
  <si>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</si>
  <si>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</si>
  <si>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</si>
  <si>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</si>
  <si>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</si>
  <si>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</si>
  <si>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</si>
  <si>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</si>
  <si>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</si>
  <si>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</si>
  <si>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</si>
  <si>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</si>
  <si>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</si>
  <si>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</si>
  <si>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</si>
  <si>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</si>
  <si>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</si>
  <si>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</si>
  <si>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</si>
  <si>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</si>
  <si>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</si>
  <si>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</si>
  <si>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</si>
  <si>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</si>
  <si>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</si>
  <si>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</si>
  <si>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</si>
  <si>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</si>
  <si>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</si>
  <si>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</si>
  <si>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</si>
  <si>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</si>
  <si>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</si>
  <si>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</si>
  <si>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</si>
  <si>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</si>
  <si>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</si>
  <si>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</si>
  <si>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</si>
  <si>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</si>
  <si>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</si>
  <si>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</si>
  <si>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</si>
  <si>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</si>
  <si>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</si>
  <si>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</si>
  <si>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</si>
  <si>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</si>
  <si>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</si>
  <si>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</si>
  <si>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</si>
  <si>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</si>
  <si>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</si>
  <si>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</si>
  <si>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</si>
  <si>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</si>
  <si>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</si>
  <si>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</si>
  <si>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</si>
  <si>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</si>
  <si>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</si>
  <si>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</si>
  <si>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</si>
  <si>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</si>
  <si>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</si>
  <si>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</si>
  <si>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</si>
  <si>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</si>
  <si>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</si>
  <si>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</si>
  <si>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</si>
  <si>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</si>
  <si>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</si>
  <si>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</si>
  <si>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</si>
  <si>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</si>
  <si>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</si>
  <si>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</si>
  <si>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</si>
  <si>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</si>
  <si>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</si>
  <si>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</si>
  <si>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</si>
  <si>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</si>
  <si>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</si>
  <si>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</si>
  <si>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</si>
  <si>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</si>
  <si>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</si>
  <si>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</si>
  <si>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</si>
  <si>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</si>
  <si>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</si>
  <si>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</si>
  <si>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</si>
  <si>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</si>
  <si>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</si>
  <si>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</si>
  <si>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</si>
  <si>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</si>
  <si>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</si>
  <si>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</si>
  <si>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</si>
  <si>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</si>
  <si>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</si>
  <si>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</si>
  <si>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</si>
  <si>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</si>
  <si>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</si>
  <si>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</si>
  <si>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</si>
  <si>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</si>
  <si>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</si>
  <si>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</si>
  <si>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</si>
  <si>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</si>
  <si>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</si>
  <si>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</si>
  <si>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</si>
  <si>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</si>
  <si>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</si>
  <si>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</si>
  <si>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</si>
  <si>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</si>
  <si>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</si>
  <si>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</si>
  <si>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</si>
  <si>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</si>
  <si>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</si>
  <si>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</si>
  <si>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</si>
  <si>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</si>
  <si>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</si>
  <si>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</si>
  <si>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</si>
  <si>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</si>
  <si>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</si>
  <si>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</si>
  <si>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</si>
  <si>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</si>
  <si>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</si>
  <si>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</si>
  <si>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</si>
  <si>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</si>
  <si>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</si>
  <si>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</si>
  <si>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</si>
  <si>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</si>
  <si>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</si>
  <si>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</si>
  <si>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</si>
  <si>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</si>
  <si>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</si>
  <si>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</si>
  <si>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</si>
  <si>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</si>
  <si>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</si>
  <si>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</si>
  <si>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</si>
  <si>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</si>
  <si>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</si>
  <si>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</si>
  <si>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</si>
  <si>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</si>
  <si>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</si>
  <si>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</si>
  <si>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</si>
  <si>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</si>
  <si>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</si>
  <si>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</si>
  <si>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</si>
  <si>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</si>
  <si>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</si>
  <si>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</si>
  <si>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</si>
  <si>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</si>
  <si>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</si>
  <si>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</si>
  <si>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</si>
  <si>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</si>
  <si>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</si>
  <si>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</si>
  <si>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</si>
  <si>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</si>
  <si>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</si>
  <si>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</si>
  <si>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</si>
  <si>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</si>
  <si>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</si>
  <si>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</si>
  <si>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sgx.com/research</t>
  </si>
  <si>
    <t>To sign up for daily market updates or for more information, please contact research@SGX.com.</t>
  </si>
  <si>
    <t>5CP</t>
  </si>
  <si>
    <t>Silverlake Axis</t>
  </si>
  <si>
    <t>Sasseur Reit</t>
  </si>
  <si>
    <t>CRPU</t>
  </si>
  <si>
    <t>Centurion</t>
  </si>
  <si>
    <t>OU8</t>
  </si>
  <si>
    <t>NSL</t>
  </si>
  <si>
    <t>N02</t>
  </si>
  <si>
    <t>E3B</t>
  </si>
  <si>
    <t>Beng Kuang</t>
  </si>
  <si>
    <t>Wee Hur</t>
  </si>
  <si>
    <t>Past 5 Sessions Institution Net Buy (+) / Net Sell (-) (S$M)</t>
  </si>
  <si>
    <t>Keppel DC REIT</t>
  </si>
  <si>
    <t>Man Oriental USD</t>
  </si>
  <si>
    <t>M04</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</si>
  <si>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</si>
  <si>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 REIT</t>
  </si>
  <si>
    <t>Bumitama Agri</t>
  </si>
  <si>
    <t>P8Z</t>
  </si>
  <si>
    <t xml:space="preserve">Frasers Centrepoint Trust </t>
  </si>
  <si>
    <t>Yangzijiang Financial</t>
  </si>
  <si>
    <t>H15</t>
  </si>
  <si>
    <t>Week of 25 November 2024</t>
  </si>
  <si>
    <r>
      <t xml:space="preserve">Institutional investors net </t>
    </r>
    <r>
      <rPr>
        <b/>
        <sz val="11"/>
        <rFont val="Arial"/>
        <family val="2"/>
      </rPr>
      <t>buy</t>
    </r>
    <r>
      <rPr>
        <sz val="11"/>
        <rFont val="Arial"/>
        <family val="2"/>
      </rPr>
      <t xml:space="preserve"> (+S$195.5m) vs. (-S$67.7m) a week ago</t>
    </r>
  </si>
  <si>
    <r>
      <t xml:space="preserve">Retail investors net </t>
    </r>
    <r>
      <rPr>
        <b/>
        <sz val="11"/>
        <rFont val="Arial"/>
        <family val="2"/>
      </rPr>
      <t>buy</t>
    </r>
    <r>
      <rPr>
        <sz val="11"/>
        <rFont val="Arial"/>
        <family val="2"/>
      </rPr>
      <t xml:space="preserve"> (+S$116.5m) vs. (-S$53.0m) a week ago</t>
    </r>
  </si>
  <si>
    <t>Hotel Properties</t>
  </si>
  <si>
    <t>AEM Holdings</t>
  </si>
  <si>
    <t>Seatrium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</si>
</sst>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0.5703125" style="40"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274</v>
      </c>
      <c r="C1" s="81"/>
    </row>
    <row r="2" spans="1:13" ht="15" x14ac:dyDescent="0.25">
      <c r="A2" s="69" t="s">
        <v>275</v>
      </c>
      <c r="I2" s="50"/>
    </row>
    <row r="3" spans="1:13" ht="15" x14ac:dyDescent="0.25">
      <c r="A3" s="69" t="s">
        <v>276</v>
      </c>
      <c r="I3" s="50"/>
    </row>
    <row r="5" spans="1:13" ht="29.25" customHeight="1" x14ac:dyDescent="0.2">
      <c r="A5" s="3" t="s">
        <v>0</v>
      </c>
      <c r="B5" s="3" t="s">
        <v>1</v>
      </c>
      <c r="C5" s="4" t="s">
        <v>274</v>
      </c>
      <c r="D5" s="60" t="s">
        <v>2</v>
      </c>
      <c r="E5" s="60" t="s">
        <v>1</v>
      </c>
      <c r="F5" s="61" t="str">
        <f>+C5</f>
        <v>Week of 25 November 2024</v>
      </c>
      <c r="I5" s="2"/>
    </row>
    <row r="6" spans="1:13" ht="15" x14ac:dyDescent="0.25">
      <c r="A6" s="34" t="s">
        <v>61</v>
      </c>
      <c r="B6" s="63" t="s">
        <v>53</v>
      </c>
      <c r="C6" s="6">
        <v>95.753021000000004</v>
      </c>
      <c r="D6" s="34" t="s">
        <v>84</v>
      </c>
      <c r="E6" s="63" t="s">
        <v>83</v>
      </c>
      <c r="F6" s="6">
        <v>-21.104002000000001</v>
      </c>
      <c r="M6"/>
    </row>
    <row r="7" spans="1:13" ht="15" x14ac:dyDescent="0.25">
      <c r="A7" s="35" t="s">
        <v>27</v>
      </c>
      <c r="B7" s="10" t="s">
        <v>22</v>
      </c>
      <c r="C7" s="8">
        <v>66.434220999999994</v>
      </c>
      <c r="D7" s="35" t="s">
        <v>79</v>
      </c>
      <c r="E7" s="10" t="s">
        <v>78</v>
      </c>
      <c r="F7" s="8">
        <v>-15.3854015</v>
      </c>
      <c r="L7"/>
      <c r="M7"/>
    </row>
    <row r="8" spans="1:13" ht="15" x14ac:dyDescent="0.25">
      <c r="A8" s="36" t="s">
        <v>146</v>
      </c>
      <c r="B8" s="63" t="s">
        <v>32</v>
      </c>
      <c r="C8" s="6">
        <v>30.373591999999999</v>
      </c>
      <c r="D8" s="36" t="s">
        <v>64</v>
      </c>
      <c r="E8" s="63" t="s">
        <v>55</v>
      </c>
      <c r="F8" s="6">
        <v>-9.859826892000001</v>
      </c>
      <c r="L8"/>
      <c r="M8"/>
    </row>
    <row r="9" spans="1:13" ht="15" x14ac:dyDescent="0.25">
      <c r="A9" s="35" t="s">
        <v>26</v>
      </c>
      <c r="B9" s="10" t="s">
        <v>21</v>
      </c>
      <c r="C9" s="8">
        <v>27.715965000000001</v>
      </c>
      <c r="D9" s="35" t="s">
        <v>49</v>
      </c>
      <c r="E9" s="10" t="s">
        <v>47</v>
      </c>
      <c r="F9" s="8">
        <v>-9.7084536999999926</v>
      </c>
      <c r="L9"/>
      <c r="M9"/>
    </row>
    <row r="10" spans="1:13" ht="15" x14ac:dyDescent="0.25">
      <c r="A10" s="36" t="s">
        <v>77</v>
      </c>
      <c r="B10" s="63" t="s">
        <v>56</v>
      </c>
      <c r="C10" s="6">
        <v>21.844709000000002</v>
      </c>
      <c r="D10" s="36" t="s">
        <v>33</v>
      </c>
      <c r="E10" s="63" t="s">
        <v>31</v>
      </c>
      <c r="F10" s="6">
        <v>-7.8074909999999997</v>
      </c>
      <c r="L10"/>
      <c r="M10"/>
    </row>
    <row r="11" spans="1:13" ht="15" x14ac:dyDescent="0.25">
      <c r="A11" s="35" t="s">
        <v>60</v>
      </c>
      <c r="B11" s="10" t="s">
        <v>51</v>
      </c>
      <c r="C11" s="8">
        <v>14.2429465</v>
      </c>
      <c r="D11" s="35" t="s">
        <v>39</v>
      </c>
      <c r="E11" s="10" t="s">
        <v>37</v>
      </c>
      <c r="F11" s="8">
        <v>-7.6991930000000002</v>
      </c>
      <c r="L11"/>
      <c r="M11"/>
    </row>
    <row r="12" spans="1:13" ht="15" x14ac:dyDescent="0.25">
      <c r="A12" s="36" t="s">
        <v>29</v>
      </c>
      <c r="B12" s="63" t="s">
        <v>24</v>
      </c>
      <c r="C12" s="6">
        <v>12.929387</v>
      </c>
      <c r="D12" s="36" t="s">
        <v>271</v>
      </c>
      <c r="E12" s="63" t="s">
        <v>107</v>
      </c>
      <c r="F12" s="6">
        <v>-7.0620520000000004</v>
      </c>
      <c r="L12"/>
      <c r="M12"/>
    </row>
    <row r="13" spans="1:13" ht="15" x14ac:dyDescent="0.25">
      <c r="A13" s="35" t="s">
        <v>62</v>
      </c>
      <c r="B13" s="10" t="s">
        <v>52</v>
      </c>
      <c r="C13" s="8">
        <v>9.1675213567000071</v>
      </c>
      <c r="D13" s="35" t="s">
        <v>278</v>
      </c>
      <c r="E13" s="10" t="s">
        <v>89</v>
      </c>
      <c r="F13" s="8">
        <v>-6.7173970000000001</v>
      </c>
      <c r="L13"/>
      <c r="M13"/>
    </row>
    <row r="14" spans="1:13" ht="15" x14ac:dyDescent="0.25">
      <c r="A14" s="36" t="s">
        <v>140</v>
      </c>
      <c r="B14" s="63" t="s">
        <v>245</v>
      </c>
      <c r="C14" s="6">
        <v>6.5625939999999998</v>
      </c>
      <c r="D14" s="36" t="s">
        <v>268</v>
      </c>
      <c r="E14" s="63" t="s">
        <v>100</v>
      </c>
      <c r="F14" s="6">
        <v>-5.9408225000000003</v>
      </c>
      <c r="L14"/>
      <c r="M14"/>
    </row>
    <row r="15" spans="1:13" ht="15" x14ac:dyDescent="0.25">
      <c r="A15" s="37" t="s">
        <v>222</v>
      </c>
      <c r="B15" s="33" t="s">
        <v>131</v>
      </c>
      <c r="C15" s="9">
        <v>5.4357220000000002</v>
      </c>
      <c r="D15" s="37" t="s">
        <v>247</v>
      </c>
      <c r="E15" s="33" t="s">
        <v>58</v>
      </c>
      <c r="F15" s="9">
        <v>-5.1654520000000002</v>
      </c>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25 November 2024</v>
      </c>
      <c r="D18" s="62" t="s">
        <v>4</v>
      </c>
      <c r="E18" s="60" t="s">
        <v>1</v>
      </c>
      <c r="F18" s="61" t="str">
        <f>+C18</f>
        <v>Week of 25 November 2024</v>
      </c>
    </row>
    <row r="19" spans="1:9" x14ac:dyDescent="0.2">
      <c r="A19" s="36" t="s">
        <v>61</v>
      </c>
      <c r="B19" s="63" t="s">
        <v>53</v>
      </c>
      <c r="C19" s="20">
        <v>54.671210000000002</v>
      </c>
      <c r="D19" s="36" t="s">
        <v>60</v>
      </c>
      <c r="E19" s="19" t="s">
        <v>51</v>
      </c>
      <c r="F19" s="6">
        <v>-20.645184</v>
      </c>
      <c r="I19" s="2"/>
    </row>
    <row r="20" spans="1:9" x14ac:dyDescent="0.2">
      <c r="A20" s="35" t="s">
        <v>26</v>
      </c>
      <c r="B20" s="10" t="s">
        <v>21</v>
      </c>
      <c r="C20" s="8">
        <v>28.898167000000001</v>
      </c>
      <c r="D20" s="35" t="s">
        <v>146</v>
      </c>
      <c r="E20" s="22" t="s">
        <v>32</v>
      </c>
      <c r="F20" s="8">
        <v>-17.843475999999999</v>
      </c>
      <c r="I20" s="2"/>
    </row>
    <row r="21" spans="1:9" x14ac:dyDescent="0.2">
      <c r="A21" s="36" t="s">
        <v>27</v>
      </c>
      <c r="B21" s="63" t="s">
        <v>22</v>
      </c>
      <c r="C21" s="6">
        <v>23.533657000000002</v>
      </c>
      <c r="D21" s="36" t="s">
        <v>264</v>
      </c>
      <c r="E21" s="7" t="s">
        <v>76</v>
      </c>
      <c r="F21" s="6">
        <v>-12.883527000000001</v>
      </c>
      <c r="I21" s="2"/>
    </row>
    <row r="22" spans="1:9" x14ac:dyDescent="0.2">
      <c r="A22" s="35" t="s">
        <v>39</v>
      </c>
      <c r="B22" s="10" t="s">
        <v>37</v>
      </c>
      <c r="C22" s="8">
        <v>16.027826999999998</v>
      </c>
      <c r="D22" s="35" t="s">
        <v>140</v>
      </c>
      <c r="E22" s="22" t="s">
        <v>245</v>
      </c>
      <c r="F22" s="8">
        <v>-9.5245949999999997</v>
      </c>
      <c r="I22" s="2"/>
    </row>
    <row r="23" spans="1:9" x14ac:dyDescent="0.2">
      <c r="A23" s="36" t="s">
        <v>84</v>
      </c>
      <c r="B23" s="63" t="s">
        <v>83</v>
      </c>
      <c r="C23" s="6">
        <v>12.796163999999999</v>
      </c>
      <c r="D23" s="36" t="s">
        <v>222</v>
      </c>
      <c r="E23" s="7" t="s">
        <v>131</v>
      </c>
      <c r="F23" s="6">
        <v>-6.691344</v>
      </c>
      <c r="I23" s="2"/>
    </row>
    <row r="24" spans="1:9" x14ac:dyDescent="0.2">
      <c r="A24" s="35" t="s">
        <v>44</v>
      </c>
      <c r="B24" s="10" t="s">
        <v>41</v>
      </c>
      <c r="C24" s="8">
        <v>11.949811</v>
      </c>
      <c r="D24" s="35" t="s">
        <v>63</v>
      </c>
      <c r="E24" s="22" t="s">
        <v>54</v>
      </c>
      <c r="F24" s="8">
        <v>-6.4251860000000001</v>
      </c>
      <c r="I24" s="2"/>
    </row>
    <row r="25" spans="1:9" x14ac:dyDescent="0.2">
      <c r="A25" s="36" t="s">
        <v>36</v>
      </c>
      <c r="B25" s="63" t="s">
        <v>35</v>
      </c>
      <c r="C25" s="6">
        <v>9.4464354999999998</v>
      </c>
      <c r="D25" s="36" t="s">
        <v>50</v>
      </c>
      <c r="E25" s="7" t="s">
        <v>48</v>
      </c>
      <c r="F25" s="6">
        <v>-4.8521960000000002</v>
      </c>
      <c r="I25" s="2"/>
    </row>
    <row r="26" spans="1:9" x14ac:dyDescent="0.2">
      <c r="A26" s="35" t="s">
        <v>28</v>
      </c>
      <c r="B26" s="10" t="s">
        <v>23</v>
      </c>
      <c r="C26" s="8">
        <v>8.0936620000000001</v>
      </c>
      <c r="D26" s="35" t="s">
        <v>272</v>
      </c>
      <c r="E26" s="22" t="s">
        <v>110</v>
      </c>
      <c r="F26" s="8">
        <v>-3.8828705000000001</v>
      </c>
      <c r="I26" s="2"/>
    </row>
    <row r="27" spans="1:9" x14ac:dyDescent="0.2">
      <c r="A27" s="36" t="s">
        <v>33</v>
      </c>
      <c r="B27" s="63" t="s">
        <v>31</v>
      </c>
      <c r="C27" s="6">
        <v>6.8128570000000002</v>
      </c>
      <c r="D27" s="36" t="s">
        <v>277</v>
      </c>
      <c r="E27" s="7" t="s">
        <v>273</v>
      </c>
      <c r="F27" s="6">
        <v>-3.7454700000000001</v>
      </c>
      <c r="I27" s="2"/>
    </row>
    <row r="28" spans="1:9" x14ac:dyDescent="0.2">
      <c r="A28" s="33" t="s">
        <v>49</v>
      </c>
      <c r="B28" s="76" t="s">
        <v>47</v>
      </c>
      <c r="C28" s="9">
        <v>6.7095649000000002</v>
      </c>
      <c r="D28" s="33" t="s">
        <v>29</v>
      </c>
      <c r="E28" s="76" t="s">
        <v>24</v>
      </c>
      <c r="F28" s="9">
        <v>-2.987031</v>
      </c>
      <c r="I28" s="2"/>
    </row>
    <row r="29" spans="1:9" x14ac:dyDescent="0.2">
      <c r="A29" s="10"/>
      <c r="B29" s="10"/>
      <c r="C29" s="10"/>
      <c r="D29" s="10"/>
      <c r="E29" s="10"/>
      <c r="F29" s="10"/>
    </row>
    <row r="30" spans="1:9" x14ac:dyDescent="0.2">
      <c r="A30" s="11" t="s">
        <v>238</v>
      </c>
      <c r="B30" s="11"/>
      <c r="C30" s="10"/>
      <c r="D30" s="10"/>
      <c r="E30" s="10"/>
      <c r="F30" s="10"/>
    </row>
    <row r="31" spans="1:9" x14ac:dyDescent="0.2">
      <c r="A31" s="11" t="s">
        <v>80</v>
      </c>
      <c r="B31" s="11"/>
      <c r="C31" s="10"/>
      <c r="D31" s="10"/>
      <c r="E31" s="10"/>
      <c r="F31" s="10"/>
    </row>
    <row r="32" spans="1:9" x14ac:dyDescent="0.2">
      <c r="A32" s="11" t="s">
        <v>239</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251</v>
      </c>
      <c r="B38" s="24"/>
      <c r="C38" s="25"/>
      <c r="D38" s="25"/>
      <c r="E38" s="24"/>
      <c r="F38" s="24"/>
      <c r="I38" s="38"/>
    </row>
    <row r="39" spans="1:9" s="30" customFormat="1" ht="19.350000000000001" customHeight="1" x14ac:dyDescent="0.25">
      <c r="A39" s="27" t="s">
        <v>250</v>
      </c>
      <c r="B39" s="28"/>
      <c r="C39" s="29"/>
      <c r="D39" s="29"/>
      <c r="E39" s="28"/>
      <c r="F39" s="28"/>
      <c r="I39" s="41"/>
    </row>
    <row r="40" spans="1:9" ht="169.35" customHeight="1" x14ac:dyDescent="0.2">
      <c r="A40" s="82" t="s">
        <v>267</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E29 B14 E2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101.17559554171004</v>
      </c>
      <c r="B3" s="71">
        <v>45600</v>
      </c>
      <c r="C3" s="15">
        <v>-18.05216638968</v>
      </c>
      <c r="D3" s="15">
        <v>8.986690052800002</v>
      </c>
      <c r="E3" s="15">
        <v>0.12742439999999999</v>
      </c>
      <c r="F3" s="15">
        <v>204.0702416</v>
      </c>
      <c r="G3" s="15">
        <v>-2.8107061200000099E-2</v>
      </c>
      <c r="H3" s="15">
        <v>33.161659243639996</v>
      </c>
      <c r="I3" s="15">
        <v>-0.54329060000000007</v>
      </c>
      <c r="J3" s="15">
        <v>22.064192457200001</v>
      </c>
      <c r="K3" s="15">
        <v>-168.34216366104999</v>
      </c>
      <c r="L3" s="15">
        <v>-13.798818300000001</v>
      </c>
      <c r="M3" s="15">
        <v>37.916519299999997</v>
      </c>
      <c r="N3" s="15">
        <v>-4.3865855000000007</v>
      </c>
    </row>
    <row r="4" spans="1:15" ht="15" x14ac:dyDescent="0.25">
      <c r="A4" s="44">
        <f>SUM(C4:N4)</f>
        <v>277.43070286595992</v>
      </c>
      <c r="B4" s="12">
        <v>45607</v>
      </c>
      <c r="C4" s="70">
        <v>-29.452466242169983</v>
      </c>
      <c r="D4" s="70">
        <v>-9.7970889268999954</v>
      </c>
      <c r="E4" s="70">
        <v>-0.333007</v>
      </c>
      <c r="F4" s="70">
        <v>355.67897739999989</v>
      </c>
      <c r="G4" s="70">
        <v>0.26830302119999988</v>
      </c>
      <c r="H4" s="70">
        <v>4.401238486769997</v>
      </c>
      <c r="I4" s="70">
        <v>-5.3051033999999992</v>
      </c>
      <c r="J4" s="70">
        <v>-4.9344767088999975</v>
      </c>
      <c r="K4" s="70">
        <v>-23.350306164039999</v>
      </c>
      <c r="L4" s="70">
        <v>-15.840988899999997</v>
      </c>
      <c r="M4" s="70">
        <v>-0.11857070000000558</v>
      </c>
      <c r="N4" s="70">
        <v>6.2141920000000006</v>
      </c>
    </row>
    <row r="5" spans="1:15" ht="15" x14ac:dyDescent="0.25">
      <c r="A5" s="44">
        <f>SUM(C5:N5)</f>
        <v>-67.65074505202999</v>
      </c>
      <c r="B5" s="71">
        <v>45614</v>
      </c>
      <c r="C5" s="15">
        <v>-5.1392595613500003</v>
      </c>
      <c r="D5" s="15">
        <v>-7.8284785576999996</v>
      </c>
      <c r="E5" s="15">
        <v>6.7776661000000002</v>
      </c>
      <c r="F5" s="15">
        <v>31.971680800000001</v>
      </c>
      <c r="G5" s="15">
        <v>3.5650039301000001</v>
      </c>
      <c r="H5" s="15">
        <v>20.391818959239998</v>
      </c>
      <c r="I5" s="15">
        <v>-0.73283310000000002</v>
      </c>
      <c r="J5" s="15">
        <v>8.7318154819000018</v>
      </c>
      <c r="K5" s="15">
        <v>-138.83817030422</v>
      </c>
      <c r="L5" s="15">
        <v>1.1632603000000001</v>
      </c>
      <c r="M5" s="15">
        <v>-1.718055099999988</v>
      </c>
      <c r="N5" s="15">
        <v>14.004806</v>
      </c>
    </row>
    <row r="6" spans="1:15" ht="15" x14ac:dyDescent="0.25">
      <c r="A6" s="44">
        <f>SUM(C6:N6)</f>
        <v>195.48282005193008</v>
      </c>
      <c r="B6" s="80">
        <v>45621</v>
      </c>
      <c r="C6" s="70">
        <v>9.299477301110004</v>
      </c>
      <c r="D6" s="70">
        <v>9.1611908292000024</v>
      </c>
      <c r="E6" s="70">
        <v>0.2855452</v>
      </c>
      <c r="F6" s="70">
        <v>91.36949420000002</v>
      </c>
      <c r="G6" s="70">
        <v>-2.9398095573999994</v>
      </c>
      <c r="H6" s="70">
        <v>131.52726462906003</v>
      </c>
      <c r="I6" s="70">
        <v>0.22808290000000014</v>
      </c>
      <c r="J6" s="70">
        <v>-9.5492068919999991</v>
      </c>
      <c r="K6" s="70">
        <v>-10.193595758040001</v>
      </c>
      <c r="L6" s="70">
        <v>-9.0491928000000001</v>
      </c>
      <c r="M6" s="70">
        <v>-11.255659999999992</v>
      </c>
      <c r="N6" s="70">
        <v>-3.4007700000000001</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A7 A3:A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-419.55044874634024</v>
      </c>
      <c r="B3" s="64">
        <v>45600</v>
      </c>
      <c r="C3" s="56">
        <v>23.36171812812</v>
      </c>
      <c r="D3" s="56">
        <v>-10.6086092149</v>
      </c>
      <c r="E3" s="56">
        <v>-1.5973508999999999</v>
      </c>
      <c r="F3" s="56">
        <v>-585.60262850000004</v>
      </c>
      <c r="G3" s="56">
        <v>-1.9594046144999999</v>
      </c>
      <c r="H3" s="56">
        <v>-53.633307890659999</v>
      </c>
      <c r="I3" s="56">
        <v>2.3560417999999999</v>
      </c>
      <c r="J3" s="56">
        <v>-3.9437149985</v>
      </c>
      <c r="K3" s="56">
        <v>204.37729877710001</v>
      </c>
      <c r="L3" s="56">
        <v>13.796064967</v>
      </c>
      <c r="M3" s="56">
        <v>-18.677563800000001</v>
      </c>
      <c r="N3" s="56">
        <v>12.5810075</v>
      </c>
      <c r="P3" s="14"/>
    </row>
    <row r="4" spans="1:18" ht="15" x14ac:dyDescent="0.25">
      <c r="A4" s="65">
        <f>SUM(C4:N4)</f>
        <v>-13.22503818012996</v>
      </c>
      <c r="B4" s="12">
        <v>45607</v>
      </c>
      <c r="C4" s="74">
        <v>31.313212812120007</v>
      </c>
      <c r="D4" s="74">
        <v>8.9571724775999968</v>
      </c>
      <c r="E4" s="74">
        <v>-0.19600489999999995</v>
      </c>
      <c r="F4" s="74">
        <v>-179.11699179999999</v>
      </c>
      <c r="G4" s="74">
        <v>-3.0854379623999986</v>
      </c>
      <c r="H4" s="74">
        <v>19.137544781190009</v>
      </c>
      <c r="I4" s="74">
        <v>2.6980089000000005</v>
      </c>
      <c r="J4" s="74">
        <v>13.497997082700001</v>
      </c>
      <c r="K4" s="74">
        <v>44.869256128660012</v>
      </c>
      <c r="L4" s="74">
        <v>22.942405300000004</v>
      </c>
      <c r="M4" s="74">
        <v>31.908757000000001</v>
      </c>
      <c r="N4" s="74">
        <v>-6.1509580000000001</v>
      </c>
      <c r="P4" s="14"/>
    </row>
    <row r="5" spans="1:18" ht="15" x14ac:dyDescent="0.25">
      <c r="A5" s="65">
        <f>SUM(C5:N5)</f>
        <v>-52.973506405400023</v>
      </c>
      <c r="B5" s="64">
        <v>45614</v>
      </c>
      <c r="C5" s="56">
        <v>-1.0517864991499999</v>
      </c>
      <c r="D5" s="56">
        <v>-3.6795603465000002</v>
      </c>
      <c r="E5" s="56">
        <v>-6.7486148999999997</v>
      </c>
      <c r="F5" s="56">
        <v>-46.019417600000011</v>
      </c>
      <c r="G5" s="56">
        <v>-4.0433275747999993</v>
      </c>
      <c r="H5" s="56">
        <v>-96.722093926830013</v>
      </c>
      <c r="I5" s="56">
        <v>2.2247252999999998</v>
      </c>
      <c r="J5" s="56">
        <v>-3.4256706644000001</v>
      </c>
      <c r="K5" s="56">
        <v>87.618637306280007</v>
      </c>
      <c r="L5" s="56">
        <v>1.0867070999999999</v>
      </c>
      <c r="M5" s="56">
        <v>27.222717899999999</v>
      </c>
      <c r="N5" s="56">
        <v>-9.4358224999999987</v>
      </c>
      <c r="P5" s="14"/>
    </row>
    <row r="6" spans="1:18" ht="15" x14ac:dyDescent="0.25">
      <c r="A6" s="65">
        <f>SUM(C6:N6)</f>
        <v>116.52578496357003</v>
      </c>
      <c r="B6" s="80">
        <v>45621</v>
      </c>
      <c r="C6" s="74">
        <v>2.395007898239998</v>
      </c>
      <c r="D6" s="74">
        <v>-8.3903007311</v>
      </c>
      <c r="E6" s="74">
        <v>-0.79171869999999989</v>
      </c>
      <c r="F6" s="74">
        <v>66.49287630000002</v>
      </c>
      <c r="G6" s="74">
        <v>-0.14934569659999983</v>
      </c>
      <c r="H6" s="74">
        <v>45.504575650870017</v>
      </c>
      <c r="I6" s="74">
        <v>0.81848499999999957</v>
      </c>
      <c r="J6" s="74">
        <v>-1.8231823416000004</v>
      </c>
      <c r="K6" s="74">
        <v>-0.99267391624000012</v>
      </c>
      <c r="L6" s="74">
        <v>4.9577138000000014</v>
      </c>
      <c r="M6" s="74">
        <v>7.8572394000000001</v>
      </c>
      <c r="N6" s="74">
        <v>0.64710829999999997</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A7 A3:A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25 November 2024</v>
      </c>
      <c r="B1" s="16" t="s">
        <v>1</v>
      </c>
      <c r="C1" s="17" t="s">
        <v>71</v>
      </c>
      <c r="D1" s="17" t="s">
        <v>72</v>
      </c>
    </row>
    <row r="2" spans="1:5" x14ac:dyDescent="0.25">
      <c r="A2" s="18" t="s">
        <v>87</v>
      </c>
      <c r="B2" s="19" t="s">
        <v>25</v>
      </c>
      <c r="C2" s="20">
        <v>-1.35721</v>
      </c>
      <c r="D2" s="20">
        <v>1.549404</v>
      </c>
      <c r="E2" s="38"/>
    </row>
    <row r="3" spans="1:5" x14ac:dyDescent="0.25">
      <c r="A3" s="21" t="s">
        <v>77</v>
      </c>
      <c r="B3" s="22" t="s">
        <v>56</v>
      </c>
      <c r="C3" s="8">
        <v>21.844709000000002</v>
      </c>
      <c r="D3" s="8">
        <v>-2.8751229999999999</v>
      </c>
      <c r="E3" s="38"/>
    </row>
    <row r="4" spans="1:5" x14ac:dyDescent="0.25">
      <c r="A4" s="5" t="s">
        <v>84</v>
      </c>
      <c r="B4" s="7" t="s">
        <v>83</v>
      </c>
      <c r="C4" s="6">
        <v>-21.104002000000001</v>
      </c>
      <c r="D4" s="6">
        <v>12.796163999999999</v>
      </c>
      <c r="E4" s="38"/>
    </row>
    <row r="5" spans="1:5" x14ac:dyDescent="0.25">
      <c r="A5" s="21" t="s">
        <v>63</v>
      </c>
      <c r="B5" s="22" t="s">
        <v>54</v>
      </c>
      <c r="C5" s="8">
        <v>3.6111960000000001</v>
      </c>
      <c r="D5" s="8">
        <v>-6.4251860000000001</v>
      </c>
      <c r="E5" s="38"/>
    </row>
    <row r="6" spans="1:5" x14ac:dyDescent="0.25">
      <c r="A6" s="5" t="s">
        <v>26</v>
      </c>
      <c r="B6" s="7" t="s">
        <v>21</v>
      </c>
      <c r="C6" s="6">
        <v>27.715965000000001</v>
      </c>
      <c r="D6" s="6">
        <v>28.898167000000001</v>
      </c>
      <c r="E6" s="38"/>
    </row>
    <row r="7" spans="1:5" x14ac:dyDescent="0.25">
      <c r="A7" s="21" t="s">
        <v>85</v>
      </c>
      <c r="B7" s="22" t="s">
        <v>57</v>
      </c>
      <c r="C7" s="8">
        <v>0.90858282920000011</v>
      </c>
      <c r="D7" s="8">
        <v>-0.77820313110000017</v>
      </c>
      <c r="E7" s="38"/>
    </row>
    <row r="8" spans="1:5" x14ac:dyDescent="0.25">
      <c r="A8" s="5" t="s">
        <v>240</v>
      </c>
      <c r="B8" s="7" t="s">
        <v>107</v>
      </c>
      <c r="C8" s="6">
        <v>-7.0620520000000004</v>
      </c>
      <c r="D8" s="6">
        <v>3.0535139999999998</v>
      </c>
      <c r="E8" s="38"/>
    </row>
    <row r="9" spans="1:5" x14ac:dyDescent="0.25">
      <c r="A9" s="21" t="s">
        <v>79</v>
      </c>
      <c r="B9" s="22" t="s">
        <v>78</v>
      </c>
      <c r="C9" s="8">
        <v>-15.3854015</v>
      </c>
      <c r="D9" s="8">
        <v>6.1343494999999999</v>
      </c>
      <c r="E9" s="38"/>
    </row>
    <row r="10" spans="1:5" x14ac:dyDescent="0.25">
      <c r="A10" s="5" t="s">
        <v>36</v>
      </c>
      <c r="B10" s="7" t="s">
        <v>35</v>
      </c>
      <c r="C10" s="6">
        <v>1.8642875000000001</v>
      </c>
      <c r="D10" s="6">
        <v>9.4464354999999998</v>
      </c>
      <c r="E10" s="38"/>
    </row>
    <row r="11" spans="1:5" x14ac:dyDescent="0.25">
      <c r="A11" s="21" t="s">
        <v>64</v>
      </c>
      <c r="B11" s="22" t="s">
        <v>55</v>
      </c>
      <c r="C11" s="8">
        <v>-9.859826892000001</v>
      </c>
      <c r="D11" s="8">
        <v>2.5872417583999998</v>
      </c>
      <c r="E11" s="38"/>
    </row>
    <row r="12" spans="1:5" x14ac:dyDescent="0.25">
      <c r="A12" s="5" t="s">
        <v>50</v>
      </c>
      <c r="B12" s="7" t="s">
        <v>48</v>
      </c>
      <c r="C12" s="6">
        <v>3.8809040000000001</v>
      </c>
      <c r="D12" s="6">
        <v>-4.8521960000000002</v>
      </c>
      <c r="E12" s="38"/>
    </row>
    <row r="13" spans="1:5" x14ac:dyDescent="0.25">
      <c r="A13" s="21" t="s">
        <v>62</v>
      </c>
      <c r="B13" s="22" t="s">
        <v>52</v>
      </c>
      <c r="C13" s="8">
        <v>9.1675213567000071</v>
      </c>
      <c r="D13" s="8">
        <v>-1.5503433998</v>
      </c>
      <c r="E13" s="38"/>
    </row>
    <row r="14" spans="1:5" x14ac:dyDescent="0.25">
      <c r="A14" s="5" t="s">
        <v>146</v>
      </c>
      <c r="B14" s="7" t="s">
        <v>32</v>
      </c>
      <c r="C14" s="6">
        <v>30.373591999999999</v>
      </c>
      <c r="D14" s="6">
        <v>-17.843475999999999</v>
      </c>
      <c r="E14" s="38"/>
    </row>
    <row r="15" spans="1:5" x14ac:dyDescent="0.25">
      <c r="A15" s="21" t="s">
        <v>75</v>
      </c>
      <c r="B15" s="22" t="s">
        <v>74</v>
      </c>
      <c r="C15" s="8">
        <v>3.4093249999999999</v>
      </c>
      <c r="D15" s="8">
        <v>0.313639</v>
      </c>
      <c r="E15" s="38"/>
    </row>
    <row r="16" spans="1:5" x14ac:dyDescent="0.25">
      <c r="A16" s="5" t="s">
        <v>40</v>
      </c>
      <c r="B16" s="7" t="s">
        <v>38</v>
      </c>
      <c r="C16" s="6">
        <v>2.7518539999999998</v>
      </c>
      <c r="D16" s="6">
        <v>0.240754</v>
      </c>
      <c r="E16" s="38"/>
    </row>
    <row r="17" spans="1:5" x14ac:dyDescent="0.25">
      <c r="A17" s="21" t="s">
        <v>247</v>
      </c>
      <c r="B17" s="22" t="s">
        <v>58</v>
      </c>
      <c r="C17" s="8">
        <v>-5.1654520000000002</v>
      </c>
      <c r="D17" s="8">
        <v>0.57716199999999995</v>
      </c>
      <c r="E17" s="38"/>
    </row>
    <row r="18" spans="1:5" x14ac:dyDescent="0.25">
      <c r="A18" s="5" t="s">
        <v>27</v>
      </c>
      <c r="B18" s="7" t="s">
        <v>22</v>
      </c>
      <c r="C18" s="6">
        <v>66.434220999999994</v>
      </c>
      <c r="D18" s="6">
        <v>23.533657000000002</v>
      </c>
      <c r="E18" s="38"/>
    </row>
    <row r="19" spans="1:5" x14ac:dyDescent="0.25">
      <c r="A19" s="21" t="s">
        <v>34</v>
      </c>
      <c r="B19" s="22" t="s">
        <v>30</v>
      </c>
      <c r="C19" s="8">
        <v>0.570631</v>
      </c>
      <c r="D19" s="8">
        <v>2.6888030000000001</v>
      </c>
      <c r="E19" s="38"/>
    </row>
    <row r="20" spans="1:5" x14ac:dyDescent="0.25">
      <c r="A20" s="5" t="s">
        <v>140</v>
      </c>
      <c r="B20" s="7" t="s">
        <v>245</v>
      </c>
      <c r="C20" s="6">
        <v>6.5625939999999998</v>
      </c>
      <c r="D20" s="6">
        <v>-9.5245949999999997</v>
      </c>
      <c r="E20" s="38"/>
    </row>
    <row r="21" spans="1:5" x14ac:dyDescent="0.25">
      <c r="A21" s="21" t="s">
        <v>45</v>
      </c>
      <c r="B21" s="22" t="s">
        <v>42</v>
      </c>
      <c r="C21" s="8">
        <v>-3.4364889999999999</v>
      </c>
      <c r="D21" s="8">
        <v>0.680786</v>
      </c>
      <c r="E21" s="38"/>
    </row>
    <row r="22" spans="1:5" x14ac:dyDescent="0.25">
      <c r="A22" s="5" t="s">
        <v>33</v>
      </c>
      <c r="B22" s="7" t="s">
        <v>31</v>
      </c>
      <c r="C22" s="6">
        <v>-7.8074909999999997</v>
      </c>
      <c r="D22" s="6">
        <v>6.8128570000000002</v>
      </c>
      <c r="E22" s="38"/>
    </row>
    <row r="23" spans="1:5" x14ac:dyDescent="0.25">
      <c r="A23" s="21" t="s">
        <v>29</v>
      </c>
      <c r="B23" s="22" t="s">
        <v>24</v>
      </c>
      <c r="C23" s="8">
        <v>12.929387</v>
      </c>
      <c r="D23" s="8">
        <v>-2.987031</v>
      </c>
      <c r="E23" s="38"/>
    </row>
    <row r="24" spans="1:5" x14ac:dyDescent="0.25">
      <c r="A24" s="5" t="s">
        <v>39</v>
      </c>
      <c r="B24" s="7" t="s">
        <v>37</v>
      </c>
      <c r="C24" s="6">
        <v>-7.6991930000000002</v>
      </c>
      <c r="D24" s="6">
        <v>16.027826999999998</v>
      </c>
      <c r="E24" s="38"/>
    </row>
    <row r="25" spans="1:5" x14ac:dyDescent="0.25">
      <c r="A25" s="21" t="s">
        <v>49</v>
      </c>
      <c r="B25" s="22" t="s">
        <v>47</v>
      </c>
      <c r="C25" s="8">
        <v>-9.7084536999999926</v>
      </c>
      <c r="D25" s="8">
        <v>6.7095649000000002</v>
      </c>
      <c r="E25" s="38"/>
    </row>
    <row r="26" spans="1:5" x14ac:dyDescent="0.25">
      <c r="A26" s="5" t="s">
        <v>60</v>
      </c>
      <c r="B26" s="7" t="s">
        <v>51</v>
      </c>
      <c r="C26" s="6">
        <v>14.2429465</v>
      </c>
      <c r="D26" s="6">
        <v>-20.645184</v>
      </c>
      <c r="E26" s="38"/>
    </row>
    <row r="27" spans="1:5" x14ac:dyDescent="0.25">
      <c r="A27" s="21" t="s">
        <v>28</v>
      </c>
      <c r="B27" s="22" t="s">
        <v>23</v>
      </c>
      <c r="C27" s="8">
        <v>1.263973</v>
      </c>
      <c r="D27" s="8">
        <v>8.0936620000000001</v>
      </c>
      <c r="E27" s="38"/>
    </row>
    <row r="28" spans="1:5" x14ac:dyDescent="0.25">
      <c r="A28" s="5" t="s">
        <v>65</v>
      </c>
      <c r="B28" s="7" t="s">
        <v>59</v>
      </c>
      <c r="C28" s="6">
        <v>-1.8615170000000001</v>
      </c>
      <c r="D28" s="6">
        <v>1.1743410000000001</v>
      </c>
      <c r="E28" s="38"/>
    </row>
    <row r="29" spans="1:5" x14ac:dyDescent="0.25">
      <c r="A29" s="21" t="s">
        <v>46</v>
      </c>
      <c r="B29" s="22" t="s">
        <v>43</v>
      </c>
      <c r="C29" s="8">
        <v>-4.6391179999999999</v>
      </c>
      <c r="D29" s="8">
        <v>3.1559940000000002</v>
      </c>
      <c r="E29" s="38"/>
    </row>
    <row r="30" spans="1:5" x14ac:dyDescent="0.25">
      <c r="A30" s="5" t="s">
        <v>44</v>
      </c>
      <c r="B30" s="7" t="s">
        <v>41</v>
      </c>
      <c r="C30" s="6">
        <v>-5.154744</v>
      </c>
      <c r="D30" s="6">
        <v>11.949811</v>
      </c>
      <c r="E30" s="38"/>
    </row>
    <row r="31" spans="1:5" ht="15.75" thickBot="1" x14ac:dyDescent="0.3">
      <c r="A31" s="21" t="s">
        <v>61</v>
      </c>
      <c r="B31" s="22" t="s">
        <v>53</v>
      </c>
      <c r="C31" s="8">
        <v>95.753021000000004</v>
      </c>
      <c r="D31" s="8">
        <v>54.671210000000002</v>
      </c>
      <c r="E31" s="38"/>
    </row>
    <row r="32" spans="1:5" ht="21" customHeight="1" thickBot="1" x14ac:dyDescent="0.3">
      <c r="A32" s="88" t="s">
        <v>66</v>
      </c>
      <c r="B32" s="89"/>
      <c r="C32" s="58">
        <f>SUM(C2:C31)</f>
        <v>203.04376009390003</v>
      </c>
      <c r="D32" s="59">
        <f>SUM(D2:D31)</f>
        <v>133.61400612750001</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25 November 2024</v>
      </c>
      <c r="B1" s="16" t="s">
        <v>1</v>
      </c>
      <c r="C1" s="47" t="s">
        <v>98</v>
      </c>
      <c r="D1" s="17" t="s">
        <v>97</v>
      </c>
      <c r="E1" s="17" t="s">
        <v>263</v>
      </c>
      <c r="F1" s="17" t="s">
        <v>99</v>
      </c>
      <c r="G1" s="52"/>
      <c r="H1" s="78"/>
      <c r="I1" s="78"/>
      <c r="J1" s="78"/>
      <c r="L1" s="78"/>
      <c r="M1" s="78"/>
    </row>
    <row r="2" spans="1:17" x14ac:dyDescent="0.25">
      <c r="A2" s="18" t="s">
        <v>26</v>
      </c>
      <c r="B2" s="19" t="s">
        <v>21</v>
      </c>
      <c r="C2" s="53">
        <v>165.03264038567099</v>
      </c>
      <c r="D2" s="53">
        <v>232.9589953</v>
      </c>
      <c r="E2" s="53">
        <v>27.715965000000001</v>
      </c>
      <c r="F2" s="20" t="s">
        <v>13</v>
      </c>
      <c r="G2" s="52"/>
      <c r="K2" s="52"/>
      <c r="L2" s="52"/>
      <c r="M2" s="52"/>
      <c r="O2" s="73"/>
      <c r="P2" s="73"/>
      <c r="Q2" s="73"/>
    </row>
    <row r="3" spans="1:17" x14ac:dyDescent="0.25">
      <c r="A3" s="21" t="s">
        <v>49</v>
      </c>
      <c r="B3" s="22" t="s">
        <v>47</v>
      </c>
      <c r="C3" s="54">
        <v>93.658856584255417</v>
      </c>
      <c r="D3" s="54">
        <v>768.98491879999995</v>
      </c>
      <c r="E3" s="54">
        <v>-9.708453699999998</v>
      </c>
      <c r="F3" s="8" t="s">
        <v>155</v>
      </c>
      <c r="G3" s="52"/>
      <c r="K3" s="52"/>
      <c r="L3" s="52"/>
      <c r="M3" s="52"/>
      <c r="O3" s="73"/>
      <c r="P3" s="73"/>
      <c r="Q3" s="73"/>
    </row>
    <row r="4" spans="1:17" x14ac:dyDescent="0.25">
      <c r="A4" s="5" t="s">
        <v>28</v>
      </c>
      <c r="B4" s="7" t="s">
        <v>23</v>
      </c>
      <c r="C4" s="55">
        <v>86.437058566194807</v>
      </c>
      <c r="D4" s="55">
        <v>569.32946679999998</v>
      </c>
      <c r="E4" s="55">
        <v>1.263973</v>
      </c>
      <c r="F4" s="6" t="s">
        <v>13</v>
      </c>
      <c r="G4" s="52"/>
      <c r="K4" s="52"/>
      <c r="L4" s="52"/>
      <c r="M4" s="52"/>
      <c r="O4" s="73"/>
      <c r="P4" s="73"/>
      <c r="Q4" s="73"/>
    </row>
    <row r="5" spans="1:17" x14ac:dyDescent="0.25">
      <c r="A5" s="21" t="s">
        <v>159</v>
      </c>
      <c r="B5" s="22" t="s">
        <v>22</v>
      </c>
      <c r="C5" s="54">
        <v>81.236918297909099</v>
      </c>
      <c r="D5" s="54">
        <v>377.66706870000002</v>
      </c>
      <c r="E5" s="54">
        <v>66.434220999999994</v>
      </c>
      <c r="F5" s="8" t="s">
        <v>13</v>
      </c>
      <c r="G5" s="52"/>
      <c r="K5" s="52"/>
      <c r="L5" s="52"/>
      <c r="M5" s="52"/>
      <c r="O5" s="73"/>
      <c r="P5" s="73"/>
      <c r="Q5" s="73"/>
    </row>
    <row r="6" spans="1:17" x14ac:dyDescent="0.25">
      <c r="A6" s="5" t="s">
        <v>279</v>
      </c>
      <c r="B6" s="7" t="s">
        <v>245</v>
      </c>
      <c r="C6" s="55">
        <v>56.0845385334</v>
      </c>
      <c r="D6" s="55">
        <v>-127.59514299999999</v>
      </c>
      <c r="E6" s="55">
        <v>6.5625939999999998</v>
      </c>
      <c r="F6" s="6" t="s">
        <v>14</v>
      </c>
      <c r="G6" s="52"/>
      <c r="K6" s="52"/>
      <c r="L6" s="52"/>
      <c r="M6" s="52"/>
      <c r="O6" s="73"/>
      <c r="P6" s="73"/>
      <c r="Q6" s="73"/>
    </row>
    <row r="7" spans="1:17" x14ac:dyDescent="0.25">
      <c r="A7" s="21" t="s">
        <v>162</v>
      </c>
      <c r="B7" s="22" t="s">
        <v>53</v>
      </c>
      <c r="C7" s="54">
        <v>52.547234125489183</v>
      </c>
      <c r="D7" s="54">
        <v>116.63065779999999</v>
      </c>
      <c r="E7" s="54">
        <v>95.753021000000004</v>
      </c>
      <c r="F7" s="8" t="s">
        <v>14</v>
      </c>
      <c r="G7" s="52"/>
      <c r="K7" s="52"/>
      <c r="L7" s="52"/>
      <c r="M7" s="52"/>
      <c r="O7" s="73"/>
      <c r="P7" s="73"/>
      <c r="Q7" s="73"/>
    </row>
    <row r="8" spans="1:17" x14ac:dyDescent="0.25">
      <c r="A8" s="5" t="s">
        <v>160</v>
      </c>
      <c r="B8" s="7" t="s">
        <v>56</v>
      </c>
      <c r="C8" s="55">
        <v>50.762044636922077</v>
      </c>
      <c r="D8" s="55">
        <v>-157.19766999999999</v>
      </c>
      <c r="E8" s="55">
        <v>21.844709000000002</v>
      </c>
      <c r="F8" s="6" t="s">
        <v>17</v>
      </c>
      <c r="G8" s="52"/>
      <c r="K8" s="52"/>
      <c r="L8" s="52"/>
      <c r="M8" s="52"/>
      <c r="O8" s="73"/>
      <c r="P8" s="73"/>
      <c r="Q8" s="73"/>
    </row>
    <row r="9" spans="1:17" x14ac:dyDescent="0.25">
      <c r="A9" s="21" t="s">
        <v>33</v>
      </c>
      <c r="B9" s="22" t="s">
        <v>31</v>
      </c>
      <c r="C9" s="54">
        <v>36.432482585800855</v>
      </c>
      <c r="D9" s="54">
        <v>-576.65463599999998</v>
      </c>
      <c r="E9" s="54">
        <v>-7.8074909999999997</v>
      </c>
      <c r="F9" s="8" t="s">
        <v>14</v>
      </c>
      <c r="G9" s="52"/>
      <c r="K9" s="52"/>
      <c r="L9" s="52"/>
      <c r="M9" s="52"/>
      <c r="O9" s="73"/>
      <c r="P9" s="73"/>
      <c r="Q9" s="73"/>
    </row>
    <row r="10" spans="1:17" x14ac:dyDescent="0.25">
      <c r="A10" s="5" t="s">
        <v>161</v>
      </c>
      <c r="B10" s="7" t="s">
        <v>25</v>
      </c>
      <c r="C10" s="55">
        <v>34.724200327532472</v>
      </c>
      <c r="D10" s="55">
        <v>-276.62936260000004</v>
      </c>
      <c r="E10" s="55">
        <v>-1.35721</v>
      </c>
      <c r="F10" s="6" t="s">
        <v>17</v>
      </c>
      <c r="G10" s="52"/>
      <c r="K10" s="52"/>
      <c r="L10" s="52"/>
      <c r="M10" s="52"/>
      <c r="O10" s="73"/>
      <c r="P10" s="73"/>
      <c r="Q10" s="73"/>
    </row>
    <row r="11" spans="1:17" x14ac:dyDescent="0.25">
      <c r="A11" s="21" t="s">
        <v>164</v>
      </c>
      <c r="B11" s="22" t="s">
        <v>38</v>
      </c>
      <c r="C11" s="54">
        <v>32.516426715844148</v>
      </c>
      <c r="D11" s="54">
        <v>-261.15778499999999</v>
      </c>
      <c r="E11" s="54">
        <v>2.7518539999999998</v>
      </c>
      <c r="F11" s="8" t="s">
        <v>17</v>
      </c>
      <c r="G11" s="52"/>
      <c r="K11" s="52"/>
      <c r="L11" s="52"/>
      <c r="M11" s="52"/>
      <c r="O11" s="73"/>
      <c r="P11" s="73"/>
      <c r="Q11" s="73"/>
    </row>
    <row r="12" spans="1:17" x14ac:dyDescent="0.25">
      <c r="A12" s="5" t="s">
        <v>163</v>
      </c>
      <c r="B12" s="7" t="s">
        <v>83</v>
      </c>
      <c r="C12" s="55">
        <v>27.568894616818177</v>
      </c>
      <c r="D12" s="55">
        <v>-136.77676819999999</v>
      </c>
      <c r="E12" s="55">
        <v>-21.104002000000001</v>
      </c>
      <c r="F12" s="6" t="s">
        <v>13</v>
      </c>
      <c r="G12" s="52"/>
      <c r="K12" s="52"/>
      <c r="L12" s="52"/>
      <c r="M12" s="52"/>
      <c r="O12" s="73"/>
      <c r="P12" s="73"/>
      <c r="Q12" s="73"/>
    </row>
    <row r="13" spans="1:17" x14ac:dyDescent="0.25">
      <c r="A13" s="21" t="s">
        <v>165</v>
      </c>
      <c r="B13" s="22" t="s">
        <v>35</v>
      </c>
      <c r="C13" s="54">
        <v>26.132597671155839</v>
      </c>
      <c r="D13" s="54">
        <v>-225.6448355</v>
      </c>
      <c r="E13" s="54">
        <v>1.864287499999999</v>
      </c>
      <c r="F13" s="8" t="s">
        <v>10</v>
      </c>
      <c r="G13" s="52"/>
      <c r="K13" s="52"/>
      <c r="L13" s="52"/>
      <c r="M13" s="52"/>
      <c r="O13" s="73"/>
      <c r="P13" s="73"/>
      <c r="Q13" s="73"/>
    </row>
    <row r="14" spans="1:17" x14ac:dyDescent="0.25">
      <c r="A14" s="5" t="s">
        <v>146</v>
      </c>
      <c r="B14" s="7" t="s">
        <v>32</v>
      </c>
      <c r="C14" s="55">
        <v>24.496472877623379</v>
      </c>
      <c r="D14" s="55">
        <v>-3.680043</v>
      </c>
      <c r="E14" s="55">
        <v>30.373591999999999</v>
      </c>
      <c r="F14" s="6" t="s">
        <v>14</v>
      </c>
      <c r="G14" s="52"/>
      <c r="K14" s="52"/>
      <c r="L14" s="52"/>
      <c r="M14" s="52"/>
      <c r="O14" s="73"/>
      <c r="P14" s="73"/>
      <c r="Q14" s="73"/>
    </row>
    <row r="15" spans="1:17" x14ac:dyDescent="0.25">
      <c r="A15" s="21" t="s">
        <v>171</v>
      </c>
      <c r="B15" s="22" t="s">
        <v>58</v>
      </c>
      <c r="C15" s="54">
        <v>22.76324241852814</v>
      </c>
      <c r="D15" s="54">
        <v>-146.62604200000001</v>
      </c>
      <c r="E15" s="54">
        <v>-5.1654520000000002</v>
      </c>
      <c r="F15" s="8" t="s">
        <v>17</v>
      </c>
      <c r="G15" s="52"/>
      <c r="K15" s="52"/>
      <c r="L15" s="52"/>
      <c r="M15" s="52"/>
      <c r="O15" s="73"/>
      <c r="P15" s="73"/>
      <c r="Q15" s="73"/>
    </row>
    <row r="16" spans="1:17" x14ac:dyDescent="0.25">
      <c r="A16" s="5" t="s">
        <v>29</v>
      </c>
      <c r="B16" s="7" t="s">
        <v>24</v>
      </c>
      <c r="C16" s="55">
        <v>22.030767110865803</v>
      </c>
      <c r="D16" s="55">
        <v>312.06486999999998</v>
      </c>
      <c r="E16" s="55">
        <v>12.929387</v>
      </c>
      <c r="F16" s="6" t="s">
        <v>13</v>
      </c>
      <c r="G16" s="52"/>
      <c r="K16" s="52"/>
      <c r="L16" s="52"/>
      <c r="M16" s="52"/>
      <c r="O16" s="73"/>
      <c r="P16" s="73"/>
      <c r="Q16" s="73"/>
    </row>
    <row r="17" spans="1:17" x14ac:dyDescent="0.25">
      <c r="A17" s="21" t="s">
        <v>39</v>
      </c>
      <c r="B17" s="22" t="s">
        <v>37</v>
      </c>
      <c r="C17" s="54">
        <v>19.39791311909957</v>
      </c>
      <c r="D17" s="54">
        <v>202.53981400000001</v>
      </c>
      <c r="E17" s="54">
        <v>-7.6991930000000002</v>
      </c>
      <c r="F17" s="8" t="s">
        <v>14</v>
      </c>
      <c r="G17" s="52"/>
      <c r="K17" s="52"/>
      <c r="L17" s="52"/>
      <c r="M17" s="52"/>
      <c r="O17" s="73"/>
      <c r="P17" s="73"/>
      <c r="Q17" s="73"/>
    </row>
    <row r="18" spans="1:17" x14ac:dyDescent="0.25">
      <c r="A18" s="5" t="s">
        <v>169</v>
      </c>
      <c r="B18" s="7" t="s">
        <v>42</v>
      </c>
      <c r="C18" s="55">
        <v>17.34051975562771</v>
      </c>
      <c r="D18" s="55">
        <v>41.602677200000002</v>
      </c>
      <c r="E18" s="55">
        <v>-3.4364889999999999</v>
      </c>
      <c r="F18" s="6" t="s">
        <v>19</v>
      </c>
      <c r="G18" s="52"/>
      <c r="K18" s="52"/>
      <c r="L18" s="52"/>
      <c r="M18" s="52"/>
      <c r="O18" s="73"/>
      <c r="P18" s="73"/>
      <c r="Q18" s="73"/>
    </row>
    <row r="19" spans="1:17" x14ac:dyDescent="0.25">
      <c r="A19" s="21" t="s">
        <v>173</v>
      </c>
      <c r="B19" s="22" t="s">
        <v>48</v>
      </c>
      <c r="C19" s="54">
        <v>16.878638038571427</v>
      </c>
      <c r="D19" s="54">
        <v>-9.0128740000000001</v>
      </c>
      <c r="E19" s="54">
        <v>3.8809040000000001</v>
      </c>
      <c r="F19" s="8" t="s">
        <v>10</v>
      </c>
      <c r="G19" s="52"/>
      <c r="K19" s="52"/>
      <c r="L19" s="52"/>
      <c r="M19" s="52"/>
      <c r="O19" s="73"/>
      <c r="P19" s="73"/>
      <c r="Q19" s="73"/>
    </row>
    <row r="20" spans="1:17" x14ac:dyDescent="0.25">
      <c r="A20" s="5" t="s">
        <v>168</v>
      </c>
      <c r="B20" s="7" t="s">
        <v>41</v>
      </c>
      <c r="C20" s="55">
        <v>16.603258371865799</v>
      </c>
      <c r="D20" s="55">
        <v>-100.949882</v>
      </c>
      <c r="E20" s="55">
        <v>-5.154744</v>
      </c>
      <c r="F20" s="6" t="s">
        <v>11</v>
      </c>
      <c r="G20" s="52"/>
      <c r="K20" s="52"/>
      <c r="L20" s="52"/>
      <c r="M20" s="52"/>
      <c r="O20" s="73"/>
      <c r="P20" s="73"/>
      <c r="Q20" s="73"/>
    </row>
    <row r="21" spans="1:17" x14ac:dyDescent="0.25">
      <c r="A21" s="21" t="s">
        <v>34</v>
      </c>
      <c r="B21" s="22" t="s">
        <v>30</v>
      </c>
      <c r="C21" s="54">
        <v>16.49418509220779</v>
      </c>
      <c r="D21" s="54">
        <v>203.94754800000001</v>
      </c>
      <c r="E21" s="54">
        <v>0.570631</v>
      </c>
      <c r="F21" s="8" t="s">
        <v>14</v>
      </c>
      <c r="G21" s="52"/>
      <c r="K21" s="52"/>
      <c r="L21" s="52"/>
      <c r="M21" s="52"/>
      <c r="O21" s="73"/>
      <c r="P21" s="73"/>
      <c r="Q21" s="73"/>
    </row>
    <row r="22" spans="1:17" x14ac:dyDescent="0.25">
      <c r="A22" s="5" t="s">
        <v>172</v>
      </c>
      <c r="B22" s="7" t="s">
        <v>51</v>
      </c>
      <c r="C22" s="55">
        <v>16.099929779004331</v>
      </c>
      <c r="D22" s="55">
        <v>76.122085500000011</v>
      </c>
      <c r="E22" s="55">
        <v>14.2429465</v>
      </c>
      <c r="F22" s="6" t="s">
        <v>11</v>
      </c>
      <c r="G22" s="52"/>
      <c r="K22" s="52"/>
      <c r="L22" s="52"/>
      <c r="M22" s="52"/>
      <c r="O22" s="73"/>
      <c r="P22" s="73"/>
      <c r="Q22" s="73"/>
    </row>
    <row r="23" spans="1:17" x14ac:dyDescent="0.25">
      <c r="A23" s="21" t="s">
        <v>175</v>
      </c>
      <c r="B23" s="22" t="s">
        <v>54</v>
      </c>
      <c r="C23" s="54">
        <v>15.20254905562771</v>
      </c>
      <c r="D23" s="54">
        <v>-244.5129666</v>
      </c>
      <c r="E23" s="54">
        <v>3.6111960000000001</v>
      </c>
      <c r="F23" s="8" t="s">
        <v>16</v>
      </c>
      <c r="G23" s="52"/>
      <c r="K23" s="52"/>
      <c r="L23" s="52"/>
      <c r="M23" s="52"/>
      <c r="O23" s="73"/>
      <c r="P23" s="73"/>
      <c r="Q23" s="73"/>
    </row>
    <row r="24" spans="1:17" x14ac:dyDescent="0.25">
      <c r="A24" s="5" t="s">
        <v>167</v>
      </c>
      <c r="B24" s="7" t="s">
        <v>52</v>
      </c>
      <c r="C24" s="55">
        <v>14.571860312240069</v>
      </c>
      <c r="D24" s="55">
        <v>44.692402560549993</v>
      </c>
      <c r="E24" s="55">
        <v>9.1675213567</v>
      </c>
      <c r="F24" s="6" t="s">
        <v>14</v>
      </c>
      <c r="G24" s="52"/>
      <c r="K24" s="52"/>
      <c r="L24" s="52"/>
      <c r="M24" s="52"/>
      <c r="O24" s="73"/>
      <c r="P24" s="73"/>
      <c r="Q24" s="73"/>
    </row>
    <row r="25" spans="1:17" x14ac:dyDescent="0.25">
      <c r="A25" s="21" t="s">
        <v>179</v>
      </c>
      <c r="B25" s="22" t="s">
        <v>78</v>
      </c>
      <c r="C25" s="54">
        <v>14.28401439632035</v>
      </c>
      <c r="D25" s="54">
        <v>-147.31764969999998</v>
      </c>
      <c r="E25" s="54">
        <v>-15.3854015</v>
      </c>
      <c r="F25" s="8" t="s">
        <v>17</v>
      </c>
      <c r="G25" s="52"/>
      <c r="K25" s="52"/>
      <c r="L25" s="52"/>
      <c r="M25" s="52"/>
      <c r="O25" s="73"/>
      <c r="P25" s="73"/>
      <c r="Q25" s="73"/>
    </row>
    <row r="26" spans="1:17" x14ac:dyDescent="0.25">
      <c r="A26" s="5" t="s">
        <v>170</v>
      </c>
      <c r="B26" s="7" t="s">
        <v>74</v>
      </c>
      <c r="C26" s="55">
        <v>13.991365065649349</v>
      </c>
      <c r="D26" s="55">
        <v>-109.406892</v>
      </c>
      <c r="E26" s="55">
        <v>3.4093249999999999</v>
      </c>
      <c r="F26" s="6" t="s">
        <v>17</v>
      </c>
      <c r="G26" s="52"/>
      <c r="K26" s="52"/>
      <c r="L26" s="52"/>
      <c r="M26" s="52"/>
      <c r="O26" s="73"/>
      <c r="P26" s="73"/>
      <c r="Q26" s="73"/>
    </row>
    <row r="27" spans="1:17" x14ac:dyDescent="0.25">
      <c r="A27" s="21" t="s">
        <v>180</v>
      </c>
      <c r="B27" s="22" t="s">
        <v>55</v>
      </c>
      <c r="C27" s="54">
        <v>13.16755897254833</v>
      </c>
      <c r="D27" s="54">
        <v>51.6910717453</v>
      </c>
      <c r="E27" s="54">
        <v>-9.859826892000001</v>
      </c>
      <c r="F27" s="8" t="s">
        <v>16</v>
      </c>
      <c r="G27" s="52"/>
      <c r="K27" s="52"/>
      <c r="L27" s="52"/>
      <c r="M27" s="52"/>
      <c r="O27" s="73"/>
      <c r="P27" s="73"/>
      <c r="Q27" s="73"/>
    </row>
    <row r="28" spans="1:17" x14ac:dyDescent="0.25">
      <c r="A28" s="5" t="s">
        <v>166</v>
      </c>
      <c r="B28" s="7" t="s">
        <v>76</v>
      </c>
      <c r="C28" s="55">
        <v>12.7345989587013</v>
      </c>
      <c r="D28" s="55">
        <v>19.407440000000001</v>
      </c>
      <c r="E28" s="55">
        <v>2.4458439999999984</v>
      </c>
      <c r="F28" s="6" t="s">
        <v>17</v>
      </c>
      <c r="G28" s="52"/>
      <c r="K28" s="52"/>
      <c r="L28" s="52"/>
      <c r="M28" s="52"/>
      <c r="O28" s="73"/>
      <c r="P28" s="73"/>
      <c r="Q28" s="73"/>
    </row>
    <row r="29" spans="1:17" x14ac:dyDescent="0.25">
      <c r="A29" s="21" t="s">
        <v>181</v>
      </c>
      <c r="B29" s="22" t="s">
        <v>88</v>
      </c>
      <c r="C29" s="54">
        <v>10.049650629004329</v>
      </c>
      <c r="D29" s="54">
        <v>39.378059</v>
      </c>
      <c r="E29" s="54">
        <v>1.6725989999999999</v>
      </c>
      <c r="F29" s="8" t="s">
        <v>17</v>
      </c>
      <c r="G29" s="52"/>
      <c r="K29" s="52"/>
      <c r="L29" s="52"/>
      <c r="M29" s="52"/>
      <c r="O29" s="73"/>
      <c r="P29" s="73"/>
      <c r="Q29" s="73"/>
    </row>
    <row r="30" spans="1:17" x14ac:dyDescent="0.25">
      <c r="A30" s="5" t="s">
        <v>174</v>
      </c>
      <c r="B30" s="7" t="s">
        <v>59</v>
      </c>
      <c r="C30" s="55">
        <v>9.8380854894372298</v>
      </c>
      <c r="D30" s="55">
        <v>-125.729995</v>
      </c>
      <c r="E30" s="55">
        <v>-1.8615170000000001</v>
      </c>
      <c r="F30" s="6" t="s">
        <v>16</v>
      </c>
      <c r="G30" s="52"/>
      <c r="K30" s="52"/>
      <c r="L30" s="52"/>
      <c r="M30" s="52"/>
      <c r="O30" s="73"/>
      <c r="P30" s="73"/>
      <c r="Q30" s="73"/>
    </row>
    <row r="31" spans="1:17" x14ac:dyDescent="0.25">
      <c r="A31" s="21" t="s">
        <v>176</v>
      </c>
      <c r="B31" s="22" t="s">
        <v>43</v>
      </c>
      <c r="C31" s="54">
        <v>9.8114520625367962</v>
      </c>
      <c r="D31" s="54">
        <v>36.710776179999996</v>
      </c>
      <c r="E31" s="54">
        <v>-4.6391179999999999</v>
      </c>
      <c r="F31" s="8" t="s">
        <v>156</v>
      </c>
      <c r="G31" s="52"/>
      <c r="K31" s="52"/>
      <c r="L31" s="52"/>
      <c r="M31" s="52"/>
      <c r="O31" s="73"/>
      <c r="P31" s="73"/>
      <c r="Q31" s="73"/>
    </row>
    <row r="32" spans="1:17" x14ac:dyDescent="0.25">
      <c r="A32" s="5" t="s">
        <v>137</v>
      </c>
      <c r="B32" s="7" t="s">
        <v>104</v>
      </c>
      <c r="C32" s="55">
        <v>8.4265827173160179</v>
      </c>
      <c r="D32" s="55">
        <v>117.506139</v>
      </c>
      <c r="E32" s="55">
        <v>-1.003776</v>
      </c>
      <c r="F32" s="6" t="s">
        <v>14</v>
      </c>
      <c r="G32" s="52"/>
      <c r="K32" s="52"/>
      <c r="L32" s="52"/>
      <c r="M32" s="52"/>
      <c r="O32" s="73"/>
      <c r="P32" s="73"/>
      <c r="Q32" s="73"/>
    </row>
    <row r="33" spans="1:17" x14ac:dyDescent="0.25">
      <c r="A33" s="21" t="s">
        <v>178</v>
      </c>
      <c r="B33" s="22" t="s">
        <v>107</v>
      </c>
      <c r="C33" s="54">
        <v>8.1175485372294371</v>
      </c>
      <c r="D33" s="54">
        <v>-67.829652499999995</v>
      </c>
      <c r="E33" s="54">
        <v>-7.0620520000000004</v>
      </c>
      <c r="F33" s="8" t="s">
        <v>17</v>
      </c>
      <c r="G33" s="52"/>
      <c r="K33" s="52"/>
      <c r="L33" s="52"/>
      <c r="M33" s="52"/>
      <c r="O33" s="73"/>
      <c r="P33" s="73"/>
      <c r="Q33" s="73"/>
    </row>
    <row r="34" spans="1:17" x14ac:dyDescent="0.25">
      <c r="A34" s="5" t="s">
        <v>177</v>
      </c>
      <c r="B34" s="7" t="s">
        <v>100</v>
      </c>
      <c r="C34" s="55">
        <v>6.7916267887532458</v>
      </c>
      <c r="D34" s="55">
        <v>-32.2909869</v>
      </c>
      <c r="E34" s="55">
        <v>-5.9408225000000003</v>
      </c>
      <c r="F34" s="6" t="s">
        <v>17</v>
      </c>
      <c r="G34" s="52"/>
      <c r="K34" s="52"/>
      <c r="L34" s="52"/>
      <c r="M34" s="52"/>
      <c r="O34" s="73"/>
      <c r="P34" s="73"/>
      <c r="Q34" s="73"/>
    </row>
    <row r="35" spans="1:17" x14ac:dyDescent="0.25">
      <c r="A35" s="21" t="s">
        <v>184</v>
      </c>
      <c r="B35" s="22" t="s">
        <v>108</v>
      </c>
      <c r="C35" s="54">
        <v>5.650288448917749</v>
      </c>
      <c r="D35" s="54">
        <v>-13.658322</v>
      </c>
      <c r="E35" s="54">
        <v>0.20549400000000001</v>
      </c>
      <c r="F35" s="8" t="s">
        <v>156</v>
      </c>
      <c r="G35" s="52"/>
      <c r="K35" s="52"/>
      <c r="L35" s="52"/>
      <c r="M35" s="52"/>
      <c r="O35" s="73"/>
      <c r="P35" s="73"/>
      <c r="Q35" s="73"/>
    </row>
    <row r="36" spans="1:17" x14ac:dyDescent="0.25">
      <c r="A36" s="5" t="s">
        <v>183</v>
      </c>
      <c r="B36" s="7" t="s">
        <v>91</v>
      </c>
      <c r="C36" s="55">
        <v>5.3616889202380955</v>
      </c>
      <c r="D36" s="55">
        <v>-92.647886749999998</v>
      </c>
      <c r="E36" s="55">
        <v>-1.005001</v>
      </c>
      <c r="F36" s="6" t="s">
        <v>17</v>
      </c>
      <c r="G36" s="52"/>
      <c r="K36" s="52"/>
      <c r="L36" s="52"/>
      <c r="M36" s="52"/>
      <c r="O36" s="73"/>
      <c r="P36" s="73"/>
      <c r="Q36" s="73"/>
    </row>
    <row r="37" spans="1:17" x14ac:dyDescent="0.25">
      <c r="A37" s="21" t="s">
        <v>207</v>
      </c>
      <c r="B37" s="22" t="s">
        <v>126</v>
      </c>
      <c r="C37" s="54">
        <v>5.0004183033333325</v>
      </c>
      <c r="D37" s="54">
        <v>60.918579000000001</v>
      </c>
      <c r="E37" s="54">
        <v>0</v>
      </c>
      <c r="F37" s="8" t="s">
        <v>157</v>
      </c>
      <c r="G37" s="52"/>
      <c r="K37" s="52"/>
      <c r="L37" s="52"/>
      <c r="M37" s="52"/>
      <c r="O37" s="73"/>
      <c r="P37" s="73"/>
      <c r="Q37" s="73"/>
    </row>
    <row r="38" spans="1:17" x14ac:dyDescent="0.25">
      <c r="A38" s="5" t="s">
        <v>182</v>
      </c>
      <c r="B38" s="7" t="s">
        <v>89</v>
      </c>
      <c r="C38" s="55">
        <v>4.9392912578116892</v>
      </c>
      <c r="D38" s="55">
        <v>-110.01489222400001</v>
      </c>
      <c r="E38" s="55">
        <v>-6.7173970000000001</v>
      </c>
      <c r="F38" s="6" t="s">
        <v>156</v>
      </c>
      <c r="G38" s="52"/>
      <c r="K38" s="52"/>
      <c r="L38" s="52"/>
      <c r="M38" s="52"/>
      <c r="O38" s="73"/>
      <c r="P38" s="73"/>
      <c r="Q38" s="73"/>
    </row>
    <row r="39" spans="1:17" x14ac:dyDescent="0.25">
      <c r="A39" s="21" t="s">
        <v>185</v>
      </c>
      <c r="B39" s="22" t="s">
        <v>246</v>
      </c>
      <c r="C39" s="54">
        <v>4.6699918666666669</v>
      </c>
      <c r="D39" s="54">
        <v>-54.595061999999999</v>
      </c>
      <c r="E39" s="54">
        <v>-1.4161900000000001</v>
      </c>
      <c r="F39" s="8" t="s">
        <v>156</v>
      </c>
      <c r="G39" s="52"/>
      <c r="K39" s="52"/>
      <c r="L39" s="52"/>
      <c r="M39" s="52"/>
      <c r="O39" s="73"/>
      <c r="P39" s="73"/>
      <c r="Q39" s="73"/>
    </row>
    <row r="40" spans="1:17" x14ac:dyDescent="0.25">
      <c r="A40" s="5" t="s">
        <v>188</v>
      </c>
      <c r="B40" s="7" t="s">
        <v>121</v>
      </c>
      <c r="C40" s="55">
        <v>4.0117880322510819</v>
      </c>
      <c r="D40" s="55">
        <v>38.959420000000001</v>
      </c>
      <c r="E40" s="55">
        <v>1.7928759999999999</v>
      </c>
      <c r="F40" s="6" t="s">
        <v>156</v>
      </c>
      <c r="G40" s="52"/>
      <c r="K40" s="52"/>
      <c r="L40" s="52"/>
      <c r="M40" s="52"/>
      <c r="O40" s="73"/>
      <c r="P40" s="73"/>
      <c r="Q40" s="73"/>
    </row>
    <row r="41" spans="1:17" x14ac:dyDescent="0.25">
      <c r="A41" s="21" t="s">
        <v>191</v>
      </c>
      <c r="B41" s="22" t="s">
        <v>113</v>
      </c>
      <c r="C41" s="54">
        <v>3.6820320629437231</v>
      </c>
      <c r="D41" s="54">
        <v>-27.249572300000001</v>
      </c>
      <c r="E41" s="54">
        <v>-1.3753200000000001</v>
      </c>
      <c r="F41" s="8" t="s">
        <v>155</v>
      </c>
      <c r="G41" s="52"/>
      <c r="K41" s="52"/>
      <c r="L41" s="52"/>
      <c r="M41" s="52"/>
      <c r="O41" s="73"/>
      <c r="P41" s="73"/>
      <c r="Q41" s="73"/>
    </row>
    <row r="42" spans="1:17" x14ac:dyDescent="0.25">
      <c r="A42" s="5" t="s">
        <v>202</v>
      </c>
      <c r="B42" s="7" t="s">
        <v>106</v>
      </c>
      <c r="C42" s="55">
        <v>3.3612199330735928</v>
      </c>
      <c r="D42" s="55">
        <v>-47.282304000000003</v>
      </c>
      <c r="E42" s="55">
        <v>0.82419500000000001</v>
      </c>
      <c r="F42" s="6" t="s">
        <v>11</v>
      </c>
      <c r="G42" s="52"/>
      <c r="K42" s="52"/>
      <c r="L42" s="52"/>
      <c r="M42" s="52"/>
      <c r="O42" s="73"/>
      <c r="P42" s="73"/>
      <c r="Q42" s="73"/>
    </row>
    <row r="43" spans="1:17" x14ac:dyDescent="0.25">
      <c r="A43" s="21" t="s">
        <v>190</v>
      </c>
      <c r="B43" s="22" t="s">
        <v>101</v>
      </c>
      <c r="C43" s="54">
        <v>3.3477866572294372</v>
      </c>
      <c r="D43" s="54">
        <v>-20.430397500000002</v>
      </c>
      <c r="E43" s="54">
        <v>-4.6601885000000003</v>
      </c>
      <c r="F43" s="8" t="s">
        <v>17</v>
      </c>
      <c r="G43" s="52"/>
      <c r="K43" s="52"/>
      <c r="L43" s="52"/>
      <c r="M43" s="52"/>
      <c r="O43" s="73"/>
      <c r="P43" s="73"/>
      <c r="Q43" s="73"/>
    </row>
    <row r="44" spans="1:17" x14ac:dyDescent="0.25">
      <c r="A44" s="5" t="s">
        <v>189</v>
      </c>
      <c r="B44" s="7" t="s">
        <v>109</v>
      </c>
      <c r="C44" s="55">
        <v>3.1820588796536802</v>
      </c>
      <c r="D44" s="55">
        <v>-19.5849075</v>
      </c>
      <c r="E44" s="55">
        <v>0.27390599999999998</v>
      </c>
      <c r="F44" s="6" t="s">
        <v>156</v>
      </c>
      <c r="G44" s="52"/>
      <c r="K44" s="52"/>
      <c r="L44" s="52"/>
      <c r="M44" s="52"/>
      <c r="O44" s="73"/>
      <c r="P44" s="73"/>
      <c r="Q44" s="73"/>
    </row>
    <row r="45" spans="1:17" x14ac:dyDescent="0.25">
      <c r="A45" s="21" t="s">
        <v>201</v>
      </c>
      <c r="B45" s="22" t="s">
        <v>102</v>
      </c>
      <c r="C45" s="54">
        <v>2.954042825844156</v>
      </c>
      <c r="D45" s="54">
        <v>-44.275833599999999</v>
      </c>
      <c r="E45" s="54">
        <v>0.4700395</v>
      </c>
      <c r="F45" s="8" t="s">
        <v>15</v>
      </c>
      <c r="G45" s="52"/>
      <c r="K45" s="52"/>
      <c r="L45" s="52"/>
      <c r="M45" s="52"/>
      <c r="O45" s="73"/>
      <c r="P45" s="73"/>
      <c r="Q45" s="73"/>
    </row>
    <row r="46" spans="1:17" x14ac:dyDescent="0.25">
      <c r="A46" s="5" t="s">
        <v>195</v>
      </c>
      <c r="B46" s="7" t="s">
        <v>105</v>
      </c>
      <c r="C46" s="55">
        <v>2.8119495230735931</v>
      </c>
      <c r="D46" s="55">
        <v>-24.99359407</v>
      </c>
      <c r="E46" s="55">
        <v>-0.35728700000000019</v>
      </c>
      <c r="F46" s="6" t="s">
        <v>17</v>
      </c>
      <c r="G46" s="52"/>
      <c r="K46" s="52"/>
      <c r="L46" s="52"/>
      <c r="M46" s="52"/>
      <c r="O46" s="73"/>
      <c r="P46" s="73"/>
      <c r="Q46" s="73"/>
    </row>
    <row r="47" spans="1:17" x14ac:dyDescent="0.25">
      <c r="A47" s="21" t="s">
        <v>199</v>
      </c>
      <c r="B47" s="22" t="s">
        <v>119</v>
      </c>
      <c r="C47" s="54">
        <v>2.7735905748917751</v>
      </c>
      <c r="D47" s="54">
        <v>-42.144976</v>
      </c>
      <c r="E47" s="54">
        <v>2.0354619999999999</v>
      </c>
      <c r="F47" s="8" t="s">
        <v>17</v>
      </c>
      <c r="G47" s="52"/>
      <c r="K47" s="52"/>
      <c r="L47" s="52"/>
      <c r="M47" s="52"/>
      <c r="O47" s="73"/>
      <c r="P47" s="73"/>
      <c r="Q47" s="73"/>
    </row>
    <row r="48" spans="1:17" x14ac:dyDescent="0.25">
      <c r="A48" s="5" t="s">
        <v>211</v>
      </c>
      <c r="B48" s="7" t="s">
        <v>128</v>
      </c>
      <c r="C48" s="55">
        <v>2.72240627021645</v>
      </c>
      <c r="D48" s="55">
        <v>15.790641000000001</v>
      </c>
      <c r="E48" s="55">
        <v>0.37368000000000001</v>
      </c>
      <c r="F48" s="6" t="s">
        <v>158</v>
      </c>
      <c r="G48" s="52"/>
      <c r="K48" s="52"/>
      <c r="L48" s="52"/>
      <c r="M48" s="52"/>
      <c r="O48" s="73"/>
      <c r="P48" s="73"/>
      <c r="Q48" s="73"/>
    </row>
    <row r="49" spans="1:17" x14ac:dyDescent="0.25">
      <c r="A49" s="21" t="s">
        <v>212</v>
      </c>
      <c r="B49" s="22" t="s">
        <v>130</v>
      </c>
      <c r="C49" s="54">
        <v>2.6789524657575758</v>
      </c>
      <c r="D49" s="54">
        <v>-5.9038874999999997</v>
      </c>
      <c r="E49" s="54">
        <v>-1.7546595</v>
      </c>
      <c r="F49" s="8" t="s">
        <v>16</v>
      </c>
      <c r="G49" s="52"/>
      <c r="K49" s="52"/>
      <c r="L49" s="52"/>
      <c r="M49" s="52"/>
      <c r="O49" s="73"/>
      <c r="P49" s="73"/>
      <c r="Q49" s="73"/>
    </row>
    <row r="50" spans="1:17" x14ac:dyDescent="0.25">
      <c r="A50" s="5" t="s">
        <v>222</v>
      </c>
      <c r="B50" s="7" t="s">
        <v>131</v>
      </c>
      <c r="C50" s="55">
        <v>2.6470486978354981</v>
      </c>
      <c r="D50" s="55">
        <v>13.9206035</v>
      </c>
      <c r="E50" s="55">
        <v>5.4357220000000002</v>
      </c>
      <c r="F50" s="6" t="s">
        <v>14</v>
      </c>
      <c r="G50" s="52"/>
      <c r="K50" s="52"/>
      <c r="L50" s="52"/>
      <c r="M50" s="52"/>
      <c r="O50" s="73"/>
      <c r="P50" s="73"/>
      <c r="Q50" s="73"/>
    </row>
    <row r="51" spans="1:17" x14ac:dyDescent="0.25">
      <c r="A51" s="21" t="s">
        <v>192</v>
      </c>
      <c r="B51" s="22" t="s">
        <v>95</v>
      </c>
      <c r="C51" s="54">
        <v>2.5457769274242419</v>
      </c>
      <c r="D51" s="54">
        <v>-55.885882299999999</v>
      </c>
      <c r="E51" s="54">
        <v>-0.39511800000000002</v>
      </c>
      <c r="F51" s="8" t="s">
        <v>17</v>
      </c>
      <c r="G51" s="52"/>
      <c r="K51" s="52"/>
      <c r="L51" s="52"/>
      <c r="M51" s="52"/>
      <c r="O51" s="73"/>
      <c r="P51" s="73"/>
      <c r="Q51" s="73"/>
    </row>
    <row r="52" spans="1:17" x14ac:dyDescent="0.25">
      <c r="A52" s="5" t="s">
        <v>200</v>
      </c>
      <c r="B52" s="7" t="s">
        <v>57</v>
      </c>
      <c r="C52" s="55">
        <v>2.4623378354152807</v>
      </c>
      <c r="D52" s="55">
        <v>-4.661781863199999</v>
      </c>
      <c r="E52" s="55">
        <v>0.90858282920000022</v>
      </c>
      <c r="F52" s="6" t="s">
        <v>11</v>
      </c>
      <c r="G52" s="52"/>
      <c r="K52" s="52"/>
      <c r="L52" s="52"/>
      <c r="M52" s="52"/>
      <c r="O52" s="73"/>
      <c r="P52" s="73"/>
      <c r="Q52" s="73"/>
    </row>
    <row r="53" spans="1:17" x14ac:dyDescent="0.25">
      <c r="A53" s="21" t="s">
        <v>204</v>
      </c>
      <c r="B53" s="22" t="s">
        <v>90</v>
      </c>
      <c r="C53" s="54">
        <v>2.4340332285714279</v>
      </c>
      <c r="D53" s="54">
        <v>-13.681311000000001</v>
      </c>
      <c r="E53" s="54">
        <v>1.3875820000000001</v>
      </c>
      <c r="F53" s="8" t="s">
        <v>11</v>
      </c>
      <c r="G53" s="52"/>
      <c r="K53" s="52"/>
      <c r="L53" s="52"/>
      <c r="M53" s="52"/>
      <c r="O53" s="73"/>
      <c r="P53" s="73"/>
      <c r="Q53" s="73"/>
    </row>
    <row r="54" spans="1:17" x14ac:dyDescent="0.25">
      <c r="A54" s="5" t="s">
        <v>194</v>
      </c>
      <c r="B54" s="7" t="s">
        <v>115</v>
      </c>
      <c r="C54" s="55">
        <v>2.422957209060606</v>
      </c>
      <c r="D54" s="55">
        <v>-8.8929200000000002</v>
      </c>
      <c r="E54" s="55">
        <v>1.1075550000000001</v>
      </c>
      <c r="F54" s="6" t="s">
        <v>17</v>
      </c>
      <c r="G54" s="52"/>
      <c r="K54" s="52"/>
      <c r="L54" s="52"/>
      <c r="M54" s="52"/>
      <c r="O54" s="73"/>
      <c r="P54" s="73"/>
      <c r="Q54" s="73"/>
    </row>
    <row r="55" spans="1:17" x14ac:dyDescent="0.25">
      <c r="A55" s="21" t="s">
        <v>203</v>
      </c>
      <c r="B55" s="22" t="s">
        <v>116</v>
      </c>
      <c r="C55" s="54">
        <v>2.4153561951178792</v>
      </c>
      <c r="D55" s="54">
        <v>0.36258827410000111</v>
      </c>
      <c r="E55" s="54">
        <v>0.66979752435000017</v>
      </c>
      <c r="F55" s="8" t="s">
        <v>17</v>
      </c>
      <c r="G55" s="52"/>
      <c r="K55" s="52"/>
      <c r="L55" s="52"/>
      <c r="M55" s="52"/>
      <c r="O55" s="73"/>
      <c r="P55" s="73"/>
      <c r="Q55" s="73"/>
    </row>
    <row r="56" spans="1:17" x14ac:dyDescent="0.25">
      <c r="A56" s="5" t="s">
        <v>187</v>
      </c>
      <c r="B56" s="7" t="s">
        <v>94</v>
      </c>
      <c r="C56" s="55">
        <v>2.4142642510822507</v>
      </c>
      <c r="D56" s="55">
        <v>7.3560590000000001</v>
      </c>
      <c r="E56" s="55">
        <v>-0.31998900000000002</v>
      </c>
      <c r="F56" s="6" t="s">
        <v>14</v>
      </c>
      <c r="G56" s="52"/>
      <c r="K56" s="52"/>
      <c r="L56" s="52"/>
      <c r="M56" s="52"/>
      <c r="O56" s="73"/>
      <c r="P56" s="73"/>
      <c r="Q56" s="73"/>
    </row>
    <row r="57" spans="1:17" x14ac:dyDescent="0.25">
      <c r="A57" s="21" t="s">
        <v>206</v>
      </c>
      <c r="B57" s="22" t="s">
        <v>110</v>
      </c>
      <c r="C57" s="54">
        <v>2.3849723927272732</v>
      </c>
      <c r="D57" s="54">
        <v>35.600678500000001</v>
      </c>
      <c r="E57" s="54">
        <v>4.2087630000000003</v>
      </c>
      <c r="F57" s="8" t="s">
        <v>13</v>
      </c>
      <c r="G57" s="52"/>
      <c r="K57" s="52"/>
      <c r="L57" s="52"/>
      <c r="M57" s="52"/>
      <c r="O57" s="73"/>
      <c r="P57" s="73"/>
      <c r="Q57" s="73"/>
    </row>
    <row r="58" spans="1:17" x14ac:dyDescent="0.25">
      <c r="A58" s="5" t="s">
        <v>186</v>
      </c>
      <c r="B58" s="7" t="s">
        <v>118</v>
      </c>
      <c r="C58" s="55">
        <v>2.2045413593073588</v>
      </c>
      <c r="D58" s="55">
        <v>-1.3676505000000001</v>
      </c>
      <c r="E58" s="55">
        <v>0.210426</v>
      </c>
      <c r="F58" s="6" t="s">
        <v>157</v>
      </c>
      <c r="G58" s="52"/>
      <c r="K58" s="52"/>
      <c r="L58" s="52"/>
      <c r="M58" s="52"/>
      <c r="O58" s="73"/>
      <c r="P58" s="73"/>
      <c r="Q58" s="73"/>
    </row>
    <row r="59" spans="1:17" x14ac:dyDescent="0.25">
      <c r="A59" s="21" t="s">
        <v>236</v>
      </c>
      <c r="B59" s="22" t="s">
        <v>149</v>
      </c>
      <c r="C59" s="54">
        <v>2.122972850536796</v>
      </c>
      <c r="D59" s="54">
        <v>-3.7412797999999996</v>
      </c>
      <c r="E59" s="54">
        <v>0.12941659999999999</v>
      </c>
      <c r="F59" s="8" t="s">
        <v>16</v>
      </c>
      <c r="G59" s="52"/>
      <c r="K59" s="52"/>
      <c r="L59" s="52"/>
      <c r="M59" s="52"/>
      <c r="O59" s="73"/>
      <c r="P59" s="73"/>
      <c r="Q59" s="73"/>
    </row>
    <row r="60" spans="1:17" x14ac:dyDescent="0.25">
      <c r="A60" s="5" t="s">
        <v>193</v>
      </c>
      <c r="B60" s="7" t="s">
        <v>103</v>
      </c>
      <c r="C60" s="55">
        <v>1.922581613419913</v>
      </c>
      <c r="D60" s="55">
        <v>-3.0299754999999999</v>
      </c>
      <c r="E60" s="55">
        <v>0.22894689999999998</v>
      </c>
      <c r="F60" s="6" t="s">
        <v>157</v>
      </c>
      <c r="G60" s="52"/>
      <c r="K60" s="52"/>
      <c r="L60" s="52"/>
      <c r="M60" s="52"/>
      <c r="O60" s="73"/>
      <c r="P60" s="73"/>
      <c r="Q60" s="73"/>
    </row>
    <row r="61" spans="1:17" x14ac:dyDescent="0.25">
      <c r="A61" s="21" t="s">
        <v>219</v>
      </c>
      <c r="B61" s="22" t="s">
        <v>112</v>
      </c>
      <c r="C61" s="54">
        <v>1.7892558004329</v>
      </c>
      <c r="D61" s="54">
        <v>-88.071969499999994</v>
      </c>
      <c r="E61" s="54">
        <v>-3.6673179999999999</v>
      </c>
      <c r="F61" s="8" t="s">
        <v>158</v>
      </c>
      <c r="G61" s="52"/>
      <c r="K61" s="52"/>
      <c r="L61" s="52"/>
      <c r="M61" s="52"/>
      <c r="O61" s="73"/>
      <c r="P61" s="73"/>
      <c r="Q61" s="73"/>
    </row>
    <row r="62" spans="1:17" x14ac:dyDescent="0.25">
      <c r="A62" s="5" t="s">
        <v>197</v>
      </c>
      <c r="B62" s="7" t="s">
        <v>117</v>
      </c>
      <c r="C62" s="55">
        <v>1.7850504050216449</v>
      </c>
      <c r="D62" s="55">
        <v>-45.306972999999999</v>
      </c>
      <c r="E62" s="55">
        <v>-2.93343</v>
      </c>
      <c r="F62" s="6" t="s">
        <v>17</v>
      </c>
      <c r="G62" s="52"/>
      <c r="K62" s="52"/>
      <c r="L62" s="52"/>
      <c r="M62" s="52"/>
      <c r="O62" s="73"/>
      <c r="P62" s="73"/>
      <c r="Q62" s="73"/>
    </row>
    <row r="63" spans="1:17" x14ac:dyDescent="0.25">
      <c r="A63" s="21" t="s">
        <v>220</v>
      </c>
      <c r="B63" s="22" t="s">
        <v>96</v>
      </c>
      <c r="C63" s="54">
        <v>1.777168775757576</v>
      </c>
      <c r="D63" s="54">
        <v>-7.3686144999999996</v>
      </c>
      <c r="E63" s="54">
        <v>-1.7996160000000001</v>
      </c>
      <c r="F63" s="8" t="s">
        <v>11</v>
      </c>
      <c r="G63" s="52"/>
      <c r="K63" s="52"/>
      <c r="L63" s="52"/>
      <c r="M63" s="52"/>
      <c r="O63" s="73"/>
      <c r="P63" s="73"/>
      <c r="Q63" s="73"/>
    </row>
    <row r="64" spans="1:17" x14ac:dyDescent="0.25">
      <c r="A64" s="5" t="s">
        <v>243</v>
      </c>
      <c r="B64" s="7" t="s">
        <v>244</v>
      </c>
      <c r="C64" s="55">
        <v>1.6631317467532469</v>
      </c>
      <c r="D64" s="55">
        <v>55.098126999999998</v>
      </c>
      <c r="E64" s="55">
        <v>0</v>
      </c>
      <c r="F64" s="6" t="s">
        <v>13</v>
      </c>
      <c r="G64" s="52"/>
      <c r="K64" s="52"/>
      <c r="L64" s="52"/>
      <c r="M64" s="52"/>
      <c r="O64" s="73"/>
      <c r="P64" s="73"/>
      <c r="Q64" s="73"/>
    </row>
    <row r="65" spans="1:17" x14ac:dyDescent="0.25">
      <c r="A65" s="21" t="s">
        <v>198</v>
      </c>
      <c r="B65" s="22" t="s">
        <v>114</v>
      </c>
      <c r="C65" s="54">
        <v>1.6365148608851079</v>
      </c>
      <c r="D65" s="54">
        <v>-9.7787946240100005</v>
      </c>
      <c r="E65" s="54">
        <v>0.13349275470999999</v>
      </c>
      <c r="F65" s="8" t="s">
        <v>10</v>
      </c>
      <c r="G65" s="52"/>
      <c r="K65" s="52"/>
      <c r="L65" s="52"/>
      <c r="M65" s="52"/>
      <c r="O65" s="73"/>
      <c r="P65" s="73"/>
      <c r="Q65" s="73"/>
    </row>
    <row r="66" spans="1:17" x14ac:dyDescent="0.25">
      <c r="A66" s="5" t="s">
        <v>209</v>
      </c>
      <c r="B66" s="7" t="s">
        <v>111</v>
      </c>
      <c r="C66" s="55">
        <v>1.5403197086580092</v>
      </c>
      <c r="D66" s="55">
        <v>4.9442050000000002</v>
      </c>
      <c r="E66" s="55">
        <v>-7.0850999999999997E-2</v>
      </c>
      <c r="F66" s="6" t="s">
        <v>11</v>
      </c>
      <c r="G66" s="52"/>
      <c r="K66" s="52"/>
      <c r="L66" s="52"/>
      <c r="M66" s="52"/>
      <c r="O66" s="73"/>
      <c r="P66" s="73"/>
      <c r="Q66" s="73"/>
    </row>
    <row r="67" spans="1:17" x14ac:dyDescent="0.25">
      <c r="A67" s="21" t="s">
        <v>225</v>
      </c>
      <c r="B67" s="22" t="s">
        <v>129</v>
      </c>
      <c r="C67" s="54">
        <v>1.2812849121341561</v>
      </c>
      <c r="D67" s="54">
        <v>-7.9800105814700002</v>
      </c>
      <c r="E67" s="54">
        <v>-0.25093182002000003</v>
      </c>
      <c r="F67" s="8" t="s">
        <v>17</v>
      </c>
      <c r="G67" s="52"/>
      <c r="K67" s="52"/>
      <c r="L67" s="52"/>
      <c r="M67" s="52"/>
      <c r="O67" s="73"/>
      <c r="P67" s="73"/>
      <c r="Q67" s="73"/>
    </row>
    <row r="68" spans="1:17" x14ac:dyDescent="0.25">
      <c r="A68" s="5" t="s">
        <v>215</v>
      </c>
      <c r="B68" s="7" t="s">
        <v>125</v>
      </c>
      <c r="C68" s="55">
        <v>1.2367468599134199</v>
      </c>
      <c r="D68" s="55">
        <v>-20.361816000000001</v>
      </c>
      <c r="E68" s="55">
        <v>-7.9362000000000002E-2</v>
      </c>
      <c r="F68" s="6" t="s">
        <v>17</v>
      </c>
      <c r="G68" s="52"/>
      <c r="K68" s="52"/>
      <c r="L68" s="52"/>
      <c r="M68" s="52"/>
      <c r="O68" s="73"/>
      <c r="P68" s="73"/>
      <c r="Q68" s="73"/>
    </row>
    <row r="69" spans="1:17" x14ac:dyDescent="0.25">
      <c r="A69" s="21" t="s">
        <v>210</v>
      </c>
      <c r="B69" s="22" t="s">
        <v>127</v>
      </c>
      <c r="C69" s="54">
        <v>1.207537525974026</v>
      </c>
      <c r="D69" s="54">
        <v>4.6422610000000004</v>
      </c>
      <c r="E69" s="54">
        <v>-8.4227999999999997E-2</v>
      </c>
      <c r="F69" s="8" t="s">
        <v>155</v>
      </c>
      <c r="G69" s="52"/>
      <c r="K69" s="52"/>
      <c r="L69" s="52"/>
      <c r="M69" s="52"/>
      <c r="O69" s="73"/>
      <c r="P69" s="73"/>
      <c r="Q69" s="73"/>
    </row>
    <row r="70" spans="1:17" x14ac:dyDescent="0.25">
      <c r="A70" s="5" t="s">
        <v>196</v>
      </c>
      <c r="B70" s="7" t="s">
        <v>147</v>
      </c>
      <c r="C70" s="55">
        <v>1.1523527900432899</v>
      </c>
      <c r="D70" s="55">
        <v>-0.10008410000000019</v>
      </c>
      <c r="E70" s="55">
        <v>-0.21570679999999998</v>
      </c>
      <c r="F70" s="6" t="s">
        <v>14</v>
      </c>
      <c r="G70" s="52"/>
      <c r="K70" s="52"/>
      <c r="L70" s="52"/>
      <c r="M70" s="52"/>
      <c r="O70" s="73"/>
      <c r="P70" s="73"/>
      <c r="Q70" s="73"/>
    </row>
    <row r="71" spans="1:17" x14ac:dyDescent="0.25">
      <c r="A71" s="21" t="s">
        <v>214</v>
      </c>
      <c r="B71" s="22" t="s">
        <v>92</v>
      </c>
      <c r="C71" s="54">
        <v>1.1340127336374031</v>
      </c>
      <c r="D71" s="54">
        <v>-2.8176415740399987</v>
      </c>
      <c r="E71" s="54">
        <v>1.13740477236</v>
      </c>
      <c r="F71" s="8" t="s">
        <v>14</v>
      </c>
      <c r="G71" s="52"/>
      <c r="K71" s="52"/>
      <c r="L71" s="52"/>
      <c r="M71" s="52"/>
      <c r="O71" s="73"/>
      <c r="P71" s="73"/>
      <c r="Q71" s="73"/>
    </row>
    <row r="72" spans="1:17" x14ac:dyDescent="0.25">
      <c r="A72" s="5" t="s">
        <v>221</v>
      </c>
      <c r="B72" s="7" t="s">
        <v>123</v>
      </c>
      <c r="C72" s="55">
        <v>1.0921282835497841</v>
      </c>
      <c r="D72" s="55">
        <v>4.5901759999999996</v>
      </c>
      <c r="E72" s="55">
        <v>1.8869500000000001E-2</v>
      </c>
      <c r="F72" s="6" t="s">
        <v>158</v>
      </c>
      <c r="G72" s="52"/>
      <c r="K72" s="52"/>
      <c r="L72" s="52"/>
      <c r="M72" s="52"/>
      <c r="O72" s="73"/>
      <c r="P72" s="73"/>
      <c r="Q72" s="73"/>
    </row>
    <row r="73" spans="1:17" x14ac:dyDescent="0.25">
      <c r="A73" s="21" t="s">
        <v>241</v>
      </c>
      <c r="B73" s="22" t="s">
        <v>242</v>
      </c>
      <c r="C73" s="54">
        <v>1.089876144588745</v>
      </c>
      <c r="D73" s="54">
        <v>4.2374352000000002</v>
      </c>
      <c r="E73" s="54">
        <v>6.5112199999999995E-2</v>
      </c>
      <c r="F73" s="8" t="s">
        <v>157</v>
      </c>
      <c r="G73" s="52"/>
      <c r="K73" s="52"/>
      <c r="L73" s="52"/>
      <c r="M73" s="52"/>
      <c r="O73" s="73"/>
      <c r="P73" s="73"/>
      <c r="Q73" s="73"/>
    </row>
    <row r="74" spans="1:17" x14ac:dyDescent="0.25">
      <c r="A74" s="5" t="s">
        <v>229</v>
      </c>
      <c r="B74" s="7" t="s">
        <v>143</v>
      </c>
      <c r="C74" s="55">
        <v>1.042103759307359</v>
      </c>
      <c r="D74" s="55">
        <v>-10.4868585</v>
      </c>
      <c r="E74" s="55">
        <v>-0.37429499999999999</v>
      </c>
      <c r="F74" s="6" t="s">
        <v>156</v>
      </c>
      <c r="G74" s="52"/>
      <c r="K74" s="52"/>
      <c r="L74" s="52"/>
      <c r="M74" s="52"/>
      <c r="O74" s="73"/>
      <c r="P74" s="73"/>
      <c r="Q74" s="73"/>
    </row>
    <row r="75" spans="1:17" x14ac:dyDescent="0.25">
      <c r="A75" s="21" t="s">
        <v>217</v>
      </c>
      <c r="B75" s="22" t="s">
        <v>93</v>
      </c>
      <c r="C75" s="54">
        <v>1.0225370064582249</v>
      </c>
      <c r="D75" s="54">
        <v>-10.708815133060002</v>
      </c>
      <c r="E75" s="54">
        <v>-0.31686360670000002</v>
      </c>
      <c r="F75" s="8" t="s">
        <v>17</v>
      </c>
      <c r="G75" s="52"/>
      <c r="K75" s="52"/>
      <c r="L75" s="52"/>
      <c r="M75" s="52"/>
      <c r="O75" s="73"/>
      <c r="P75" s="73"/>
      <c r="Q75" s="73"/>
    </row>
    <row r="76" spans="1:17" x14ac:dyDescent="0.25">
      <c r="A76" s="5" t="s">
        <v>233</v>
      </c>
      <c r="B76" s="7" t="s">
        <v>145</v>
      </c>
      <c r="C76" s="55">
        <v>1.020876260281385</v>
      </c>
      <c r="D76" s="55">
        <v>-2.3833004999999998</v>
      </c>
      <c r="E76" s="55">
        <v>1.4337705000000001</v>
      </c>
      <c r="F76" s="6" t="s">
        <v>156</v>
      </c>
      <c r="G76" s="52"/>
      <c r="K76" s="52"/>
      <c r="L76" s="52"/>
      <c r="M76" s="52"/>
      <c r="O76" s="73"/>
      <c r="P76" s="73"/>
      <c r="Q76" s="73"/>
    </row>
    <row r="77" spans="1:17" x14ac:dyDescent="0.25">
      <c r="A77" s="21" t="s">
        <v>258</v>
      </c>
      <c r="B77" s="22" t="s">
        <v>259</v>
      </c>
      <c r="C77" s="54">
        <v>1.0052747911255411</v>
      </c>
      <c r="D77" s="54">
        <v>0.59050049999999998</v>
      </c>
      <c r="E77" s="54">
        <v>-3.2174999999999999E-3</v>
      </c>
      <c r="F77" s="8" t="s">
        <v>15</v>
      </c>
      <c r="G77" s="52"/>
      <c r="K77" s="52"/>
      <c r="L77" s="52"/>
      <c r="M77" s="52"/>
      <c r="O77" s="73"/>
      <c r="P77" s="73"/>
      <c r="Q77" s="73"/>
    </row>
    <row r="78" spans="1:17" x14ac:dyDescent="0.25">
      <c r="A78" s="5" t="s">
        <v>227</v>
      </c>
      <c r="B78" s="7" t="s">
        <v>124</v>
      </c>
      <c r="C78" s="55">
        <v>1.0038144716883119</v>
      </c>
      <c r="D78" s="55">
        <v>-2.973347</v>
      </c>
      <c r="E78" s="55">
        <v>4.1215000000000002E-3</v>
      </c>
      <c r="F78" s="6" t="s">
        <v>17</v>
      </c>
      <c r="G78" s="52"/>
      <c r="K78" s="52"/>
      <c r="L78" s="52"/>
      <c r="M78" s="52"/>
      <c r="O78" s="73"/>
      <c r="P78" s="73"/>
      <c r="Q78" s="73"/>
    </row>
    <row r="79" spans="1:17" x14ac:dyDescent="0.25">
      <c r="A79" s="21" t="s">
        <v>205</v>
      </c>
      <c r="B79" s="22" t="s">
        <v>141</v>
      </c>
      <c r="C79" s="54">
        <v>0.9947176298701299</v>
      </c>
      <c r="D79" s="54">
        <v>0.47521859999999999</v>
      </c>
      <c r="E79" s="54">
        <v>-1.00109E-2</v>
      </c>
      <c r="F79" s="8" t="s">
        <v>158</v>
      </c>
      <c r="G79" s="52"/>
      <c r="K79" s="52"/>
      <c r="L79" s="52"/>
      <c r="M79" s="52"/>
      <c r="O79" s="73"/>
      <c r="P79" s="73"/>
      <c r="Q79" s="73"/>
    </row>
    <row r="80" spans="1:17" x14ac:dyDescent="0.25">
      <c r="A80" s="5" t="s">
        <v>262</v>
      </c>
      <c r="B80" s="7" t="s">
        <v>260</v>
      </c>
      <c r="C80" s="55">
        <v>0.96293984025974022</v>
      </c>
      <c r="D80" s="55">
        <v>12.0426562</v>
      </c>
      <c r="E80" s="55">
        <v>-0.239625</v>
      </c>
      <c r="F80" s="6" t="s">
        <v>14</v>
      </c>
      <c r="G80" s="52"/>
      <c r="K80" s="52"/>
      <c r="L80" s="52"/>
      <c r="M80" s="52"/>
      <c r="O80" s="73"/>
      <c r="P80" s="73"/>
      <c r="Q80" s="73"/>
    </row>
    <row r="81" spans="1:17" x14ac:dyDescent="0.25">
      <c r="A81" s="21" t="s">
        <v>218</v>
      </c>
      <c r="B81" s="22" t="s">
        <v>136</v>
      </c>
      <c r="C81" s="54">
        <v>0.95420034788245034</v>
      </c>
      <c r="D81" s="54">
        <v>0.99163823147999952</v>
      </c>
      <c r="E81" s="54">
        <v>0.32125106009999999</v>
      </c>
      <c r="F81" s="8" t="s">
        <v>17</v>
      </c>
      <c r="G81" s="52"/>
      <c r="K81" s="52"/>
      <c r="L81" s="52"/>
      <c r="M81" s="52"/>
      <c r="O81" s="73"/>
      <c r="P81" s="73"/>
      <c r="Q81" s="73"/>
    </row>
    <row r="82" spans="1:17" x14ac:dyDescent="0.25">
      <c r="A82" s="5" t="s">
        <v>253</v>
      </c>
      <c r="B82" s="7" t="s">
        <v>252</v>
      </c>
      <c r="C82" s="55">
        <v>0.8580599199134199</v>
      </c>
      <c r="D82" s="55">
        <v>21.168229</v>
      </c>
      <c r="E82" s="55">
        <v>0</v>
      </c>
      <c r="F82" s="6" t="s">
        <v>156</v>
      </c>
      <c r="G82" s="52"/>
      <c r="K82" s="52"/>
      <c r="L82" s="52"/>
      <c r="M82" s="52"/>
      <c r="O82" s="73"/>
      <c r="P82" s="73"/>
      <c r="Q82" s="73"/>
    </row>
    <row r="83" spans="1:17" x14ac:dyDescent="0.25">
      <c r="A83" s="21" t="s">
        <v>232</v>
      </c>
      <c r="B83" s="22" t="s">
        <v>154</v>
      </c>
      <c r="C83" s="54">
        <v>0.84513436969696976</v>
      </c>
      <c r="D83" s="54">
        <v>1.4500538000000001</v>
      </c>
      <c r="E83" s="54">
        <v>-0.22873120000000002</v>
      </c>
      <c r="F83" s="8" t="s">
        <v>14</v>
      </c>
      <c r="G83" s="52"/>
      <c r="K83" s="52"/>
      <c r="L83" s="52"/>
      <c r="M83" s="52"/>
      <c r="O83" s="73"/>
      <c r="P83" s="73"/>
      <c r="Q83" s="73"/>
    </row>
    <row r="84" spans="1:17" x14ac:dyDescent="0.25">
      <c r="A84" s="5" t="s">
        <v>230</v>
      </c>
      <c r="B84" s="7" t="s">
        <v>120</v>
      </c>
      <c r="C84" s="55">
        <v>0.8048229103896104</v>
      </c>
      <c r="D84" s="55">
        <v>-2.2463774000000001</v>
      </c>
      <c r="E84" s="55">
        <v>3.1483200000000003E-2</v>
      </c>
      <c r="F84" s="6" t="s">
        <v>157</v>
      </c>
      <c r="G84" s="52"/>
      <c r="K84" s="52"/>
      <c r="L84" s="52"/>
      <c r="M84" s="52"/>
      <c r="O84" s="73"/>
      <c r="P84" s="73"/>
      <c r="Q84" s="73"/>
    </row>
    <row r="85" spans="1:17" x14ac:dyDescent="0.25">
      <c r="A85" s="21" t="s">
        <v>261</v>
      </c>
      <c r="B85" s="22" t="s">
        <v>150</v>
      </c>
      <c r="C85" s="54">
        <v>0.7702310445887447</v>
      </c>
      <c r="D85" s="54">
        <v>0.75956599999999996</v>
      </c>
      <c r="E85" s="54">
        <v>-0.148005</v>
      </c>
      <c r="F85" s="8" t="s">
        <v>14</v>
      </c>
      <c r="G85" s="52"/>
      <c r="K85" s="52"/>
      <c r="L85" s="52"/>
      <c r="M85" s="52"/>
      <c r="O85" s="73"/>
      <c r="P85" s="73"/>
      <c r="Q85" s="73"/>
    </row>
    <row r="86" spans="1:17" x14ac:dyDescent="0.25">
      <c r="A86" s="5" t="s">
        <v>226</v>
      </c>
      <c r="B86" s="7" t="s">
        <v>133</v>
      </c>
      <c r="C86" s="55">
        <v>0.76929474129870135</v>
      </c>
      <c r="D86" s="55">
        <v>-11.0606835</v>
      </c>
      <c r="E86" s="55">
        <v>-0.1178665</v>
      </c>
      <c r="F86" s="6" t="s">
        <v>17</v>
      </c>
      <c r="G86" s="52"/>
      <c r="K86" s="52"/>
      <c r="L86" s="52"/>
      <c r="M86" s="52"/>
      <c r="O86" s="73"/>
      <c r="P86" s="73"/>
      <c r="Q86" s="73"/>
    </row>
    <row r="87" spans="1:17" x14ac:dyDescent="0.25">
      <c r="A87" s="21" t="s">
        <v>213</v>
      </c>
      <c r="B87" s="22" t="s">
        <v>148</v>
      </c>
      <c r="C87" s="54">
        <v>0.7678536787878788</v>
      </c>
      <c r="D87" s="54">
        <v>-0.40266269999999998</v>
      </c>
      <c r="E87" s="54">
        <v>0.15986420000000001</v>
      </c>
      <c r="F87" s="8" t="s">
        <v>14</v>
      </c>
      <c r="G87" s="52"/>
      <c r="K87" s="52"/>
      <c r="L87" s="52"/>
      <c r="M87" s="52"/>
      <c r="O87" s="73"/>
      <c r="P87" s="73"/>
      <c r="Q87" s="73"/>
    </row>
    <row r="88" spans="1:17" x14ac:dyDescent="0.25">
      <c r="A88" s="5" t="s">
        <v>216</v>
      </c>
      <c r="B88" s="7" t="s">
        <v>132</v>
      </c>
      <c r="C88" s="55">
        <v>0.76709390432900437</v>
      </c>
      <c r="D88" s="55">
        <v>-13.9682075</v>
      </c>
      <c r="E88" s="55">
        <v>-0.12994800000000001</v>
      </c>
      <c r="F88" s="6" t="s">
        <v>17</v>
      </c>
      <c r="G88" s="52"/>
      <c r="K88" s="52"/>
      <c r="L88" s="52"/>
      <c r="M88" s="52"/>
      <c r="O88" s="73"/>
      <c r="P88" s="73"/>
      <c r="Q88" s="73"/>
    </row>
    <row r="89" spans="1:17" x14ac:dyDescent="0.25">
      <c r="A89" s="21" t="s">
        <v>234</v>
      </c>
      <c r="B89" s="22" t="s">
        <v>152</v>
      </c>
      <c r="C89" s="54">
        <v>0.76694912865800868</v>
      </c>
      <c r="D89" s="54">
        <v>-13.625593</v>
      </c>
      <c r="E89" s="54">
        <v>0.18604999999999999</v>
      </c>
      <c r="F89" s="8" t="s">
        <v>158</v>
      </c>
      <c r="G89" s="52"/>
      <c r="K89" s="52"/>
      <c r="L89" s="52"/>
      <c r="M89" s="52"/>
      <c r="O89" s="73"/>
      <c r="P89" s="73"/>
      <c r="Q89" s="73"/>
    </row>
    <row r="90" spans="1:17" x14ac:dyDescent="0.25">
      <c r="A90" s="5" t="s">
        <v>224</v>
      </c>
      <c r="B90" s="7" t="s">
        <v>142</v>
      </c>
      <c r="C90" s="55">
        <v>0.75850818095238104</v>
      </c>
      <c r="D90" s="55">
        <v>0.49377299999999991</v>
      </c>
      <c r="E90" s="55">
        <v>-0.114181</v>
      </c>
      <c r="F90" s="6" t="s">
        <v>17</v>
      </c>
      <c r="G90" s="52"/>
      <c r="K90" s="52"/>
      <c r="L90" s="52"/>
      <c r="M90" s="52"/>
      <c r="O90" s="73"/>
      <c r="P90" s="73"/>
      <c r="Q90" s="73"/>
    </row>
    <row r="91" spans="1:17" x14ac:dyDescent="0.25">
      <c r="A91" s="21" t="s">
        <v>223</v>
      </c>
      <c r="B91" s="22" t="s">
        <v>122</v>
      </c>
      <c r="C91" s="54">
        <v>0.72082579975177496</v>
      </c>
      <c r="D91" s="54">
        <v>5.5294067992400002</v>
      </c>
      <c r="E91" s="54">
        <v>0.43097990618999998</v>
      </c>
      <c r="F91" s="8" t="s">
        <v>17</v>
      </c>
      <c r="G91" s="52"/>
      <c r="K91" s="52"/>
      <c r="L91" s="52"/>
      <c r="M91" s="52"/>
      <c r="O91" s="73"/>
      <c r="P91" s="73"/>
      <c r="Q91" s="73"/>
    </row>
    <row r="92" spans="1:17" x14ac:dyDescent="0.25">
      <c r="A92" s="5" t="s">
        <v>208</v>
      </c>
      <c r="B92" s="7" t="s">
        <v>134</v>
      </c>
      <c r="C92" s="55">
        <v>0.71985137532467525</v>
      </c>
      <c r="D92" s="55">
        <v>-4.0221280000000004</v>
      </c>
      <c r="E92" s="55">
        <v>-0.4203595</v>
      </c>
      <c r="F92" s="6" t="s">
        <v>11</v>
      </c>
      <c r="G92" s="52"/>
      <c r="K92" s="52"/>
      <c r="L92" s="52"/>
      <c r="M92" s="52"/>
      <c r="O92" s="73"/>
      <c r="P92" s="73"/>
      <c r="Q92" s="73"/>
    </row>
    <row r="93" spans="1:17" x14ac:dyDescent="0.25">
      <c r="A93" s="21" t="s">
        <v>249</v>
      </c>
      <c r="B93" s="22" t="s">
        <v>248</v>
      </c>
      <c r="C93" s="54">
        <v>0.6358193505945946</v>
      </c>
      <c r="D93" s="54">
        <v>-6.7940294999999997</v>
      </c>
      <c r="E93" s="54">
        <v>-0.38831650000000001</v>
      </c>
      <c r="F93" s="8" t="s">
        <v>14</v>
      </c>
      <c r="G93" s="52"/>
      <c r="K93" s="52"/>
      <c r="L93" s="52"/>
      <c r="M93" s="52"/>
      <c r="O93" s="73"/>
      <c r="P93" s="73"/>
      <c r="Q93" s="73"/>
    </row>
    <row r="94" spans="1:17" x14ac:dyDescent="0.25">
      <c r="A94" s="5" t="s">
        <v>237</v>
      </c>
      <c r="B94" s="7" t="s">
        <v>153</v>
      </c>
      <c r="C94" s="55">
        <v>0.60219959090909092</v>
      </c>
      <c r="D94" s="55">
        <v>14.030094</v>
      </c>
      <c r="E94" s="55">
        <v>0.94219399999999998</v>
      </c>
      <c r="F94" s="6" t="s">
        <v>14</v>
      </c>
      <c r="G94" s="52"/>
      <c r="K94" s="52"/>
      <c r="L94" s="52"/>
      <c r="M94" s="52"/>
      <c r="O94" s="73"/>
      <c r="P94" s="73"/>
      <c r="Q94" s="73"/>
    </row>
    <row r="95" spans="1:17" x14ac:dyDescent="0.25">
      <c r="A95" s="21" t="s">
        <v>256</v>
      </c>
      <c r="B95" s="22" t="s">
        <v>257</v>
      </c>
      <c r="C95" s="54">
        <v>0.5952141428571428</v>
      </c>
      <c r="D95" s="54">
        <v>-6.1449484999999999</v>
      </c>
      <c r="E95" s="54">
        <v>-0.106779</v>
      </c>
      <c r="F95" s="8" t="s">
        <v>16</v>
      </c>
      <c r="G95" s="52"/>
      <c r="K95" s="52"/>
      <c r="L95" s="52"/>
      <c r="M95" s="52"/>
      <c r="O95" s="73"/>
      <c r="P95" s="73"/>
      <c r="Q95" s="73"/>
    </row>
    <row r="96" spans="1:17" x14ac:dyDescent="0.25">
      <c r="A96" s="5" t="s">
        <v>254</v>
      </c>
      <c r="B96" s="7" t="s">
        <v>255</v>
      </c>
      <c r="C96" s="55">
        <v>0.55219380303030297</v>
      </c>
      <c r="D96" s="55">
        <v>-8.2735044999999996</v>
      </c>
      <c r="E96" s="55">
        <v>-5.3021000000000026E-2</v>
      </c>
      <c r="F96" s="6" t="s">
        <v>17</v>
      </c>
      <c r="G96" s="52"/>
      <c r="K96" s="52"/>
      <c r="L96" s="52"/>
      <c r="M96" s="52"/>
      <c r="O96" s="73"/>
      <c r="P96" s="73"/>
      <c r="Q96" s="73"/>
    </row>
    <row r="97" spans="1:17" x14ac:dyDescent="0.25">
      <c r="A97" s="21" t="s">
        <v>228</v>
      </c>
      <c r="B97" s="22" t="s">
        <v>86</v>
      </c>
      <c r="C97" s="54">
        <v>0.4902478073593074</v>
      </c>
      <c r="D97" s="54">
        <v>-0.58560599999999996</v>
      </c>
      <c r="E97" s="54">
        <v>-0.120777</v>
      </c>
      <c r="F97" s="8" t="s">
        <v>11</v>
      </c>
      <c r="G97" s="52"/>
      <c r="K97" s="52"/>
      <c r="L97" s="52"/>
      <c r="M97" s="52"/>
      <c r="O97" s="73"/>
      <c r="P97" s="73"/>
      <c r="Q97" s="73"/>
    </row>
    <row r="98" spans="1:17" x14ac:dyDescent="0.25">
      <c r="A98" s="5" t="s">
        <v>235</v>
      </c>
      <c r="B98" s="7" t="s">
        <v>135</v>
      </c>
      <c r="C98" s="55">
        <v>0.48682640779220776</v>
      </c>
      <c r="D98" s="55">
        <v>-10.2705845</v>
      </c>
      <c r="E98" s="55">
        <v>-0.12888050000000001</v>
      </c>
      <c r="F98" s="6" t="s">
        <v>11</v>
      </c>
      <c r="G98" s="52"/>
      <c r="K98" s="52"/>
      <c r="L98" s="52"/>
      <c r="M98" s="52"/>
      <c r="O98" s="73"/>
      <c r="P98" s="73"/>
      <c r="Q98" s="73"/>
    </row>
    <row r="99" spans="1:17" x14ac:dyDescent="0.25">
      <c r="A99" s="21" t="s">
        <v>231</v>
      </c>
      <c r="B99" s="22" t="s">
        <v>151</v>
      </c>
      <c r="C99" s="54">
        <v>0.44590290606060612</v>
      </c>
      <c r="D99" s="54">
        <v>-1.6044210000000001</v>
      </c>
      <c r="E99" s="54">
        <v>-0.1219735</v>
      </c>
      <c r="F99" s="8" t="s">
        <v>14</v>
      </c>
      <c r="G99" s="52"/>
      <c r="K99" s="52"/>
      <c r="L99" s="52"/>
      <c r="M99" s="52"/>
      <c r="O99" s="73"/>
      <c r="P99" s="73"/>
      <c r="Q99" s="73"/>
    </row>
    <row r="100" spans="1:17" x14ac:dyDescent="0.25">
      <c r="A100" s="5" t="s">
        <v>265</v>
      </c>
      <c r="B100" s="7" t="s">
        <v>266</v>
      </c>
      <c r="C100" s="55">
        <v>0.44314764197705631</v>
      </c>
      <c r="D100" s="55">
        <v>2.2931774672999952</v>
      </c>
      <c r="E100" s="55">
        <v>-5.0915897599999996E-2</v>
      </c>
      <c r="F100" s="6" t="s">
        <v>10</v>
      </c>
      <c r="G100" s="52"/>
      <c r="K100" s="52"/>
      <c r="L100" s="52"/>
      <c r="M100" s="52"/>
      <c r="O100" s="73"/>
      <c r="P100" s="73"/>
      <c r="Q100" s="73"/>
    </row>
    <row r="101" spans="1:17" x14ac:dyDescent="0.25">
      <c r="A101" s="75" t="s">
        <v>269</v>
      </c>
      <c r="B101" s="76" t="s">
        <v>270</v>
      </c>
      <c r="C101" s="77">
        <v>0.42615211904761913</v>
      </c>
      <c r="D101" s="77">
        <v>10.356889000000001</v>
      </c>
      <c r="E101" s="77">
        <v>0.67644000000000004</v>
      </c>
      <c r="F101" s="9" t="s">
        <v>11</v>
      </c>
      <c r="G101" s="52"/>
      <c r="K101" s="52"/>
      <c r="L101" s="52"/>
      <c r="M101" s="52"/>
      <c r="O101" s="73"/>
      <c r="P101" s="73"/>
      <c r="Q101" s="73"/>
    </row>
    <row r="102" spans="1:17" x14ac:dyDescent="0.25">
      <c r="A102" s="45"/>
      <c r="B102" s="10"/>
      <c r="C102" s="10"/>
      <c r="D102" s="10"/>
      <c r="E102" s="10"/>
      <c r="F102" s="46"/>
    </row>
    <row r="105" spans="1:17" x14ac:dyDescent="0.25">
      <c r="A105" s="11" t="s">
        <v>80</v>
      </c>
    </row>
    <row r="106" spans="1:17" x14ac:dyDescent="0.25">
      <c r="A106" s="11" t="s">
        <v>139</v>
      </c>
    </row>
    <row r="107" spans="1:17" x14ac:dyDescent="0.25">
      <c r="A107" s="11" t="s">
        <v>138</v>
      </c>
    </row>
    <row r="108" spans="1:17" x14ac:dyDescent="0.25">
      <c r="A108" s="11" t="s">
        <v>144</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2024-12-02T02:01:42Z</dcterms:modified>
</cp:coreProperties>
</file>