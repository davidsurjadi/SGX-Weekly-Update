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E1E87C94-9B2F-4835-AEC9-0888D867809D}" xr6:coauthVersionLast="47" xr6:coauthVersionMax="47" xr10:uidLastSave="{00000000-0000-0000-0000-000000000000}"/>
  <bookViews>
    <workbookView xWindow="-57720" yWindow="-426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1" i="5"/>
  <c r="A1" i="4" l="1"/>
  <c r="A3" i="3" l="1"/>
  <c r="A4" i="3"/>
  <c r="A5" i="3"/>
  <c r="A3" i="2"/>
  <c r="A4" i="2"/>
  <c r="A5" i="2"/>
  <c r="C32" i="4" l="1"/>
  <c r="D32" i="4" l="1"/>
  <c r="C18" i="1" l="1"/>
  <c r="F18" i="1" s="1"/>
  <c r="F5" i="1"/>
</calcChain>
</file>

<file path=xl/sharedStrings.xml><?xml version="1.0" encoding="utf-8"?>
<sst xmlns="http://schemas.openxmlformats.org/spreadsheetml/2006/main" count="518" uniqueCount="275">
  <si>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</si>
  <si>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</si>
  <si>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</si>
  <si>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</si>
  <si>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</si>
  <si>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</si>
  <si>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</si>
  <si>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</si>
  <si>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</si>
  <si>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</si>
  <si>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</si>
  <si>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</si>
  <si>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</si>
  <si>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</si>
  <si>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</si>
  <si>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</si>
  <si>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</si>
  <si>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</si>
  <si>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</si>
  <si>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</si>
  <si>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</si>
  <si>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</si>
  <si>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</si>
  <si>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</si>
  <si>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</si>
  <si>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</si>
  <si>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</si>
  <si>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</si>
  <si>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</si>
  <si>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</si>
  <si>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</si>
  <si>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</si>
  <si>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</si>
  <si>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</si>
  <si>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</si>
  <si>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</si>
  <si>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</si>
  <si>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</si>
  <si>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</si>
  <si>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</si>
  <si>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</si>
  <si>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</si>
  <si>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</si>
  <si>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</si>
  <si>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</si>
  <si>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</si>
  <si>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</si>
  <si>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</si>
  <si>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</si>
  <si>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</si>
  <si>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</si>
  <si>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</si>
  <si>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</si>
  <si>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</si>
  <si>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</si>
  <si>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</si>
  <si>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</si>
  <si>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</si>
  <si>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</si>
  <si>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</si>
  <si>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</si>
  <si>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</si>
  <si>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</si>
  <si>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</si>
  <si>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</si>
  <si>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</si>
  <si>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</si>
  <si>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</si>
  <si>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</si>
  <si>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</si>
  <si>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</si>
  <si>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</si>
  <si>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</si>
  <si>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</si>
  <si>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</si>
  <si>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</si>
  <si>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</si>
  <si>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</si>
  <si>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</si>
  <si>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</si>
  <si>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</si>
  <si>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</si>
  <si>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</si>
  <si>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</si>
  <si>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</si>
  <si>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</si>
  <si>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</si>
  <si>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</si>
  <si>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</si>
  <si>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</si>
  <si>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</si>
  <si>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</si>
  <si>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</si>
  <si>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</si>
  <si>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</si>
  <si>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</si>
  <si>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</si>
  <si>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</si>
  <si>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</si>
  <si>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</si>
  <si>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</si>
  <si>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</si>
  <si>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</si>
  <si>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</si>
  <si>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</si>
  <si>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</si>
  <si>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</si>
  <si>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</si>
  <si>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</si>
  <si>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</si>
  <si>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</si>
  <si>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</si>
  <si>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</si>
  <si>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</si>
  <si>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</si>
  <si>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</si>
  <si>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</si>
  <si>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</si>
  <si>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</si>
  <si>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</si>
  <si>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</si>
  <si>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</si>
  <si>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</si>
  <si>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</si>
  <si>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</si>
  <si>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</si>
  <si>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</si>
  <si>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</si>
  <si>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</si>
  <si>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</si>
  <si>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</si>
  <si>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</si>
  <si>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</si>
  <si>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</si>
  <si>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</si>
  <si>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</si>
  <si>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</si>
  <si>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</si>
  <si>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</si>
  <si>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</si>
  <si>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</si>
  <si>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</si>
  <si>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</si>
  <si>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</si>
  <si>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</si>
  <si>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</si>
  <si>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</si>
  <si>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</si>
  <si>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</si>
  <si>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</si>
  <si>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</si>
  <si>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</si>
  <si>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</si>
  <si>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</si>
  <si>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</si>
  <si>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</si>
  <si>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</si>
  <si>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</si>
  <si>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</si>
  <si>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</si>
  <si>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</si>
  <si>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</si>
  <si>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</si>
  <si>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</si>
  <si>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</si>
  <si>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</si>
  <si>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</si>
  <si>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</si>
  <si>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</si>
  <si>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</si>
  <si>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</si>
  <si>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</si>
  <si>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</si>
  <si>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</si>
  <si>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</si>
  <si>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</si>
  <si>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</si>
  <si>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</si>
  <si>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</si>
  <si>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</si>
  <si>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</si>
  <si>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</si>
  <si>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</si>
  <si>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</si>
  <si>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</si>
  <si>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</si>
  <si>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</si>
  <si>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</si>
  <si>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</si>
  <si>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</si>
  <si>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</si>
  <si>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</si>
  <si>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</si>
  <si>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</si>
  <si>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</si>
  <si>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</si>
  <si>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</si>
  <si>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</si>
  <si>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</si>
  <si>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</si>
  <si>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</si>
  <si>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</si>
  <si>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</si>
  <si>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</si>
  <si>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</si>
  <si>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</si>
  <si>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</si>
  <si>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</si>
  <si>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</si>
  <si>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</si>
  <si>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</si>
  <si>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</si>
  <si>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</si>
  <si>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</si>
  <si>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</si>
  <si>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</si>
  <si>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</si>
  <si>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</si>
  <si>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</si>
  <si>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</si>
  <si>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</si>
  <si>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</si>
  <si>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</si>
  <si>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</si>
  <si>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</si>
  <si>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</si>
  <si>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</si>
  <si>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</si>
  <si>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</si>
  <si>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</si>
  <si>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</si>
  <si>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</si>
  <si>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</si>
  <si>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</si>
  <si>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</si>
  <si>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</si>
  <si>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</si>
  <si>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</si>
  <si>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</si>
  <si>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</si>
  <si>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</si>
  <si>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</si>
  <si>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</si>
  <si>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</si>
  <si>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</si>
  <si>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</si>
  <si>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</si>
  <si>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</si>
  <si>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</si>
  <si>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</si>
  <si>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</si>
  <si>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</si>
  <si>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</si>
  <si>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</si>
  <si>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Wing Tai</t>
  </si>
  <si>
    <t>W05</t>
  </si>
  <si>
    <t>Straits Trading</t>
  </si>
  <si>
    <t>S20</t>
  </si>
  <si>
    <t>Daiwa Hse Log Tr</t>
  </si>
  <si>
    <t>DHLU</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</si>
  <si>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</si>
  <si>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</si>
  <si>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</si>
  <si>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Mermaid Maritime</t>
  </si>
  <si>
    <t>DU4</t>
  </si>
  <si>
    <t>Bumitama Agri</t>
  </si>
  <si>
    <t>P8Z</t>
  </si>
  <si>
    <t>Great Eastern</t>
  </si>
  <si>
    <t>G07</t>
  </si>
  <si>
    <t>Week of 22 April 2024</t>
  </si>
  <si>
    <t>CapitaLand China Trust</t>
  </si>
  <si>
    <t>Frencken Group</t>
  </si>
  <si>
    <r>
      <t xml:space="preserve">Institutional investors net </t>
    </r>
    <r>
      <rPr>
        <b/>
        <sz val="11"/>
        <rFont val="Arial"/>
        <family val="2"/>
      </rPr>
      <t>buy</t>
    </r>
    <r>
      <rPr>
        <sz val="11"/>
        <rFont val="Arial"/>
        <family val="2"/>
      </rPr>
      <t xml:space="preserve"> (+S$221.7m) vs. (-S$5.0m) a week ago</t>
    </r>
  </si>
  <si>
    <r>
      <t xml:space="preserve">Retail investors net </t>
    </r>
    <r>
      <rPr>
        <b/>
        <sz val="11"/>
        <rFont val="Arial"/>
        <family val="2"/>
      </rPr>
      <t>sell</t>
    </r>
    <r>
      <rPr>
        <sz val="11"/>
        <rFont val="Arial"/>
        <family val="2"/>
      </rPr>
      <t xml:space="preserve"> (-S$478.6m) vs. (+S$208.4m) a week ago</t>
    </r>
  </si>
  <si>
    <t>Keppel Infrastructure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</si>
</sst>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 numFmtId="171" formatCode="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1" xfId="0" applyNumberFormat="1" applyFont="1" applyFill="1" applyBorder="1" applyAlignment="1">
      <alignment horizontal="center"/>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8" fontId="0" fillId="0" borderId="0" xfId="0" applyNumberFormat="1"/>
    <xf numFmtId="168" fontId="3" fillId="0" borderId="0" xfId="1" applyNumberFormat="1" applyFont="1" applyFill="1"/>
    <xf numFmtId="164"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8" fontId="3" fillId="4" borderId="9" xfId="1" applyNumberFormat="1" applyFont="1" applyFill="1" applyBorder="1" applyAlignment="1">
      <alignment horizontal="right"/>
    </xf>
    <xf numFmtId="168" fontId="3" fillId="0" borderId="4" xfId="1" applyNumberFormat="1" applyFont="1" applyBorder="1" applyAlignment="1">
      <alignment horizontal="right"/>
    </xf>
    <xf numFmtId="168" fontId="3" fillId="4" borderId="4" xfId="1" applyNumberFormat="1" applyFont="1" applyFill="1" applyBorder="1" applyAlignment="1">
      <alignment horizontal="right"/>
    </xf>
    <xf numFmtId="168" fontId="3" fillId="0" borderId="5" xfId="1" applyNumberFormat="1" applyFont="1" applyBorder="1" applyAlignment="1">
      <alignment horizontal="right"/>
    </xf>
    <xf numFmtId="164" fontId="3" fillId="4" borderId="0" xfId="0" applyNumberFormat="1" applyFont="1" applyFill="1" applyAlignment="1">
      <alignment horizontal="center" vertical="center"/>
    </xf>
    <xf numFmtId="165" fontId="3" fillId="7" borderId="0" xfId="0" applyNumberFormat="1" applyFont="1" applyFill="1" applyAlignment="1">
      <alignment horizontal="left"/>
    </xf>
    <xf numFmtId="167" fontId="3" fillId="7" borderId="0" xfId="1" applyNumberFormat="1" applyFont="1" applyFill="1" applyAlignment="1">
      <alignment horizontal="center" vertical="center"/>
    </xf>
    <xf numFmtId="165" fontId="3" fillId="4" borderId="13" xfId="0" applyNumberFormat="1" applyFont="1" applyFill="1" applyBorder="1" applyAlignment="1">
      <alignment horizontal="left"/>
    </xf>
    <xf numFmtId="0" fontId="14" fillId="4" borderId="4" xfId="0" applyFont="1" applyFill="1" applyBorder="1" applyAlignment="1">
      <alignment vertical="center"/>
    </xf>
    <xf numFmtId="164" fontId="4" fillId="0" borderId="16" xfId="0" applyNumberFormat="1" applyFont="1" applyBorder="1" applyAlignment="1">
      <alignment horizontal="right" vertical="center" wrapText="1"/>
    </xf>
    <xf numFmtId="164"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5" fontId="3" fillId="7" borderId="13" xfId="0" applyNumberFormat="1" applyFont="1" applyFill="1" applyBorder="1" applyAlignment="1">
      <alignment horizontal="left"/>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6"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6" fontId="7" fillId="0" borderId="0" xfId="0" applyNumberFormat="1" applyFont="1" applyAlignment="1">
      <alignment horizontal="center"/>
    </xf>
    <xf numFmtId="0" fontId="15"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0"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269</v>
      </c>
    </row>
    <row r="2" spans="1:13" x14ac:dyDescent="0.3">
      <c r="A2" s="82" t="s">
        <v>272</v>
      </c>
      <c r="I2" s="56"/>
    </row>
    <row r="3" spans="1:13" x14ac:dyDescent="0.3">
      <c r="A3" s="82" t="s">
        <v>273</v>
      </c>
      <c r="I3" s="56"/>
    </row>
    <row r="5" spans="1:13" ht="29.25" customHeight="1" x14ac:dyDescent="0.3">
      <c r="A5" s="3" t="s">
        <v>0</v>
      </c>
      <c r="B5" s="3" t="s">
        <v>1</v>
      </c>
      <c r="C5" s="4" t="s">
        <v>269</v>
      </c>
      <c r="D5" s="71" t="s">
        <v>2</v>
      </c>
      <c r="E5" s="71" t="s">
        <v>1</v>
      </c>
      <c r="F5" s="72" t="str">
        <f>+C5</f>
        <v>Week of 22 April 2024</v>
      </c>
    </row>
    <row r="6" spans="1:13" ht="14.5" x14ac:dyDescent="0.35">
      <c r="A6" s="34" t="s">
        <v>28</v>
      </c>
      <c r="B6" s="75" t="s">
        <v>23</v>
      </c>
      <c r="C6" s="6">
        <v>131.643292</v>
      </c>
      <c r="D6" s="34" t="s">
        <v>153</v>
      </c>
      <c r="E6" s="75" t="s">
        <v>32</v>
      </c>
      <c r="F6" s="6">
        <v>-23.386271000000001</v>
      </c>
      <c r="K6" s="45"/>
      <c r="L6"/>
      <c r="M6"/>
    </row>
    <row r="7" spans="1:13" ht="14.5" x14ac:dyDescent="0.35">
      <c r="A7" s="35" t="s">
        <v>146</v>
      </c>
      <c r="B7" s="10" t="s">
        <v>90</v>
      </c>
      <c r="C7" s="8">
        <v>32.531977299999987</v>
      </c>
      <c r="D7" s="35" t="s">
        <v>89</v>
      </c>
      <c r="E7" s="10" t="s">
        <v>25</v>
      </c>
      <c r="F7" s="8">
        <v>-21.275589</v>
      </c>
      <c r="K7" s="45"/>
      <c r="L7"/>
      <c r="M7"/>
    </row>
    <row r="8" spans="1:13" ht="14.5" x14ac:dyDescent="0.35">
      <c r="A8" s="36" t="s">
        <v>27</v>
      </c>
      <c r="B8" s="75" t="s">
        <v>22</v>
      </c>
      <c r="C8" s="6">
        <v>32.218899</v>
      </c>
      <c r="D8" s="36" t="s">
        <v>50</v>
      </c>
      <c r="E8" s="75" t="s">
        <v>48</v>
      </c>
      <c r="F8" s="6">
        <v>-12.831465</v>
      </c>
      <c r="K8" s="45"/>
      <c r="L8"/>
      <c r="M8"/>
    </row>
    <row r="9" spans="1:13" ht="14.5" x14ac:dyDescent="0.35">
      <c r="A9" s="35" t="s">
        <v>61</v>
      </c>
      <c r="B9" s="10" t="s">
        <v>53</v>
      </c>
      <c r="C9" s="8">
        <v>23.470922000000002</v>
      </c>
      <c r="D9" s="35" t="s">
        <v>40</v>
      </c>
      <c r="E9" s="10" t="s">
        <v>38</v>
      </c>
      <c r="F9" s="8">
        <v>-11.905272</v>
      </c>
      <c r="K9" s="45"/>
      <c r="L9"/>
      <c r="M9"/>
    </row>
    <row r="10" spans="1:13" ht="14.5" x14ac:dyDescent="0.35">
      <c r="A10" s="36" t="s">
        <v>26</v>
      </c>
      <c r="B10" s="75" t="s">
        <v>21</v>
      </c>
      <c r="C10" s="6">
        <v>15.456872000000001</v>
      </c>
      <c r="D10" s="36" t="s">
        <v>44</v>
      </c>
      <c r="E10" s="75" t="s">
        <v>41</v>
      </c>
      <c r="F10" s="6">
        <v>-11.425468</v>
      </c>
      <c r="K10" s="45"/>
      <c r="L10"/>
      <c r="M10"/>
    </row>
    <row r="11" spans="1:13" ht="14.5" x14ac:dyDescent="0.35">
      <c r="A11" s="35" t="s">
        <v>79</v>
      </c>
      <c r="B11" s="10" t="s">
        <v>56</v>
      </c>
      <c r="C11" s="8">
        <v>14.964824</v>
      </c>
      <c r="D11" s="35" t="s">
        <v>36</v>
      </c>
      <c r="E11" s="10" t="s">
        <v>35</v>
      </c>
      <c r="F11" s="8">
        <v>-9.3198120000000007</v>
      </c>
      <c r="K11" s="45"/>
      <c r="L11"/>
      <c r="M11"/>
    </row>
    <row r="12" spans="1:13" ht="14.5" x14ac:dyDescent="0.35">
      <c r="A12" s="36" t="s">
        <v>63</v>
      </c>
      <c r="B12" s="75" t="s">
        <v>54</v>
      </c>
      <c r="C12" s="6">
        <v>14.370388</v>
      </c>
      <c r="D12" s="36" t="s">
        <v>253</v>
      </c>
      <c r="E12" s="75" t="s">
        <v>58</v>
      </c>
      <c r="F12" s="6">
        <v>-7.6393579999999996</v>
      </c>
      <c r="K12" s="45"/>
      <c r="L12"/>
      <c r="M12"/>
    </row>
    <row r="13" spans="1:13" ht="14.5" x14ac:dyDescent="0.35">
      <c r="A13" s="35" t="s">
        <v>33</v>
      </c>
      <c r="B13" s="10" t="s">
        <v>31</v>
      </c>
      <c r="C13" s="8">
        <v>12.197886</v>
      </c>
      <c r="D13" s="35" t="s">
        <v>86</v>
      </c>
      <c r="E13" s="10" t="s">
        <v>85</v>
      </c>
      <c r="F13" s="8">
        <v>-7.5447050000000004</v>
      </c>
      <c r="K13" s="45"/>
      <c r="L13"/>
      <c r="M13"/>
    </row>
    <row r="14" spans="1:13" ht="14.5" x14ac:dyDescent="0.35">
      <c r="A14" s="36" t="s">
        <v>29</v>
      </c>
      <c r="B14" s="75" t="s">
        <v>24</v>
      </c>
      <c r="C14" s="6">
        <v>10.564113000000001</v>
      </c>
      <c r="D14" s="36" t="s">
        <v>270</v>
      </c>
      <c r="E14" s="75" t="s">
        <v>98</v>
      </c>
      <c r="F14" s="6">
        <v>-6.5304774999999999</v>
      </c>
      <c r="K14" s="45"/>
      <c r="L14"/>
      <c r="M14"/>
    </row>
    <row r="15" spans="1:13" ht="14.5" x14ac:dyDescent="0.35">
      <c r="A15" s="37" t="s">
        <v>49</v>
      </c>
      <c r="B15" s="33" t="s">
        <v>47</v>
      </c>
      <c r="C15" s="9">
        <v>10.5300992</v>
      </c>
      <c r="D15" s="37" t="s">
        <v>46</v>
      </c>
      <c r="E15" s="33" t="s">
        <v>43</v>
      </c>
      <c r="F15" s="9">
        <v>-5.0147469999999998</v>
      </c>
      <c r="K15" s="45"/>
      <c r="L15"/>
      <c r="M15"/>
    </row>
    <row r="16" spans="1:13" ht="15.5" x14ac:dyDescent="0.35">
      <c r="A16" s="10"/>
      <c r="B16" s="10"/>
      <c r="C16" s="10"/>
      <c r="D16" s="31"/>
      <c r="E16" s="10"/>
      <c r="F16" s="10"/>
    </row>
    <row r="17" spans="1:13" x14ac:dyDescent="0.3">
      <c r="A17" s="10"/>
      <c r="B17" s="10"/>
      <c r="C17" s="10"/>
      <c r="D17" s="10"/>
      <c r="E17" s="10"/>
      <c r="F17" s="10"/>
    </row>
    <row r="18" spans="1:13" ht="28.5" customHeight="1" x14ac:dyDescent="0.3">
      <c r="A18" s="39" t="s">
        <v>3</v>
      </c>
      <c r="B18" s="3" t="s">
        <v>1</v>
      </c>
      <c r="C18" s="4" t="str">
        <f>C5</f>
        <v>Week of 22 April 2024</v>
      </c>
      <c r="D18" s="73" t="s">
        <v>4</v>
      </c>
      <c r="E18" s="71" t="s">
        <v>1</v>
      </c>
      <c r="F18" s="72" t="str">
        <f>+C18</f>
        <v>Week of 22 April 2024</v>
      </c>
    </row>
    <row r="19" spans="1:13" ht="14.5" x14ac:dyDescent="0.35">
      <c r="A19" s="68" t="s">
        <v>153</v>
      </c>
      <c r="B19" s="75" t="s">
        <v>32</v>
      </c>
      <c r="C19" s="6">
        <v>13.398961999999999</v>
      </c>
      <c r="D19" s="34" t="s">
        <v>28</v>
      </c>
      <c r="E19" s="75" t="s">
        <v>23</v>
      </c>
      <c r="F19" s="6">
        <v>-194.36662699999999</v>
      </c>
      <c r="I19" s="38"/>
      <c r="K19" s="45"/>
      <c r="L19"/>
      <c r="M19"/>
    </row>
    <row r="20" spans="1:13" ht="14.5" x14ac:dyDescent="0.35">
      <c r="A20" s="35" t="s">
        <v>50</v>
      </c>
      <c r="B20" s="10" t="s">
        <v>48</v>
      </c>
      <c r="C20" s="8">
        <v>11.21292</v>
      </c>
      <c r="D20" s="35" t="s">
        <v>27</v>
      </c>
      <c r="E20" s="10" t="s">
        <v>22</v>
      </c>
      <c r="F20" s="8">
        <v>-75.711543000000006</v>
      </c>
      <c r="I20" s="38"/>
      <c r="K20" s="45"/>
      <c r="L20"/>
      <c r="M20"/>
    </row>
    <row r="21" spans="1:13" ht="14.5" x14ac:dyDescent="0.35">
      <c r="A21" s="36" t="s">
        <v>89</v>
      </c>
      <c r="B21" s="75" t="s">
        <v>25</v>
      </c>
      <c r="C21" s="6">
        <v>10.581951999999999</v>
      </c>
      <c r="D21" s="36" t="s">
        <v>146</v>
      </c>
      <c r="E21" s="75" t="s">
        <v>90</v>
      </c>
      <c r="F21" s="6">
        <v>-57.394477900000012</v>
      </c>
      <c r="I21" s="38"/>
      <c r="K21" s="45"/>
      <c r="L21"/>
      <c r="M21"/>
    </row>
    <row r="22" spans="1:13" ht="14.5" x14ac:dyDescent="0.35">
      <c r="A22" s="35" t="s">
        <v>40</v>
      </c>
      <c r="B22" s="10" t="s">
        <v>38</v>
      </c>
      <c r="C22" s="8">
        <v>10.154069</v>
      </c>
      <c r="D22" s="35" t="s">
        <v>33</v>
      </c>
      <c r="E22" s="10" t="s">
        <v>31</v>
      </c>
      <c r="F22" s="8">
        <v>-33.915174</v>
      </c>
      <c r="I22" s="38"/>
      <c r="K22" s="45"/>
      <c r="L22"/>
      <c r="M22"/>
    </row>
    <row r="23" spans="1:13" ht="14.5" x14ac:dyDescent="0.35">
      <c r="A23" s="36" t="s">
        <v>270</v>
      </c>
      <c r="B23" s="75" t="s">
        <v>98</v>
      </c>
      <c r="C23" s="6">
        <v>5.7675384999999997</v>
      </c>
      <c r="D23" s="36" t="s">
        <v>26</v>
      </c>
      <c r="E23" s="75" t="s">
        <v>21</v>
      </c>
      <c r="F23" s="6">
        <v>-29.817039000000001</v>
      </c>
      <c r="I23" s="48"/>
      <c r="K23" s="45"/>
      <c r="L23"/>
      <c r="M23"/>
    </row>
    <row r="24" spans="1:13" ht="14.5" x14ac:dyDescent="0.35">
      <c r="A24" s="35" t="s">
        <v>271</v>
      </c>
      <c r="B24" s="10" t="s">
        <v>112</v>
      </c>
      <c r="C24" s="8">
        <v>4.9979560000000003</v>
      </c>
      <c r="D24" s="35" t="s">
        <v>61</v>
      </c>
      <c r="E24" s="10" t="s">
        <v>53</v>
      </c>
      <c r="F24" s="8">
        <v>-28.695067999999999</v>
      </c>
      <c r="I24" s="38"/>
      <c r="K24" s="45"/>
      <c r="L24"/>
      <c r="M24"/>
    </row>
    <row r="25" spans="1:13" ht="14.5" x14ac:dyDescent="0.35">
      <c r="A25" s="36" t="s">
        <v>253</v>
      </c>
      <c r="B25" s="75" t="s">
        <v>58</v>
      </c>
      <c r="C25" s="6">
        <v>4.8875109999999999</v>
      </c>
      <c r="D25" s="36" t="s">
        <v>63</v>
      </c>
      <c r="E25" s="75" t="s">
        <v>54</v>
      </c>
      <c r="F25" s="6">
        <v>-21.217894999999999</v>
      </c>
      <c r="I25" s="38"/>
      <c r="K25" s="45"/>
      <c r="L25"/>
      <c r="M25"/>
    </row>
    <row r="26" spans="1:13" ht="14.5" x14ac:dyDescent="0.35">
      <c r="A26" s="35" t="s">
        <v>36</v>
      </c>
      <c r="B26" s="10" t="s">
        <v>35</v>
      </c>
      <c r="C26" s="8">
        <v>3.1726529999999999</v>
      </c>
      <c r="D26" s="35" t="s">
        <v>29</v>
      </c>
      <c r="E26" s="10" t="s">
        <v>24</v>
      </c>
      <c r="F26" s="8">
        <v>-16.837764</v>
      </c>
      <c r="I26" s="38"/>
      <c r="K26" s="45"/>
      <c r="L26"/>
      <c r="M26"/>
    </row>
    <row r="27" spans="1:13" ht="14.5" x14ac:dyDescent="0.35">
      <c r="A27" s="36" t="s">
        <v>46</v>
      </c>
      <c r="B27" s="75" t="s">
        <v>43</v>
      </c>
      <c r="C27" s="6">
        <v>2.7158989999999998</v>
      </c>
      <c r="D27" s="36" t="s">
        <v>49</v>
      </c>
      <c r="E27" s="75" t="s">
        <v>47</v>
      </c>
      <c r="F27" s="6">
        <v>-15.6445398</v>
      </c>
      <c r="I27" s="38"/>
      <c r="K27" s="45"/>
      <c r="L27"/>
      <c r="M27"/>
    </row>
    <row r="28" spans="1:13" ht="14.5" x14ac:dyDescent="0.35">
      <c r="A28" s="37" t="s">
        <v>274</v>
      </c>
      <c r="B28" s="33" t="s">
        <v>106</v>
      </c>
      <c r="C28" s="9">
        <v>2.4193959999999999</v>
      </c>
      <c r="D28" s="37" t="s">
        <v>39</v>
      </c>
      <c r="E28" s="33" t="s">
        <v>37</v>
      </c>
      <c r="F28" s="9">
        <v>-14.494021999999999</v>
      </c>
      <c r="I28" s="38"/>
      <c r="K28" s="45"/>
      <c r="L28"/>
      <c r="M28"/>
    </row>
    <row r="29" spans="1:13" x14ac:dyDescent="0.3">
      <c r="A29" s="10"/>
      <c r="B29" s="10"/>
      <c r="C29" s="10"/>
      <c r="D29" s="10"/>
      <c r="E29" s="10"/>
      <c r="F29" s="10"/>
    </row>
    <row r="30" spans="1:13" ht="14.5" x14ac:dyDescent="0.35">
      <c r="A30" s="11" t="s">
        <v>252</v>
      </c>
      <c r="B30" s="11"/>
      <c r="C30" s="10"/>
      <c r="D30" s="10"/>
      <c r="E30" s="10"/>
      <c r="F30" s="10"/>
    </row>
    <row r="31" spans="1:13" ht="14.5" x14ac:dyDescent="0.35">
      <c r="A31" s="11" t="s">
        <v>82</v>
      </c>
      <c r="B31" s="11"/>
      <c r="C31" s="10"/>
      <c r="D31" s="10"/>
      <c r="E31" s="10"/>
      <c r="F31" s="10"/>
    </row>
    <row r="32" spans="1:13" ht="14.5" x14ac:dyDescent="0.35">
      <c r="A32" s="11" t="s">
        <v>260</v>
      </c>
      <c r="B32" s="11"/>
      <c r="C32" s="10"/>
      <c r="D32" s="10"/>
      <c r="E32" s="10"/>
      <c r="F32" s="10"/>
    </row>
    <row r="33" spans="1:9" ht="14.5" x14ac:dyDescent="0.35">
      <c r="A33" s="11" t="s">
        <v>6</v>
      </c>
      <c r="B33" s="11"/>
      <c r="C33" s="10"/>
      <c r="D33" s="10"/>
      <c r="E33" s="10"/>
      <c r="F33" s="10"/>
    </row>
    <row r="34" spans="1:9" ht="14.5" x14ac:dyDescent="0.35">
      <c r="A34" s="11" t="s">
        <v>75</v>
      </c>
      <c r="B34" s="11"/>
      <c r="C34" s="10"/>
      <c r="D34" s="10"/>
      <c r="E34" s="10"/>
      <c r="F34" s="10"/>
      <c r="G34" s="79"/>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69</v>
      </c>
      <c r="B38" s="24"/>
      <c r="C38" s="25"/>
      <c r="D38" s="25"/>
      <c r="E38" s="24"/>
      <c r="F38" s="24"/>
      <c r="I38" s="38"/>
    </row>
    <row r="39" spans="1:9" s="30" customFormat="1" ht="19.399999999999999" customHeight="1" x14ac:dyDescent="0.35">
      <c r="A39" s="27" t="s">
        <v>70</v>
      </c>
      <c r="B39" s="28"/>
      <c r="C39" s="29"/>
      <c r="D39" s="29"/>
      <c r="E39" s="28"/>
      <c r="F39" s="28"/>
      <c r="I39" s="41"/>
    </row>
    <row r="40" spans="1:9" ht="169.4" customHeight="1" x14ac:dyDescent="0.3">
      <c r="A40" s="83" t="s">
        <v>261</v>
      </c>
      <c r="B40" s="83"/>
      <c r="C40" s="83"/>
      <c r="D40" s="83"/>
      <c r="E40" s="83"/>
      <c r="F40" s="83"/>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84" t="s">
        <v>7</v>
      </c>
      <c r="B1" s="13"/>
      <c r="C1" s="86" t="s">
        <v>8</v>
      </c>
      <c r="D1" s="87"/>
      <c r="E1" s="87"/>
      <c r="F1" s="87"/>
      <c r="G1" s="87"/>
      <c r="H1" s="87"/>
      <c r="I1" s="87"/>
      <c r="J1" s="87"/>
      <c r="K1" s="87"/>
      <c r="L1" s="87"/>
      <c r="M1" s="87"/>
      <c r="N1" s="88"/>
    </row>
    <row r="2" spans="1:15" ht="60" customHeight="1" x14ac:dyDescent="0.3">
      <c r="A2" s="85"/>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3">
      <c r="A3" s="47">
        <f t="shared" ref="A3:A5" si="0">SUM(C3:N3)</f>
        <v>11.210359671850007</v>
      </c>
      <c r="B3" s="65">
        <v>45383</v>
      </c>
      <c r="C3" s="66">
        <v>4.9706656615599982</v>
      </c>
      <c r="D3" s="66">
        <v>5.2866588348999981</v>
      </c>
      <c r="E3" s="66">
        <v>5.731975799999999</v>
      </c>
      <c r="F3" s="66">
        <v>47.434014500000011</v>
      </c>
      <c r="G3" s="66">
        <v>-3.3347575301000005</v>
      </c>
      <c r="H3" s="66">
        <v>11.197740546119999</v>
      </c>
      <c r="I3" s="66">
        <v>-3.6536908999999991</v>
      </c>
      <c r="J3" s="66">
        <v>-10.6743296181</v>
      </c>
      <c r="K3" s="66">
        <v>14.76492677747</v>
      </c>
      <c r="L3" s="66">
        <v>-4.1124567999999995</v>
      </c>
      <c r="M3" s="66">
        <v>-71.961471399999979</v>
      </c>
      <c r="N3" s="66">
        <v>15.561083799999999</v>
      </c>
    </row>
    <row r="4" spans="1:15" x14ac:dyDescent="0.3">
      <c r="A4" s="47">
        <f t="shared" si="0"/>
        <v>-58.12638117449999</v>
      </c>
      <c r="B4" s="67">
        <v>45390</v>
      </c>
      <c r="C4" s="15">
        <v>33.108235429300002</v>
      </c>
      <c r="D4" s="15">
        <v>9.3174450458000013</v>
      </c>
      <c r="E4" s="15">
        <v>4.5391655999999987</v>
      </c>
      <c r="F4" s="15">
        <v>21.4146535</v>
      </c>
      <c r="G4" s="15">
        <v>-2.6098244372000003</v>
      </c>
      <c r="H4" s="15">
        <v>-56.036524798399981</v>
      </c>
      <c r="I4" s="15">
        <v>-1.8968515000000004</v>
      </c>
      <c r="J4" s="15">
        <v>-7.1130968407999999</v>
      </c>
      <c r="K4" s="15">
        <v>-29.762097773200004</v>
      </c>
      <c r="L4" s="15">
        <v>0.69758830000000038</v>
      </c>
      <c r="M4" s="15">
        <v>-30.951977600000003</v>
      </c>
      <c r="N4" s="15">
        <v>1.1669039000000001</v>
      </c>
    </row>
    <row r="5" spans="1:15" x14ac:dyDescent="0.3">
      <c r="A5" s="47">
        <f t="shared" si="0"/>
        <v>-5.0376182973199608</v>
      </c>
      <c r="B5" s="74">
        <v>45397</v>
      </c>
      <c r="C5" s="66">
        <v>46.077448764629999</v>
      </c>
      <c r="D5" s="66">
        <v>-3.9079434110000002</v>
      </c>
      <c r="E5" s="66">
        <v>6.0619226999999993</v>
      </c>
      <c r="F5" s="66">
        <v>101.39426280000001</v>
      </c>
      <c r="G5" s="66">
        <v>2.8919260505999995</v>
      </c>
      <c r="H5" s="66">
        <v>-15.739626112210001</v>
      </c>
      <c r="I5" s="66">
        <v>1.2714581999999996</v>
      </c>
      <c r="J5" s="66">
        <v>-2.1720417300000006</v>
      </c>
      <c r="K5" s="66">
        <v>-129.03211305933999</v>
      </c>
      <c r="L5" s="66">
        <v>-4.8809306000000001</v>
      </c>
      <c r="M5" s="66">
        <v>-17.5289146</v>
      </c>
      <c r="N5" s="66">
        <v>10.526932700000001</v>
      </c>
    </row>
    <row r="6" spans="1:15" x14ac:dyDescent="0.3">
      <c r="A6" s="47">
        <f t="shared" ref="A6" si="1">SUM(C6:N6)</f>
        <v>221.66095697690002</v>
      </c>
      <c r="B6" s="67">
        <v>45404</v>
      </c>
      <c r="C6" s="15">
        <v>-16.68281765839</v>
      </c>
      <c r="D6" s="15">
        <v>-5.0980385177000009</v>
      </c>
      <c r="E6" s="15">
        <v>1.0744531999999998</v>
      </c>
      <c r="F6" s="15">
        <v>182.7422924</v>
      </c>
      <c r="G6" s="15">
        <v>-0.9671196406</v>
      </c>
      <c r="H6" s="15">
        <v>59.939859165410041</v>
      </c>
      <c r="I6" s="15">
        <v>-2.0454790999999997</v>
      </c>
      <c r="J6" s="15">
        <v>29.373109492799998</v>
      </c>
      <c r="K6" s="15">
        <v>-30.993932064619997</v>
      </c>
      <c r="L6" s="15">
        <v>-10.116025299999995</v>
      </c>
      <c r="M6" s="15">
        <v>10.763677599999999</v>
      </c>
      <c r="N6" s="15">
        <v>3.6709773999999999</v>
      </c>
    </row>
    <row r="7" spans="1:15" x14ac:dyDescent="0.3">
      <c r="A7" s="81"/>
      <c r="B7" s="65"/>
      <c r="C7" s="66"/>
      <c r="D7" s="66"/>
      <c r="E7" s="66"/>
      <c r="F7" s="66"/>
      <c r="G7" s="66"/>
      <c r="H7" s="66"/>
      <c r="I7" s="66"/>
      <c r="J7" s="66"/>
      <c r="K7" s="66"/>
      <c r="L7" s="66"/>
      <c r="M7" s="66"/>
      <c r="N7" s="66"/>
    </row>
    <row r="8" spans="1:15" ht="14.5" x14ac:dyDescent="0.35">
      <c r="B8" s="11" t="s">
        <v>5</v>
      </c>
      <c r="C8" s="11"/>
      <c r="D8" s="11"/>
    </row>
    <row r="9" spans="1:15" ht="14.5" x14ac:dyDescent="0.35">
      <c r="B9" s="11" t="s">
        <v>82</v>
      </c>
      <c r="C9" s="11"/>
      <c r="D9" s="11"/>
    </row>
    <row r="10" spans="1:15" ht="14.5" x14ac:dyDescent="0.35">
      <c r="B10" s="11" t="s">
        <v>6</v>
      </c>
      <c r="C10" s="11"/>
      <c r="D10" s="11"/>
    </row>
    <row r="11" spans="1:15" ht="14.5" x14ac:dyDescent="0.35">
      <c r="B11" s="11" t="s">
        <v>75</v>
      </c>
      <c r="C11" s="12"/>
      <c r="D11" s="12"/>
    </row>
    <row r="12" spans="1:15" ht="14.5" x14ac:dyDescent="0.35">
      <c r="B12"/>
    </row>
    <row r="13" spans="1:15" ht="14.5" x14ac:dyDescent="0.35">
      <c r="C13" s="80"/>
      <c r="D13" s="80"/>
      <c r="E13" s="80"/>
      <c r="F13" s="80"/>
      <c r="G13" s="80"/>
      <c r="H13" s="80"/>
      <c r="I13" s="80"/>
      <c r="J13" s="80"/>
      <c r="K13" s="80"/>
      <c r="L13" s="80"/>
      <c r="M13" s="80"/>
      <c r="N13" s="80"/>
    </row>
    <row r="14" spans="1:15" ht="14.5" x14ac:dyDescent="0.35">
      <c r="B14" s="55"/>
      <c r="C14" s="55"/>
      <c r="D14" s="55"/>
      <c r="E14" s="55"/>
      <c r="F14" s="55"/>
      <c r="G14" s="55"/>
      <c r="H14" s="55"/>
      <c r="I14" s="55"/>
      <c r="J14" s="55"/>
      <c r="K14" s="55"/>
      <c r="L14" s="55"/>
      <c r="M14" s="55"/>
      <c r="N14"/>
      <c r="O14" s="44"/>
    </row>
    <row r="15" spans="1:15" ht="14.5" x14ac:dyDescent="0.35">
      <c r="C15" s="55"/>
      <c r="D15" s="55"/>
      <c r="E15" s="55"/>
      <c r="F15" s="55"/>
      <c r="G15" s="55"/>
      <c r="H15" s="55"/>
      <c r="I15" s="55"/>
      <c r="J15" s="55"/>
      <c r="K15" s="55"/>
      <c r="L15" s="55"/>
      <c r="M15" s="55"/>
      <c r="N15" s="55"/>
      <c r="O15" s="55"/>
    </row>
    <row r="16" spans="1:15" ht="14.5" x14ac:dyDescent="0.35">
      <c r="C16" s="44"/>
      <c r="D16" s="44"/>
      <c r="E16" s="44"/>
      <c r="F16" s="44"/>
      <c r="G16" s="44"/>
      <c r="H16" s="44"/>
      <c r="I16" s="44"/>
      <c r="J16" s="44"/>
      <c r="K16" s="44"/>
      <c r="L16" s="44"/>
      <c r="M16" s="44"/>
      <c r="N16" s="44"/>
      <c r="O16" s="44"/>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84" t="s">
        <v>7</v>
      </c>
      <c r="B1" s="13"/>
      <c r="C1" s="86" t="s">
        <v>8</v>
      </c>
      <c r="D1" s="87"/>
      <c r="E1" s="87"/>
      <c r="F1" s="87"/>
      <c r="G1" s="87"/>
      <c r="H1" s="87"/>
      <c r="I1" s="87"/>
      <c r="J1" s="87"/>
      <c r="K1" s="87"/>
      <c r="L1" s="87"/>
      <c r="M1" s="87"/>
      <c r="N1" s="88"/>
    </row>
    <row r="2" spans="1:18" ht="56" x14ac:dyDescent="0.3">
      <c r="A2" s="85"/>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3">
      <c r="A3" s="77">
        <f t="shared" ref="A3:A5" si="0">SUM(C3:N3)</f>
        <v>72.08057366656999</v>
      </c>
      <c r="B3" s="58">
        <v>45383</v>
      </c>
      <c r="C3" s="57">
        <v>0.17824061886000001</v>
      </c>
      <c r="D3" s="57">
        <v>5.2017359214999992</v>
      </c>
      <c r="E3" s="57">
        <v>-5.1289709999999991</v>
      </c>
      <c r="F3" s="57">
        <v>37.428505899999983</v>
      </c>
      <c r="G3" s="57">
        <v>2.9165658689000007</v>
      </c>
      <c r="H3" s="57">
        <v>-3.3060172429799985</v>
      </c>
      <c r="I3" s="57">
        <v>2.28295</v>
      </c>
      <c r="J3" s="57">
        <v>7.0022843222999995</v>
      </c>
      <c r="K3" s="57">
        <v>17.800924877989999</v>
      </c>
      <c r="L3" s="57">
        <v>2.1909886000000007</v>
      </c>
      <c r="M3" s="57">
        <v>24.715510499999997</v>
      </c>
      <c r="N3" s="57">
        <v>-19.202144699999998</v>
      </c>
      <c r="P3" s="14"/>
    </row>
    <row r="4" spans="1:18" x14ac:dyDescent="0.3">
      <c r="A4" s="77">
        <f t="shared" si="0"/>
        <v>69.422018094660004</v>
      </c>
      <c r="B4" s="76">
        <v>45390</v>
      </c>
      <c r="C4" s="64">
        <v>-21.558901905840013</v>
      </c>
      <c r="D4" s="64">
        <v>-3.0247511846000004</v>
      </c>
      <c r="E4" s="64">
        <v>-3.6765742999999995</v>
      </c>
      <c r="F4" s="64">
        <v>-8.2566684000000006</v>
      </c>
      <c r="G4" s="64">
        <v>3.729176174</v>
      </c>
      <c r="H4" s="64">
        <v>33.569461491480013</v>
      </c>
      <c r="I4" s="64">
        <v>0.83852150000000003</v>
      </c>
      <c r="J4" s="64">
        <v>11.111939880599996</v>
      </c>
      <c r="K4" s="64">
        <v>34.11516873902</v>
      </c>
      <c r="L4" s="64">
        <v>-0.16624980000000045</v>
      </c>
      <c r="M4" s="64">
        <v>21.7076204</v>
      </c>
      <c r="N4" s="64">
        <v>1.0332754999999998</v>
      </c>
      <c r="P4" s="14"/>
    </row>
    <row r="5" spans="1:18" x14ac:dyDescent="0.3">
      <c r="A5" s="77">
        <f t="shared" si="0"/>
        <v>208.39259162056999</v>
      </c>
      <c r="B5" s="78">
        <v>45397</v>
      </c>
      <c r="C5" s="57">
        <v>-32.193060971349993</v>
      </c>
      <c r="D5" s="57">
        <v>12.701653668100002</v>
      </c>
      <c r="E5" s="57">
        <v>-3.1347222999999995</v>
      </c>
      <c r="F5" s="57">
        <v>-32.667133100000008</v>
      </c>
      <c r="G5" s="57">
        <v>-1.4297625983999995</v>
      </c>
      <c r="H5" s="57">
        <v>53.225762103779999</v>
      </c>
      <c r="I5" s="57">
        <v>9.6463499999999897E-2</v>
      </c>
      <c r="J5" s="57">
        <v>15.129824188500002</v>
      </c>
      <c r="K5" s="57">
        <v>161.64891662994</v>
      </c>
      <c r="L5" s="57">
        <v>10.495849099999997</v>
      </c>
      <c r="M5" s="57">
        <v>29.863687300000002</v>
      </c>
      <c r="N5" s="57">
        <v>-5.3448859000000004</v>
      </c>
      <c r="P5" s="14"/>
    </row>
    <row r="6" spans="1:18" x14ac:dyDescent="0.3">
      <c r="A6" s="77">
        <f t="shared" ref="A6" si="1">SUM(C6:N6)</f>
        <v>-478.5735977536101</v>
      </c>
      <c r="B6" s="76">
        <v>45404</v>
      </c>
      <c r="C6" s="64">
        <v>7.7413377640100007</v>
      </c>
      <c r="D6" s="64">
        <v>-3.3282318231000003</v>
      </c>
      <c r="E6" s="64">
        <v>-0.29860449999999999</v>
      </c>
      <c r="F6" s="64">
        <v>-321.2190544</v>
      </c>
      <c r="G6" s="64">
        <v>-0.53487191989999994</v>
      </c>
      <c r="H6" s="64">
        <v>-138.22392243493005</v>
      </c>
      <c r="I6" s="64">
        <v>2.5471967999999996</v>
      </c>
      <c r="J6" s="64">
        <v>-27.143736713899994</v>
      </c>
      <c r="K6" s="64">
        <v>21.050791874209999</v>
      </c>
      <c r="L6" s="64">
        <v>3.5948875000000009</v>
      </c>
      <c r="M6" s="64">
        <v>-17.053743799999999</v>
      </c>
      <c r="N6" s="64">
        <v>-5.7056461000000001</v>
      </c>
      <c r="P6" s="14"/>
    </row>
    <row r="7" spans="1:18" x14ac:dyDescent="0.3">
      <c r="A7" s="81"/>
      <c r="B7" s="58"/>
      <c r="C7" s="57"/>
      <c r="D7" s="57"/>
      <c r="E7" s="57"/>
      <c r="F7" s="57"/>
      <c r="G7" s="57"/>
      <c r="H7" s="57"/>
      <c r="I7" s="57"/>
      <c r="J7" s="57"/>
      <c r="K7" s="57"/>
      <c r="L7" s="57"/>
      <c r="M7" s="57"/>
      <c r="N7" s="57"/>
      <c r="P7" s="14"/>
    </row>
    <row r="8" spans="1:18" ht="14.5" x14ac:dyDescent="0.35">
      <c r="B8" s="11" t="s">
        <v>5</v>
      </c>
      <c r="C8" s="11"/>
      <c r="D8" s="11"/>
    </row>
    <row r="9" spans="1:18" ht="14.5" x14ac:dyDescent="0.35">
      <c r="B9" s="11" t="s">
        <v>84</v>
      </c>
      <c r="C9" s="11"/>
      <c r="D9" s="11"/>
    </row>
    <row r="10" spans="1:18" ht="14.5" x14ac:dyDescent="0.35">
      <c r="B10" s="11" t="s">
        <v>6</v>
      </c>
      <c r="C10" s="11"/>
      <c r="D10" s="11"/>
    </row>
    <row r="11" spans="1:18" ht="14.5" x14ac:dyDescent="0.35">
      <c r="B11" s="11" t="s">
        <v>75</v>
      </c>
      <c r="C11" s="12"/>
      <c r="D11" s="12"/>
    </row>
    <row r="12" spans="1:18" ht="14.5" x14ac:dyDescent="0.35">
      <c r="C12" s="55"/>
      <c r="D12" s="55"/>
      <c r="E12" s="55"/>
      <c r="F12" s="55"/>
      <c r="G12" s="55"/>
      <c r="H12" s="55"/>
      <c r="I12" s="55"/>
      <c r="J12" s="55"/>
      <c r="K12" s="55"/>
      <c r="L12" s="55"/>
      <c r="M12" s="55"/>
      <c r="N12" s="55"/>
    </row>
    <row r="13" spans="1:18" ht="14.5" x14ac:dyDescent="0.35">
      <c r="B13"/>
      <c r="C13" s="55"/>
      <c r="D13" s="55"/>
      <c r="E13" s="55"/>
      <c r="F13" s="55"/>
      <c r="G13" s="55"/>
      <c r="H13" s="55"/>
      <c r="I13" s="55"/>
      <c r="J13" s="55"/>
      <c r="K13" s="55"/>
      <c r="L13" s="55"/>
      <c r="M13" s="55"/>
      <c r="N13" s="55"/>
      <c r="O13" s="44"/>
      <c r="P13"/>
      <c r="Q13"/>
      <c r="R13"/>
    </row>
    <row r="14" spans="1:18" ht="14.5" x14ac:dyDescent="0.35">
      <c r="B14"/>
      <c r="C14"/>
      <c r="D14"/>
      <c r="E14"/>
      <c r="F14"/>
      <c r="G14"/>
      <c r="H14"/>
      <c r="I14"/>
      <c r="J14"/>
      <c r="K14"/>
      <c r="L14"/>
      <c r="M14"/>
      <c r="N14"/>
      <c r="O14"/>
      <c r="P14"/>
      <c r="Q14"/>
      <c r="R14"/>
    </row>
    <row r="15" spans="1:18" ht="14.5" x14ac:dyDescent="0.35">
      <c r="C15" s="55"/>
      <c r="D15" s="55"/>
      <c r="E15" s="55"/>
      <c r="F15" s="55"/>
      <c r="G15" s="55"/>
      <c r="H15" s="55"/>
      <c r="I15" s="55"/>
      <c r="J15" s="55"/>
      <c r="K15" s="55"/>
      <c r="L15" s="55"/>
      <c r="M15" s="55"/>
      <c r="N15" s="5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4"/>
      <c r="D18" s="44"/>
      <c r="E18" s="44"/>
      <c r="F18" s="44"/>
      <c r="G18" s="44"/>
      <c r="H18" s="44"/>
      <c r="I18" s="44"/>
      <c r="J18" s="44"/>
      <c r="K18" s="44"/>
      <c r="L18" s="44"/>
      <c r="M18" s="44"/>
      <c r="N18" s="44"/>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9" ht="56" x14ac:dyDescent="0.35">
      <c r="A1" s="32" t="str">
        <f>CONCATENATE("STI Constituents - ",'Weekly Top 10'!$C$5)</f>
        <v>STI Constituents - Week of 22 April 2024</v>
      </c>
      <c r="B1" s="16" t="s">
        <v>1</v>
      </c>
      <c r="C1" s="17" t="s">
        <v>73</v>
      </c>
      <c r="D1" s="17" t="s">
        <v>74</v>
      </c>
    </row>
    <row r="2" spans="1:9" x14ac:dyDescent="0.35">
      <c r="A2" s="18" t="s">
        <v>89</v>
      </c>
      <c r="B2" s="19" t="s">
        <v>25</v>
      </c>
      <c r="C2" s="20">
        <v>-21.275589</v>
      </c>
      <c r="D2" s="20">
        <v>10.581951999999999</v>
      </c>
      <c r="E2" s="38"/>
      <c r="F2" s="42"/>
      <c r="H2" s="43"/>
      <c r="I2" s="43"/>
    </row>
    <row r="3" spans="1:9" x14ac:dyDescent="0.35">
      <c r="A3" s="21" t="s">
        <v>79</v>
      </c>
      <c r="B3" s="22" t="s">
        <v>56</v>
      </c>
      <c r="C3" s="8">
        <v>14.964824</v>
      </c>
      <c r="D3" s="8">
        <v>-11.947371</v>
      </c>
      <c r="E3" s="38"/>
      <c r="F3" s="42"/>
      <c r="H3" s="43"/>
      <c r="I3" s="43"/>
    </row>
    <row r="4" spans="1:9" x14ac:dyDescent="0.35">
      <c r="A4" s="5" t="s">
        <v>86</v>
      </c>
      <c r="B4" s="7" t="s">
        <v>85</v>
      </c>
      <c r="C4" s="6">
        <v>-7.5447050000000004</v>
      </c>
      <c r="D4" s="6">
        <v>-4.0253670000000001</v>
      </c>
      <c r="E4" s="38"/>
      <c r="F4" s="42"/>
      <c r="H4" s="43"/>
      <c r="I4" s="43"/>
    </row>
    <row r="5" spans="1:9" x14ac:dyDescent="0.35">
      <c r="A5" s="21" t="s">
        <v>63</v>
      </c>
      <c r="B5" s="22" t="s">
        <v>54</v>
      </c>
      <c r="C5" s="8">
        <v>14.370388</v>
      </c>
      <c r="D5" s="8">
        <v>-21.217894999999999</v>
      </c>
      <c r="E5" s="38"/>
      <c r="F5" s="42"/>
      <c r="H5" s="43"/>
      <c r="I5" s="43"/>
    </row>
    <row r="6" spans="1:9" x14ac:dyDescent="0.35">
      <c r="A6" s="5" t="s">
        <v>26</v>
      </c>
      <c r="B6" s="7" t="s">
        <v>21</v>
      </c>
      <c r="C6" s="6">
        <v>15.456872000000001</v>
      </c>
      <c r="D6" s="6">
        <v>-29.817039000000001</v>
      </c>
      <c r="E6" s="38"/>
      <c r="F6" s="42"/>
      <c r="H6" s="43"/>
      <c r="I6" s="43"/>
    </row>
    <row r="7" spans="1:9" x14ac:dyDescent="0.35">
      <c r="A7" s="21" t="s">
        <v>87</v>
      </c>
      <c r="B7" s="22" t="s">
        <v>57</v>
      </c>
      <c r="C7" s="8">
        <v>1.3581230822999999</v>
      </c>
      <c r="D7" s="8">
        <v>-1.3216442231000001</v>
      </c>
      <c r="E7" s="38"/>
      <c r="F7" s="42"/>
      <c r="H7" s="43"/>
      <c r="I7" s="43"/>
    </row>
    <row r="8" spans="1:9" x14ac:dyDescent="0.35">
      <c r="A8" s="5" t="s">
        <v>262</v>
      </c>
      <c r="B8" s="7" t="s">
        <v>111</v>
      </c>
      <c r="C8" s="6">
        <v>3.3388640000000001</v>
      </c>
      <c r="D8" s="6">
        <v>-0.176784</v>
      </c>
      <c r="E8" s="38"/>
      <c r="F8" s="42"/>
      <c r="H8" s="43"/>
      <c r="I8" s="43"/>
    </row>
    <row r="9" spans="1:9" x14ac:dyDescent="0.35">
      <c r="A9" s="21" t="s">
        <v>81</v>
      </c>
      <c r="B9" s="22" t="s">
        <v>80</v>
      </c>
      <c r="C9" s="8">
        <v>-1.3104355000000001</v>
      </c>
      <c r="D9" s="8">
        <v>6.3277E-2</v>
      </c>
      <c r="E9" s="38"/>
      <c r="F9" s="42"/>
      <c r="H9" s="43"/>
      <c r="I9" s="43"/>
    </row>
    <row r="10" spans="1:9" x14ac:dyDescent="0.35">
      <c r="A10" s="5" t="s">
        <v>36</v>
      </c>
      <c r="B10" s="7" t="s">
        <v>35</v>
      </c>
      <c r="C10" s="6">
        <v>-9.3198120000000007</v>
      </c>
      <c r="D10" s="6">
        <v>3.1726529999999999</v>
      </c>
      <c r="E10" s="38"/>
      <c r="F10" s="42"/>
      <c r="H10" s="43"/>
      <c r="I10" s="43"/>
    </row>
    <row r="11" spans="1:9" x14ac:dyDescent="0.35">
      <c r="A11" s="21" t="s">
        <v>64</v>
      </c>
      <c r="B11" s="22" t="s">
        <v>55</v>
      </c>
      <c r="C11" s="8">
        <v>10.220584092799999</v>
      </c>
      <c r="D11" s="8">
        <v>-4.2973495139000004</v>
      </c>
      <c r="E11" s="38"/>
      <c r="F11" s="42"/>
      <c r="H11" s="43"/>
      <c r="I11" s="43"/>
    </row>
    <row r="12" spans="1:9" x14ac:dyDescent="0.35">
      <c r="A12" s="5" t="s">
        <v>50</v>
      </c>
      <c r="B12" s="7" t="s">
        <v>48</v>
      </c>
      <c r="C12" s="6">
        <v>-12.831465</v>
      </c>
      <c r="D12" s="6">
        <v>11.21292</v>
      </c>
      <c r="E12" s="38"/>
      <c r="F12" s="42"/>
      <c r="H12" s="43"/>
      <c r="I12" s="43"/>
    </row>
    <row r="13" spans="1:9" x14ac:dyDescent="0.35">
      <c r="A13" s="21" t="s">
        <v>62</v>
      </c>
      <c r="B13" s="22" t="s">
        <v>52</v>
      </c>
      <c r="C13" s="8">
        <v>2.9585364172999999</v>
      </c>
      <c r="D13" s="8">
        <v>-1.8005377645</v>
      </c>
      <c r="E13" s="38"/>
      <c r="F13" s="42"/>
      <c r="H13" s="43"/>
      <c r="I13" s="43"/>
    </row>
    <row r="14" spans="1:9" x14ac:dyDescent="0.35">
      <c r="A14" s="5" t="s">
        <v>153</v>
      </c>
      <c r="B14" s="7" t="s">
        <v>32</v>
      </c>
      <c r="C14" s="6">
        <v>-23.386271000000001</v>
      </c>
      <c r="D14" s="6">
        <v>13.398961999999999</v>
      </c>
      <c r="E14" s="38"/>
      <c r="F14" s="42"/>
      <c r="H14" s="43"/>
      <c r="I14" s="43"/>
    </row>
    <row r="15" spans="1:9" x14ac:dyDescent="0.35">
      <c r="A15" s="21" t="s">
        <v>77</v>
      </c>
      <c r="B15" s="22" t="s">
        <v>76</v>
      </c>
      <c r="C15" s="8">
        <v>-4.0129999999999999E-2</v>
      </c>
      <c r="D15" s="8">
        <v>1.205633</v>
      </c>
      <c r="E15" s="38"/>
      <c r="F15" s="42"/>
      <c r="H15" s="43"/>
      <c r="I15" s="43"/>
    </row>
    <row r="16" spans="1:9" x14ac:dyDescent="0.35">
      <c r="A16" s="5" t="s">
        <v>40</v>
      </c>
      <c r="B16" s="7" t="s">
        <v>38</v>
      </c>
      <c r="C16" s="6">
        <v>-11.905272</v>
      </c>
      <c r="D16" s="6">
        <v>10.154069</v>
      </c>
      <c r="E16" s="38"/>
      <c r="F16" s="42"/>
      <c r="H16" s="43"/>
      <c r="I16" s="43"/>
    </row>
    <row r="17" spans="1:9" x14ac:dyDescent="0.35">
      <c r="A17" s="21" t="s">
        <v>253</v>
      </c>
      <c r="B17" s="22" t="s">
        <v>58</v>
      </c>
      <c r="C17" s="8">
        <v>-7.6393579999999996</v>
      </c>
      <c r="D17" s="8">
        <v>4.8875109999999999</v>
      </c>
      <c r="E17" s="38"/>
      <c r="F17" s="42"/>
      <c r="H17" s="43"/>
      <c r="I17" s="43"/>
    </row>
    <row r="18" spans="1:9" x14ac:dyDescent="0.35">
      <c r="A18" s="5" t="s">
        <v>27</v>
      </c>
      <c r="B18" s="7" t="s">
        <v>22</v>
      </c>
      <c r="C18" s="6">
        <v>32.218899</v>
      </c>
      <c r="D18" s="6">
        <v>-75.711543000000006</v>
      </c>
      <c r="E18" s="38"/>
      <c r="F18" s="42"/>
      <c r="H18" s="43"/>
      <c r="I18" s="43"/>
    </row>
    <row r="19" spans="1:9" x14ac:dyDescent="0.35">
      <c r="A19" s="21" t="s">
        <v>34</v>
      </c>
      <c r="B19" s="22" t="s">
        <v>30</v>
      </c>
      <c r="C19" s="8">
        <v>-1.2740590000000001</v>
      </c>
      <c r="D19" s="8">
        <v>-0.99575999999999998</v>
      </c>
      <c r="E19" s="38"/>
      <c r="F19" s="42"/>
      <c r="H19" s="43"/>
      <c r="I19" s="43"/>
    </row>
    <row r="20" spans="1:9" x14ac:dyDescent="0.35">
      <c r="A20" s="5" t="s">
        <v>146</v>
      </c>
      <c r="B20" s="7" t="s">
        <v>90</v>
      </c>
      <c r="C20" s="6">
        <v>32.531977299999987</v>
      </c>
      <c r="D20" s="6">
        <v>-57.394477900000012</v>
      </c>
      <c r="E20" s="38"/>
      <c r="F20" s="42"/>
      <c r="H20" s="43"/>
      <c r="I20" s="43"/>
    </row>
    <row r="21" spans="1:9" x14ac:dyDescent="0.35">
      <c r="A21" s="21" t="s">
        <v>45</v>
      </c>
      <c r="B21" s="22" t="s">
        <v>42</v>
      </c>
      <c r="C21" s="8">
        <v>3.529426</v>
      </c>
      <c r="D21" s="8">
        <v>-5.559501</v>
      </c>
      <c r="E21" s="38"/>
      <c r="F21" s="42"/>
      <c r="H21" s="43"/>
      <c r="I21" s="43"/>
    </row>
    <row r="22" spans="1:9" x14ac:dyDescent="0.35">
      <c r="A22" s="5" t="s">
        <v>33</v>
      </c>
      <c r="B22" s="7" t="s">
        <v>31</v>
      </c>
      <c r="C22" s="6">
        <v>12.197886</v>
      </c>
      <c r="D22" s="6">
        <v>-33.915174</v>
      </c>
      <c r="E22" s="38"/>
      <c r="F22" s="42"/>
      <c r="H22" s="43"/>
      <c r="I22" s="43"/>
    </row>
    <row r="23" spans="1:9" x14ac:dyDescent="0.35">
      <c r="A23" s="21" t="s">
        <v>29</v>
      </c>
      <c r="B23" s="22" t="s">
        <v>24</v>
      </c>
      <c r="C23" s="8">
        <v>10.564113000000001</v>
      </c>
      <c r="D23" s="8">
        <v>-16.837764</v>
      </c>
      <c r="E23" s="38"/>
      <c r="F23" s="42"/>
      <c r="H23" s="43"/>
      <c r="I23" s="43"/>
    </row>
    <row r="24" spans="1:9" x14ac:dyDescent="0.35">
      <c r="A24" s="5" t="s">
        <v>39</v>
      </c>
      <c r="B24" s="7" t="s">
        <v>37</v>
      </c>
      <c r="C24" s="6">
        <v>3.4594909999999999</v>
      </c>
      <c r="D24" s="6">
        <v>-14.494021999999999</v>
      </c>
      <c r="E24" s="38"/>
      <c r="F24" s="42"/>
      <c r="H24" s="43"/>
      <c r="I24" s="43"/>
    </row>
    <row r="25" spans="1:9" x14ac:dyDescent="0.35">
      <c r="A25" s="21" t="s">
        <v>49</v>
      </c>
      <c r="B25" s="22" t="s">
        <v>47</v>
      </c>
      <c r="C25" s="8">
        <v>10.5300992</v>
      </c>
      <c r="D25" s="8">
        <v>-15.6445398</v>
      </c>
      <c r="E25" s="38"/>
      <c r="F25" s="42"/>
      <c r="H25" s="43"/>
      <c r="I25" s="43"/>
    </row>
    <row r="26" spans="1:9" x14ac:dyDescent="0.35">
      <c r="A26" s="5" t="s">
        <v>60</v>
      </c>
      <c r="B26" s="7" t="s">
        <v>51</v>
      </c>
      <c r="C26" s="6">
        <v>5.4720969999999998</v>
      </c>
      <c r="D26" s="6">
        <v>-0.215361</v>
      </c>
      <c r="E26" s="38"/>
      <c r="F26" s="42"/>
      <c r="H26" s="43"/>
      <c r="I26" s="43"/>
    </row>
    <row r="27" spans="1:9" x14ac:dyDescent="0.35">
      <c r="A27" s="21" t="s">
        <v>28</v>
      </c>
      <c r="B27" s="22" t="s">
        <v>23</v>
      </c>
      <c r="C27" s="8">
        <v>131.643292</v>
      </c>
      <c r="D27" s="8">
        <v>-194.36662699999999</v>
      </c>
      <c r="E27" s="38"/>
      <c r="F27" s="42"/>
      <c r="H27" s="43"/>
      <c r="I27" s="43"/>
    </row>
    <row r="28" spans="1:9" x14ac:dyDescent="0.35">
      <c r="A28" s="5" t="s">
        <v>65</v>
      </c>
      <c r="B28" s="7" t="s">
        <v>59</v>
      </c>
      <c r="C28" s="6">
        <v>4.1366740000000002</v>
      </c>
      <c r="D28" s="6">
        <v>-0.92242599999999997</v>
      </c>
      <c r="E28" s="38"/>
      <c r="F28" s="42"/>
      <c r="H28" s="43"/>
      <c r="I28" s="43"/>
    </row>
    <row r="29" spans="1:9" x14ac:dyDescent="0.35">
      <c r="A29" s="21" t="s">
        <v>46</v>
      </c>
      <c r="B29" s="22" t="s">
        <v>43</v>
      </c>
      <c r="C29" s="8">
        <v>-5.0147469999999998</v>
      </c>
      <c r="D29" s="8">
        <v>2.7158989999999998</v>
      </c>
      <c r="E29" s="38"/>
      <c r="F29" s="42"/>
      <c r="H29" s="43"/>
      <c r="I29" s="43"/>
    </row>
    <row r="30" spans="1:9" x14ac:dyDescent="0.35">
      <c r="A30" s="5" t="s">
        <v>44</v>
      </c>
      <c r="B30" s="7" t="s">
        <v>41</v>
      </c>
      <c r="C30" s="6">
        <v>-11.425468</v>
      </c>
      <c r="D30" s="6">
        <v>-2.482507</v>
      </c>
      <c r="E30" s="38"/>
      <c r="F30" s="42"/>
      <c r="H30" s="43"/>
      <c r="I30" s="43"/>
    </row>
    <row r="31" spans="1:9" ht="15" thickBot="1" x14ac:dyDescent="0.4">
      <c r="A31" s="21" t="s">
        <v>61</v>
      </c>
      <c r="B31" s="22" t="s">
        <v>53</v>
      </c>
      <c r="C31" s="8">
        <v>23.470922000000002</v>
      </c>
      <c r="D31" s="8">
        <v>-28.695067999999999</v>
      </c>
      <c r="E31" s="38"/>
      <c r="F31" s="42"/>
      <c r="H31" s="43"/>
      <c r="I31" s="43"/>
    </row>
    <row r="32" spans="1:9" ht="21" customHeight="1" thickBot="1" x14ac:dyDescent="0.4">
      <c r="A32" s="89" t="s">
        <v>66</v>
      </c>
      <c r="B32" s="90"/>
      <c r="C32" s="69">
        <f>SUM(C2:C31)</f>
        <v>219.45575659239998</v>
      </c>
      <c r="D32" s="70">
        <f>SUM(D2:D31)</f>
        <v>-464.44588220150001</v>
      </c>
    </row>
    <row r="34" spans="1:7" x14ac:dyDescent="0.35">
      <c r="A34" s="11" t="s">
        <v>67</v>
      </c>
      <c r="B34" s="54"/>
      <c r="C34" s="54"/>
      <c r="D34" s="54"/>
      <c r="E34" s="54"/>
      <c r="F34" s="54"/>
      <c r="G34" s="54"/>
    </row>
    <row r="35" spans="1:7" x14ac:dyDescent="0.35">
      <c r="A35" s="11" t="s">
        <v>82</v>
      </c>
    </row>
    <row r="36" spans="1:7" x14ac:dyDescent="0.35">
      <c r="A36" s="11" t="s">
        <v>83</v>
      </c>
    </row>
    <row r="37" spans="1:7" x14ac:dyDescent="0.3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9" ht="42" x14ac:dyDescent="0.35">
      <c r="A1" s="32" t="str">
        <f>CONCATENATE("100 Most Traded Stocks YTD - ",'Weekly Top 10'!$C$5)</f>
        <v>100 Most Traded Stocks YTD - Week of 22 April 2024</v>
      </c>
      <c r="B1" s="16" t="s">
        <v>1</v>
      </c>
      <c r="C1" s="51" t="s">
        <v>101</v>
      </c>
      <c r="D1" s="17" t="s">
        <v>100</v>
      </c>
      <c r="E1" s="17" t="s">
        <v>102</v>
      </c>
      <c r="F1" s="17" t="s">
        <v>103</v>
      </c>
    </row>
    <row r="2" spans="1:9" x14ac:dyDescent="0.35">
      <c r="A2" s="18" t="s">
        <v>26</v>
      </c>
      <c r="B2" s="19" t="s">
        <v>21</v>
      </c>
      <c r="C2" s="60">
        <v>144.36573583590121</v>
      </c>
      <c r="D2" s="60">
        <v>-127.4585975</v>
      </c>
      <c r="E2" s="60">
        <v>15.456872000000001</v>
      </c>
      <c r="F2" s="20" t="s">
        <v>13</v>
      </c>
      <c r="G2" s="59"/>
      <c r="H2" s="59"/>
      <c r="I2" s="59"/>
    </row>
    <row r="3" spans="1:9" x14ac:dyDescent="0.35">
      <c r="A3" s="21" t="s">
        <v>28</v>
      </c>
      <c r="B3" s="22" t="s">
        <v>23</v>
      </c>
      <c r="C3" s="61">
        <v>88.962289750802455</v>
      </c>
      <c r="D3" s="61">
        <v>159.27863400000001</v>
      </c>
      <c r="E3" s="61">
        <v>131.643292</v>
      </c>
      <c r="F3" s="8" t="s">
        <v>13</v>
      </c>
      <c r="G3" s="59"/>
      <c r="H3" s="59"/>
      <c r="I3" s="59"/>
    </row>
    <row r="4" spans="1:9" x14ac:dyDescent="0.35">
      <c r="A4" s="5" t="s">
        <v>168</v>
      </c>
      <c r="B4" s="7" t="s">
        <v>22</v>
      </c>
      <c r="C4" s="62">
        <v>71.234542521074076</v>
      </c>
      <c r="D4" s="62">
        <v>186.28867460000001</v>
      </c>
      <c r="E4" s="62">
        <v>32.218899</v>
      </c>
      <c r="F4" s="6" t="s">
        <v>13</v>
      </c>
      <c r="G4" s="59"/>
      <c r="H4" s="59"/>
      <c r="I4" s="59"/>
    </row>
    <row r="5" spans="1:9" x14ac:dyDescent="0.35">
      <c r="A5" s="21" t="s">
        <v>49</v>
      </c>
      <c r="B5" s="22" t="s">
        <v>47</v>
      </c>
      <c r="C5" s="61">
        <v>70.588168698000004</v>
      </c>
      <c r="D5" s="61">
        <v>3.4184892000000038</v>
      </c>
      <c r="E5" s="61">
        <v>10.530099199999999</v>
      </c>
      <c r="F5" s="8" t="s">
        <v>164</v>
      </c>
      <c r="G5" s="59"/>
      <c r="H5" s="59"/>
      <c r="I5" s="59"/>
    </row>
    <row r="6" spans="1:9" x14ac:dyDescent="0.35">
      <c r="A6" s="5" t="s">
        <v>146</v>
      </c>
      <c r="B6" s="7" t="s">
        <v>90</v>
      </c>
      <c r="C6" s="62">
        <v>45.258173415395056</v>
      </c>
      <c r="D6" s="62">
        <v>-77.056813600000012</v>
      </c>
      <c r="E6" s="62">
        <v>32.531977300000001</v>
      </c>
      <c r="F6" s="6" t="s">
        <v>14</v>
      </c>
      <c r="G6" s="59"/>
      <c r="H6" s="59"/>
      <c r="I6" s="59"/>
    </row>
    <row r="7" spans="1:9" x14ac:dyDescent="0.35">
      <c r="A7" s="21" t="s">
        <v>169</v>
      </c>
      <c r="B7" s="22" t="s">
        <v>56</v>
      </c>
      <c r="C7" s="61">
        <v>45.08688150604938</v>
      </c>
      <c r="D7" s="61">
        <v>-28.498844999999999</v>
      </c>
      <c r="E7" s="61">
        <v>14.964824</v>
      </c>
      <c r="F7" s="8" t="s">
        <v>17</v>
      </c>
      <c r="G7" s="59"/>
      <c r="H7" s="59"/>
      <c r="I7" s="59"/>
    </row>
    <row r="8" spans="1:9" x14ac:dyDescent="0.35">
      <c r="A8" s="5" t="s">
        <v>33</v>
      </c>
      <c r="B8" s="7" t="s">
        <v>31</v>
      </c>
      <c r="C8" s="62">
        <v>38.655717605061731</v>
      </c>
      <c r="D8" s="62">
        <v>-144.780585</v>
      </c>
      <c r="E8" s="62">
        <v>12.197886</v>
      </c>
      <c r="F8" s="46" t="s">
        <v>14</v>
      </c>
      <c r="G8" s="59"/>
      <c r="H8" s="59"/>
      <c r="I8" s="59"/>
    </row>
    <row r="9" spans="1:9" x14ac:dyDescent="0.35">
      <c r="A9" s="21" t="s">
        <v>171</v>
      </c>
      <c r="B9" s="22" t="s">
        <v>53</v>
      </c>
      <c r="C9" s="61">
        <v>38.027600029629632</v>
      </c>
      <c r="D9" s="61">
        <v>110.30356999999999</v>
      </c>
      <c r="E9" s="61">
        <v>23.470922000000002</v>
      </c>
      <c r="F9" s="8" t="s">
        <v>14</v>
      </c>
      <c r="G9" s="59"/>
      <c r="H9" s="59"/>
      <c r="I9" s="59"/>
    </row>
    <row r="10" spans="1:9" x14ac:dyDescent="0.35">
      <c r="A10" s="5" t="s">
        <v>170</v>
      </c>
      <c r="B10" s="7" t="s">
        <v>25</v>
      </c>
      <c r="C10" s="62">
        <v>36.423213789753085</v>
      </c>
      <c r="D10" s="62">
        <v>-88.305154999999999</v>
      </c>
      <c r="E10" s="62">
        <v>-21.275589</v>
      </c>
      <c r="F10" s="6" t="s">
        <v>17</v>
      </c>
      <c r="G10" s="59"/>
      <c r="H10" s="59"/>
      <c r="I10" s="59"/>
    </row>
    <row r="11" spans="1:9" x14ac:dyDescent="0.35">
      <c r="A11" s="21" t="s">
        <v>174</v>
      </c>
      <c r="B11" s="22" t="s">
        <v>35</v>
      </c>
      <c r="C11" s="61">
        <v>28.761012765555559</v>
      </c>
      <c r="D11" s="61">
        <v>-12.975965499999999</v>
      </c>
      <c r="E11" s="61">
        <v>-9.3198120000000007</v>
      </c>
      <c r="F11" s="8" t="s">
        <v>10</v>
      </c>
      <c r="G11" s="59"/>
      <c r="H11" s="59"/>
      <c r="I11" s="59"/>
    </row>
    <row r="12" spans="1:9" x14ac:dyDescent="0.35">
      <c r="A12" s="5" t="s">
        <v>173</v>
      </c>
      <c r="B12" s="7" t="s">
        <v>38</v>
      </c>
      <c r="C12" s="62">
        <v>28.43229479629629</v>
      </c>
      <c r="D12" s="62">
        <v>-167.04824600000001</v>
      </c>
      <c r="E12" s="62">
        <v>-11.905272</v>
      </c>
      <c r="F12" s="6" t="s">
        <v>17</v>
      </c>
      <c r="G12" s="59"/>
      <c r="H12" s="59"/>
      <c r="I12" s="59"/>
    </row>
    <row r="13" spans="1:9" x14ac:dyDescent="0.35">
      <c r="A13" s="21" t="s">
        <v>172</v>
      </c>
      <c r="B13" s="22" t="s">
        <v>85</v>
      </c>
      <c r="C13" s="61">
        <v>27.590513055913579</v>
      </c>
      <c r="D13" s="61">
        <v>-186.56795600000001</v>
      </c>
      <c r="E13" s="61">
        <v>-7.5447050000000004</v>
      </c>
      <c r="F13" s="8" t="s">
        <v>13</v>
      </c>
      <c r="G13" s="59"/>
      <c r="H13" s="59"/>
      <c r="I13" s="59"/>
    </row>
    <row r="14" spans="1:9" x14ac:dyDescent="0.35">
      <c r="A14" s="5" t="s">
        <v>153</v>
      </c>
      <c r="B14" s="7" t="s">
        <v>32</v>
      </c>
      <c r="C14" s="62">
        <v>24.945916160876539</v>
      </c>
      <c r="D14" s="62">
        <v>66.682518999999999</v>
      </c>
      <c r="E14" s="62">
        <v>-23.386271000000001</v>
      </c>
      <c r="F14" s="6" t="s">
        <v>14</v>
      </c>
      <c r="G14" s="59"/>
      <c r="H14" s="59"/>
      <c r="I14" s="59"/>
    </row>
    <row r="15" spans="1:9" x14ac:dyDescent="0.35">
      <c r="A15" s="21" t="s">
        <v>180</v>
      </c>
      <c r="B15" s="22" t="s">
        <v>58</v>
      </c>
      <c r="C15" s="61">
        <v>19.864175182098762</v>
      </c>
      <c r="D15" s="61">
        <v>-74.542124000000001</v>
      </c>
      <c r="E15" s="61">
        <v>-7.6393579999999996</v>
      </c>
      <c r="F15" s="8" t="s">
        <v>17</v>
      </c>
      <c r="G15" s="59"/>
      <c r="H15" s="59"/>
      <c r="I15" s="59"/>
    </row>
    <row r="16" spans="1:9" x14ac:dyDescent="0.35">
      <c r="A16" s="5" t="s">
        <v>182</v>
      </c>
      <c r="B16" s="7" t="s">
        <v>48</v>
      </c>
      <c r="C16" s="62">
        <v>19.022007259753089</v>
      </c>
      <c r="D16" s="62">
        <v>-54.459828000000002</v>
      </c>
      <c r="E16" s="62">
        <v>-12.831465</v>
      </c>
      <c r="F16" s="6" t="s">
        <v>10</v>
      </c>
      <c r="G16" s="59"/>
      <c r="H16" s="59"/>
      <c r="I16" s="59"/>
    </row>
    <row r="17" spans="1:11" x14ac:dyDescent="0.35">
      <c r="A17" s="21" t="s">
        <v>178</v>
      </c>
      <c r="B17" s="22" t="s">
        <v>42</v>
      </c>
      <c r="C17" s="61">
        <v>18.9913451928395</v>
      </c>
      <c r="D17" s="61">
        <v>19.510246200000001</v>
      </c>
      <c r="E17" s="61">
        <v>3.529426</v>
      </c>
      <c r="F17" s="8" t="s">
        <v>19</v>
      </c>
      <c r="G17" s="59"/>
      <c r="H17" s="59"/>
      <c r="I17" s="59"/>
    </row>
    <row r="18" spans="1:11" x14ac:dyDescent="0.35">
      <c r="A18" s="5" t="s">
        <v>181</v>
      </c>
      <c r="B18" s="7" t="s">
        <v>51</v>
      </c>
      <c r="C18" s="62">
        <v>18.644867077777782</v>
      </c>
      <c r="D18" s="62">
        <v>41.602491500000006</v>
      </c>
      <c r="E18" s="62">
        <v>5.4720969999999998</v>
      </c>
      <c r="F18" s="6" t="s">
        <v>11</v>
      </c>
      <c r="G18" s="59"/>
      <c r="H18" s="59"/>
      <c r="I18" s="59"/>
      <c r="J18" s="59"/>
      <c r="K18" s="59"/>
    </row>
    <row r="19" spans="1:11" x14ac:dyDescent="0.35">
      <c r="A19" s="21" t="s">
        <v>183</v>
      </c>
      <c r="B19" s="22" t="s">
        <v>59</v>
      </c>
      <c r="C19" s="61">
        <v>18.098902912222229</v>
      </c>
      <c r="D19" s="61">
        <v>-110.657905</v>
      </c>
      <c r="E19" s="61">
        <v>4.1366740000000002</v>
      </c>
      <c r="F19" s="8" t="s">
        <v>16</v>
      </c>
      <c r="G19" s="59"/>
      <c r="H19" s="59"/>
      <c r="I19" s="59"/>
      <c r="J19" s="59"/>
      <c r="K19" s="59"/>
    </row>
    <row r="20" spans="1:11" x14ac:dyDescent="0.35">
      <c r="A20" s="5" t="s">
        <v>29</v>
      </c>
      <c r="B20" s="7" t="s">
        <v>24</v>
      </c>
      <c r="C20" s="62">
        <v>16.98383770123457</v>
      </c>
      <c r="D20" s="62">
        <v>-124.185666</v>
      </c>
      <c r="E20" s="62">
        <v>10.564113000000001</v>
      </c>
      <c r="F20" s="6" t="s">
        <v>13</v>
      </c>
      <c r="G20" s="59"/>
      <c r="H20" s="59"/>
      <c r="I20" s="59"/>
      <c r="J20" s="59"/>
      <c r="K20" s="59"/>
    </row>
    <row r="21" spans="1:11" x14ac:dyDescent="0.35">
      <c r="A21" s="21" t="s">
        <v>177</v>
      </c>
      <c r="B21" s="22" t="s">
        <v>41</v>
      </c>
      <c r="C21" s="61">
        <v>16.958064527666668</v>
      </c>
      <c r="D21" s="61">
        <v>-5.7647089999999999</v>
      </c>
      <c r="E21" s="61">
        <v>-11.425468</v>
      </c>
      <c r="F21" s="8" t="s">
        <v>11</v>
      </c>
      <c r="G21" s="59"/>
      <c r="H21" s="59"/>
      <c r="I21" s="59"/>
      <c r="J21" s="59"/>
      <c r="K21" s="59"/>
    </row>
    <row r="22" spans="1:11" x14ac:dyDescent="0.35">
      <c r="A22" s="5" t="s">
        <v>184</v>
      </c>
      <c r="B22" s="7" t="s">
        <v>54</v>
      </c>
      <c r="C22" s="62">
        <v>16.911171680246909</v>
      </c>
      <c r="D22" s="62">
        <v>-51.079134000000003</v>
      </c>
      <c r="E22" s="62">
        <v>14.370388</v>
      </c>
      <c r="F22" s="6" t="s">
        <v>16</v>
      </c>
      <c r="G22" s="59"/>
      <c r="H22" s="59"/>
      <c r="I22" s="59"/>
      <c r="J22" s="59"/>
      <c r="K22" s="59"/>
    </row>
    <row r="23" spans="1:11" x14ac:dyDescent="0.35">
      <c r="A23" s="21" t="s">
        <v>176</v>
      </c>
      <c r="B23" s="22" t="s">
        <v>52</v>
      </c>
      <c r="C23" s="61">
        <v>16.67458641302343</v>
      </c>
      <c r="D23" s="61">
        <v>42.078436882599988</v>
      </c>
      <c r="E23" s="61">
        <v>2.9585364172999999</v>
      </c>
      <c r="F23" s="8" t="s">
        <v>14</v>
      </c>
      <c r="G23" s="59"/>
      <c r="H23" s="59"/>
      <c r="I23" s="59"/>
      <c r="J23" s="59"/>
      <c r="K23" s="59"/>
    </row>
    <row r="24" spans="1:11" x14ac:dyDescent="0.35">
      <c r="A24" s="5" t="s">
        <v>39</v>
      </c>
      <c r="B24" s="7" t="s">
        <v>37</v>
      </c>
      <c r="C24" s="62">
        <v>15.73131621111111</v>
      </c>
      <c r="D24" s="62">
        <v>51.303780000000003</v>
      </c>
      <c r="E24" s="62">
        <v>3.4594909999999999</v>
      </c>
      <c r="F24" s="6" t="s">
        <v>14</v>
      </c>
      <c r="G24" s="59"/>
      <c r="H24" s="59"/>
      <c r="I24" s="59"/>
      <c r="J24" s="59"/>
      <c r="K24" s="59"/>
    </row>
    <row r="25" spans="1:11" x14ac:dyDescent="0.35">
      <c r="A25" s="21" t="s">
        <v>179</v>
      </c>
      <c r="B25" s="22" t="s">
        <v>76</v>
      </c>
      <c r="C25" s="61">
        <v>13.415956010370371</v>
      </c>
      <c r="D25" s="61">
        <v>-41.224921999999999</v>
      </c>
      <c r="E25" s="61">
        <v>-4.0129999999999361E-2</v>
      </c>
      <c r="F25" s="8" t="s">
        <v>17</v>
      </c>
      <c r="G25" s="59"/>
      <c r="H25" s="59"/>
      <c r="I25" s="59"/>
      <c r="J25" s="59"/>
      <c r="K25" s="59"/>
    </row>
    <row r="26" spans="1:11" x14ac:dyDescent="0.35">
      <c r="A26" s="5" t="s">
        <v>175</v>
      </c>
      <c r="B26" s="7" t="s">
        <v>78</v>
      </c>
      <c r="C26" s="62">
        <v>12.200451414814809</v>
      </c>
      <c r="D26" s="62">
        <v>-66.000859000000005</v>
      </c>
      <c r="E26" s="62">
        <v>-1.3581859999999999</v>
      </c>
      <c r="F26" s="6" t="s">
        <v>17</v>
      </c>
      <c r="G26" s="59"/>
      <c r="H26" s="59"/>
      <c r="I26" s="59"/>
      <c r="J26" s="59"/>
      <c r="K26" s="59"/>
    </row>
    <row r="27" spans="1:11" x14ac:dyDescent="0.35">
      <c r="A27" s="21" t="s">
        <v>188</v>
      </c>
      <c r="B27" s="22" t="s">
        <v>80</v>
      </c>
      <c r="C27" s="61">
        <v>11.845876170987651</v>
      </c>
      <c r="D27" s="61">
        <v>-54.260747000000002</v>
      </c>
      <c r="E27" s="61">
        <v>-1.3104355000000001</v>
      </c>
      <c r="F27" s="8" t="s">
        <v>17</v>
      </c>
      <c r="G27" s="59"/>
      <c r="H27" s="59"/>
      <c r="I27" s="59"/>
      <c r="J27" s="59"/>
      <c r="K27" s="59"/>
    </row>
    <row r="28" spans="1:11" x14ac:dyDescent="0.35">
      <c r="A28" s="5" t="s">
        <v>34</v>
      </c>
      <c r="B28" s="7" t="s">
        <v>30</v>
      </c>
      <c r="C28" s="62">
        <v>11.4123554654321</v>
      </c>
      <c r="D28" s="62">
        <v>-27.783297999999998</v>
      </c>
      <c r="E28" s="62">
        <v>-1.2740590000000001</v>
      </c>
      <c r="F28" s="6" t="s">
        <v>14</v>
      </c>
      <c r="G28" s="59"/>
      <c r="H28" s="59"/>
      <c r="I28" s="59"/>
      <c r="J28" s="59"/>
      <c r="K28" s="59"/>
    </row>
    <row r="29" spans="1:11" x14ac:dyDescent="0.35">
      <c r="A29" s="21" t="s">
        <v>185</v>
      </c>
      <c r="B29" s="22" t="s">
        <v>43</v>
      </c>
      <c r="C29" s="61">
        <v>9.9032858111111111</v>
      </c>
      <c r="D29" s="61">
        <v>58.367386000000003</v>
      </c>
      <c r="E29" s="61">
        <v>-5.0147469999999998</v>
      </c>
      <c r="F29" s="8" t="s">
        <v>165</v>
      </c>
      <c r="G29" s="59"/>
      <c r="H29" s="59"/>
      <c r="I29" s="59"/>
      <c r="J29" s="59"/>
      <c r="K29" s="59"/>
    </row>
    <row r="30" spans="1:11" x14ac:dyDescent="0.35">
      <c r="A30" s="5" t="s">
        <v>190</v>
      </c>
      <c r="B30" s="7" t="s">
        <v>91</v>
      </c>
      <c r="C30" s="62">
        <v>8.9691001049382724</v>
      </c>
      <c r="D30" s="62">
        <v>-32.679712000000002</v>
      </c>
      <c r="E30" s="62">
        <v>1.7464500000000001</v>
      </c>
      <c r="F30" s="6" t="s">
        <v>17</v>
      </c>
      <c r="G30" s="59"/>
      <c r="H30" s="59"/>
      <c r="I30" s="59"/>
      <c r="J30" s="59"/>
      <c r="K30" s="59"/>
    </row>
    <row r="31" spans="1:11" x14ac:dyDescent="0.35">
      <c r="A31" s="21" t="s">
        <v>189</v>
      </c>
      <c r="B31" s="22" t="s">
        <v>55</v>
      </c>
      <c r="C31" s="61">
        <v>8.5605361431666669</v>
      </c>
      <c r="D31" s="61">
        <v>0.6744043884999984</v>
      </c>
      <c r="E31" s="61">
        <v>10.220584092800001</v>
      </c>
      <c r="F31" s="8" t="s">
        <v>16</v>
      </c>
      <c r="G31" s="59"/>
      <c r="H31" s="59"/>
      <c r="I31" s="59"/>
      <c r="J31" s="59"/>
      <c r="K31" s="59"/>
    </row>
    <row r="32" spans="1:11" x14ac:dyDescent="0.35">
      <c r="A32" s="5" t="s">
        <v>187</v>
      </c>
      <c r="B32" s="7" t="s">
        <v>111</v>
      </c>
      <c r="C32" s="62">
        <v>7.6804889209876537</v>
      </c>
      <c r="D32" s="62">
        <v>2.031504</v>
      </c>
      <c r="E32" s="62">
        <v>3.3388640000000001</v>
      </c>
      <c r="F32" s="6" t="s">
        <v>17</v>
      </c>
      <c r="G32" s="59"/>
      <c r="H32" s="59"/>
      <c r="I32" s="59"/>
      <c r="J32" s="59"/>
      <c r="K32" s="59"/>
    </row>
    <row r="33" spans="1:11" x14ac:dyDescent="0.35">
      <c r="A33" s="21" t="s">
        <v>186</v>
      </c>
      <c r="B33" s="22" t="s">
        <v>104</v>
      </c>
      <c r="C33" s="61">
        <v>7.5048983887901235</v>
      </c>
      <c r="D33" s="61">
        <v>-9.5668255000000002</v>
      </c>
      <c r="E33" s="61">
        <v>0.83531650000000002</v>
      </c>
      <c r="F33" s="8" t="s">
        <v>17</v>
      </c>
      <c r="G33" s="59"/>
      <c r="H33" s="59"/>
      <c r="I33" s="59"/>
      <c r="J33" s="59"/>
      <c r="K33" s="59"/>
    </row>
    <row r="34" spans="1:11" x14ac:dyDescent="0.35">
      <c r="A34" s="5" t="s">
        <v>143</v>
      </c>
      <c r="B34" s="7" t="s">
        <v>108</v>
      </c>
      <c r="C34" s="62">
        <v>7.428015661728395</v>
      </c>
      <c r="D34" s="62">
        <v>56.559868999999999</v>
      </c>
      <c r="E34" s="62">
        <v>6.5055800000000001</v>
      </c>
      <c r="F34" s="6" t="s">
        <v>14</v>
      </c>
      <c r="G34" s="59"/>
      <c r="H34" s="59"/>
      <c r="I34" s="59"/>
      <c r="J34" s="59"/>
      <c r="K34" s="59"/>
    </row>
    <row r="35" spans="1:11" x14ac:dyDescent="0.35">
      <c r="A35" s="21" t="s">
        <v>191</v>
      </c>
      <c r="B35" s="22" t="s">
        <v>92</v>
      </c>
      <c r="C35" s="61">
        <v>5.8208976027654327</v>
      </c>
      <c r="D35" s="61">
        <v>-54.030141223999998</v>
      </c>
      <c r="E35" s="61">
        <v>-0.25312299999999999</v>
      </c>
      <c r="F35" s="8" t="s">
        <v>165</v>
      </c>
      <c r="G35" s="59"/>
      <c r="H35" s="59"/>
      <c r="I35" s="59"/>
      <c r="J35" s="59"/>
      <c r="K35" s="59"/>
    </row>
    <row r="36" spans="1:11" x14ac:dyDescent="0.35">
      <c r="A36" s="5" t="s">
        <v>194</v>
      </c>
      <c r="B36" s="7" t="s">
        <v>147</v>
      </c>
      <c r="C36" s="62">
        <v>5.7472953234567905</v>
      </c>
      <c r="D36" s="62">
        <v>5.0308299999999999</v>
      </c>
      <c r="E36" s="62">
        <v>0.67786500000000005</v>
      </c>
      <c r="F36" s="6" t="s">
        <v>165</v>
      </c>
      <c r="G36" s="59"/>
      <c r="H36" s="59"/>
      <c r="I36" s="59"/>
      <c r="J36" s="59"/>
      <c r="K36" s="59"/>
    </row>
    <row r="37" spans="1:11" x14ac:dyDescent="0.35">
      <c r="A37" s="21" t="s">
        <v>193</v>
      </c>
      <c r="B37" s="22" t="s">
        <v>112</v>
      </c>
      <c r="C37" s="61">
        <v>5.5918957493827159</v>
      </c>
      <c r="D37" s="61">
        <v>22.863966000000001</v>
      </c>
      <c r="E37" s="61">
        <v>-3.8769849999999999</v>
      </c>
      <c r="F37" s="8" t="s">
        <v>165</v>
      </c>
      <c r="G37" s="59"/>
      <c r="H37" s="59"/>
      <c r="I37" s="59"/>
      <c r="J37" s="59"/>
      <c r="K37" s="59"/>
    </row>
    <row r="38" spans="1:11" x14ac:dyDescent="0.35">
      <c r="A38" s="5" t="s">
        <v>192</v>
      </c>
      <c r="B38" s="7" t="s">
        <v>94</v>
      </c>
      <c r="C38" s="62">
        <v>5.1092065151234571</v>
      </c>
      <c r="D38" s="62">
        <v>-34.617331</v>
      </c>
      <c r="E38" s="62">
        <v>-1.3113375</v>
      </c>
      <c r="F38" s="6" t="s">
        <v>17</v>
      </c>
      <c r="G38" s="59"/>
      <c r="H38" s="59"/>
      <c r="I38" s="59"/>
      <c r="J38" s="59"/>
      <c r="K38" s="59"/>
    </row>
    <row r="39" spans="1:11" x14ac:dyDescent="0.35">
      <c r="A39" s="21" t="s">
        <v>195</v>
      </c>
      <c r="B39" s="22" t="s">
        <v>123</v>
      </c>
      <c r="C39" s="61">
        <v>4.7525149074074076</v>
      </c>
      <c r="D39" s="61">
        <v>12.3395235</v>
      </c>
      <c r="E39" s="61">
        <v>-0.752471</v>
      </c>
      <c r="F39" s="8" t="s">
        <v>166</v>
      </c>
      <c r="G39" s="59"/>
      <c r="H39" s="59"/>
      <c r="I39" s="59"/>
      <c r="J39" s="59"/>
      <c r="K39" s="59"/>
    </row>
    <row r="40" spans="1:11" x14ac:dyDescent="0.35">
      <c r="A40" s="5" t="s">
        <v>197</v>
      </c>
      <c r="B40" s="7" t="s">
        <v>126</v>
      </c>
      <c r="C40" s="62">
        <v>4.2789279191358025</v>
      </c>
      <c r="D40" s="62">
        <v>-7.2988759999999999</v>
      </c>
      <c r="E40" s="62">
        <v>1.0925130000000001</v>
      </c>
      <c r="F40" s="6" t="s">
        <v>165</v>
      </c>
      <c r="G40" s="59"/>
      <c r="H40" s="59"/>
      <c r="I40" s="59"/>
      <c r="J40" s="59"/>
      <c r="K40" s="59"/>
    </row>
    <row r="41" spans="1:11" x14ac:dyDescent="0.35">
      <c r="A41" s="21" t="s">
        <v>211</v>
      </c>
      <c r="B41" s="22" t="s">
        <v>110</v>
      </c>
      <c r="C41" s="61">
        <v>3.8286399288888888</v>
      </c>
      <c r="D41" s="61">
        <v>-14.8309125</v>
      </c>
      <c r="E41" s="61">
        <v>-0.6016745</v>
      </c>
      <c r="F41" s="8" t="s">
        <v>11</v>
      </c>
      <c r="G41" s="59"/>
      <c r="H41" s="59"/>
      <c r="I41" s="59"/>
      <c r="J41" s="59"/>
      <c r="K41" s="59"/>
    </row>
    <row r="42" spans="1:11" x14ac:dyDescent="0.35">
      <c r="A42" s="5" t="s">
        <v>199</v>
      </c>
      <c r="B42" s="7" t="s">
        <v>105</v>
      </c>
      <c r="C42" s="62">
        <v>3.7081040551851863</v>
      </c>
      <c r="D42" s="62">
        <v>2.7303600000000001</v>
      </c>
      <c r="E42" s="62">
        <v>0.33358300000000013</v>
      </c>
      <c r="F42" s="6" t="s">
        <v>17</v>
      </c>
      <c r="G42" s="59"/>
      <c r="H42" s="59"/>
      <c r="I42" s="59"/>
      <c r="J42" s="59"/>
      <c r="K42" s="59"/>
    </row>
    <row r="43" spans="1:11" x14ac:dyDescent="0.35">
      <c r="A43" s="21" t="s">
        <v>198</v>
      </c>
      <c r="B43" s="22" t="s">
        <v>113</v>
      </c>
      <c r="C43" s="61">
        <v>3.183948981481481</v>
      </c>
      <c r="D43" s="61">
        <v>-17.583976499999999</v>
      </c>
      <c r="E43" s="61">
        <v>-2.7540594999999999</v>
      </c>
      <c r="F43" s="8" t="s">
        <v>165</v>
      </c>
      <c r="G43" s="59"/>
      <c r="H43" s="59"/>
      <c r="I43" s="59"/>
      <c r="J43" s="59"/>
      <c r="K43" s="59"/>
    </row>
    <row r="44" spans="1:11" x14ac:dyDescent="0.35">
      <c r="A44" s="5" t="s">
        <v>216</v>
      </c>
      <c r="B44" s="7" t="s">
        <v>131</v>
      </c>
      <c r="C44" s="62">
        <v>2.9103832777777781</v>
      </c>
      <c r="D44" s="62">
        <v>16.753623000000001</v>
      </c>
      <c r="E44" s="62">
        <v>1.960156</v>
      </c>
      <c r="F44" s="6" t="s">
        <v>166</v>
      </c>
      <c r="G44" s="59"/>
      <c r="H44" s="59"/>
      <c r="I44" s="59"/>
      <c r="J44" s="59"/>
      <c r="K44" s="59"/>
    </row>
    <row r="45" spans="1:11" x14ac:dyDescent="0.35">
      <c r="A45" s="21" t="s">
        <v>196</v>
      </c>
      <c r="B45" s="22" t="s">
        <v>97</v>
      </c>
      <c r="C45" s="61">
        <v>2.8452282839506169</v>
      </c>
      <c r="D45" s="61">
        <v>0.115277</v>
      </c>
      <c r="E45" s="61">
        <v>1.084851</v>
      </c>
      <c r="F45" s="8" t="s">
        <v>14</v>
      </c>
      <c r="G45" s="59"/>
      <c r="H45" s="59"/>
      <c r="I45" s="59"/>
      <c r="J45" s="59"/>
      <c r="K45" s="59"/>
    </row>
    <row r="46" spans="1:11" x14ac:dyDescent="0.35">
      <c r="A46" s="5" t="s">
        <v>204</v>
      </c>
      <c r="B46" s="7" t="s">
        <v>109</v>
      </c>
      <c r="C46" s="62">
        <v>2.8150783518518523</v>
      </c>
      <c r="D46" s="62">
        <v>-19.423148999999999</v>
      </c>
      <c r="E46" s="62">
        <v>-0.27508749999999987</v>
      </c>
      <c r="F46" s="6" t="s">
        <v>17</v>
      </c>
      <c r="G46" s="59"/>
      <c r="H46" s="59"/>
      <c r="I46" s="59"/>
      <c r="J46" s="59"/>
      <c r="K46" s="59"/>
    </row>
    <row r="47" spans="1:11" x14ac:dyDescent="0.35">
      <c r="A47" s="21" t="s">
        <v>203</v>
      </c>
      <c r="B47" s="22" t="s">
        <v>120</v>
      </c>
      <c r="C47" s="61">
        <v>2.6426401882716051</v>
      </c>
      <c r="D47" s="61">
        <v>-5.8646380000000002</v>
      </c>
      <c r="E47" s="61">
        <v>-0.21942500000000001</v>
      </c>
      <c r="F47" s="8" t="s">
        <v>17</v>
      </c>
      <c r="G47" s="59"/>
      <c r="H47" s="59"/>
      <c r="I47" s="59"/>
      <c r="J47" s="59"/>
      <c r="K47" s="59"/>
    </row>
    <row r="48" spans="1:11" x14ac:dyDescent="0.35">
      <c r="A48" s="5" t="s">
        <v>200</v>
      </c>
      <c r="B48" s="7" t="s">
        <v>118</v>
      </c>
      <c r="C48" s="62">
        <v>2.5695098227160491</v>
      </c>
      <c r="D48" s="62">
        <v>-5.7237134999999997</v>
      </c>
      <c r="E48" s="62">
        <v>-1.0902594999999999</v>
      </c>
      <c r="F48" s="6" t="s">
        <v>164</v>
      </c>
      <c r="G48" s="59"/>
      <c r="H48" s="59"/>
      <c r="I48" s="59"/>
      <c r="J48" s="59"/>
      <c r="K48" s="59"/>
    </row>
    <row r="49" spans="1:11" x14ac:dyDescent="0.35">
      <c r="A49" s="21" t="s">
        <v>202</v>
      </c>
      <c r="B49" s="22" t="s">
        <v>107</v>
      </c>
      <c r="C49" s="61">
        <v>2.5601862864197531</v>
      </c>
      <c r="D49" s="61">
        <v>-1.9852234</v>
      </c>
      <c r="E49" s="61">
        <v>-0.53513840000000001</v>
      </c>
      <c r="F49" s="8" t="s">
        <v>166</v>
      </c>
      <c r="G49" s="59"/>
      <c r="H49" s="59"/>
      <c r="I49" s="59"/>
      <c r="J49" s="59"/>
      <c r="K49" s="59"/>
    </row>
    <row r="50" spans="1:11" x14ac:dyDescent="0.35">
      <c r="A50" s="5" t="s">
        <v>212</v>
      </c>
      <c r="B50" s="7" t="s">
        <v>121</v>
      </c>
      <c r="C50" s="62">
        <v>2.5523905643566671</v>
      </c>
      <c r="D50" s="62">
        <v>7.7789305541500013</v>
      </c>
      <c r="E50" s="62">
        <v>0.22455476925000001</v>
      </c>
      <c r="F50" s="6" t="s">
        <v>17</v>
      </c>
      <c r="G50" s="59"/>
      <c r="H50" s="59"/>
      <c r="I50" s="59"/>
      <c r="J50" s="59"/>
      <c r="K50" s="59"/>
    </row>
    <row r="51" spans="1:11" x14ac:dyDescent="0.35">
      <c r="A51" s="21" t="s">
        <v>220</v>
      </c>
      <c r="B51" s="22" t="s">
        <v>133</v>
      </c>
      <c r="C51" s="61">
        <v>2.5367644076543208</v>
      </c>
      <c r="D51" s="61">
        <v>-1.545499</v>
      </c>
      <c r="E51" s="61">
        <v>0.67839349999999998</v>
      </c>
      <c r="F51" s="8" t="s">
        <v>167</v>
      </c>
      <c r="G51" s="59"/>
      <c r="H51" s="59"/>
      <c r="I51" s="59"/>
      <c r="J51" s="59"/>
      <c r="K51" s="59"/>
    </row>
    <row r="52" spans="1:11" x14ac:dyDescent="0.35">
      <c r="A52" s="5" t="s">
        <v>201</v>
      </c>
      <c r="B52" s="7" t="s">
        <v>98</v>
      </c>
      <c r="C52" s="62">
        <v>2.4846638279012341</v>
      </c>
      <c r="D52" s="62">
        <v>-36.361312499999997</v>
      </c>
      <c r="E52" s="62">
        <v>-6.5304774999999999</v>
      </c>
      <c r="F52" s="6" t="s">
        <v>17</v>
      </c>
      <c r="G52" s="59"/>
      <c r="H52" s="59"/>
      <c r="I52" s="59"/>
      <c r="J52" s="59"/>
      <c r="K52" s="59"/>
    </row>
    <row r="53" spans="1:11" x14ac:dyDescent="0.35">
      <c r="A53" s="21" t="s">
        <v>209</v>
      </c>
      <c r="B53" s="22" t="s">
        <v>57</v>
      </c>
      <c r="C53" s="61">
        <v>2.4124929787738272</v>
      </c>
      <c r="D53" s="61">
        <v>-7.3558003367999998</v>
      </c>
      <c r="E53" s="61">
        <v>1.3581230822999999</v>
      </c>
      <c r="F53" s="8" t="s">
        <v>11</v>
      </c>
      <c r="G53" s="59"/>
      <c r="H53" s="59"/>
      <c r="I53" s="59"/>
      <c r="J53" s="59"/>
      <c r="K53" s="59"/>
    </row>
    <row r="54" spans="1:11" x14ac:dyDescent="0.35">
      <c r="A54" s="5" t="s">
        <v>210</v>
      </c>
      <c r="B54" s="7" t="s">
        <v>106</v>
      </c>
      <c r="C54" s="62">
        <v>2.2781817135802469</v>
      </c>
      <c r="D54" s="62">
        <v>-8.9865335000000002</v>
      </c>
      <c r="E54" s="62">
        <v>-1.8757025000000001</v>
      </c>
      <c r="F54" s="6" t="s">
        <v>15</v>
      </c>
      <c r="G54" s="59"/>
      <c r="H54" s="59"/>
      <c r="I54" s="59"/>
      <c r="J54" s="59"/>
      <c r="K54" s="59"/>
    </row>
    <row r="55" spans="1:11" x14ac:dyDescent="0.35">
      <c r="A55" s="21" t="s">
        <v>208</v>
      </c>
      <c r="B55" s="22" t="s">
        <v>124</v>
      </c>
      <c r="C55" s="61">
        <v>2.2344526098765427</v>
      </c>
      <c r="D55" s="61">
        <v>-21.395163</v>
      </c>
      <c r="E55" s="61">
        <v>2.1517999999999999E-2</v>
      </c>
      <c r="F55" s="8" t="s">
        <v>17</v>
      </c>
      <c r="G55" s="59"/>
      <c r="H55" s="59"/>
      <c r="I55" s="59"/>
      <c r="J55" s="59"/>
      <c r="K55" s="59"/>
    </row>
    <row r="56" spans="1:11" x14ac:dyDescent="0.35">
      <c r="A56" s="5" t="s">
        <v>229</v>
      </c>
      <c r="B56" s="7" t="s">
        <v>99</v>
      </c>
      <c r="C56" s="62">
        <v>2.1391808913580239</v>
      </c>
      <c r="D56" s="62">
        <v>0.60142950000000006</v>
      </c>
      <c r="E56" s="62">
        <v>1.77193</v>
      </c>
      <c r="F56" s="6" t="s">
        <v>11</v>
      </c>
      <c r="G56" s="59"/>
      <c r="H56" s="59"/>
      <c r="I56" s="59"/>
      <c r="J56" s="59"/>
      <c r="K56" s="59"/>
    </row>
    <row r="57" spans="1:11" x14ac:dyDescent="0.35">
      <c r="A57" s="21" t="s">
        <v>213</v>
      </c>
      <c r="B57" s="22" t="s">
        <v>93</v>
      </c>
      <c r="C57" s="61">
        <v>2.0674750592592588</v>
      </c>
      <c r="D57" s="61">
        <v>-19.069033000000001</v>
      </c>
      <c r="E57" s="61">
        <v>-0.124865</v>
      </c>
      <c r="F57" s="8" t="s">
        <v>11</v>
      </c>
      <c r="G57" s="59"/>
      <c r="H57" s="59"/>
      <c r="I57" s="59"/>
      <c r="J57" s="59"/>
      <c r="K57" s="59"/>
    </row>
    <row r="58" spans="1:11" x14ac:dyDescent="0.35">
      <c r="A58" s="5" t="s">
        <v>206</v>
      </c>
      <c r="B58" s="7" t="s">
        <v>122</v>
      </c>
      <c r="C58" s="62">
        <v>1.9787156130864201</v>
      </c>
      <c r="D58" s="62">
        <v>-11.896118</v>
      </c>
      <c r="E58" s="62">
        <v>0.59519350000000004</v>
      </c>
      <c r="F58" s="6" t="s">
        <v>17</v>
      </c>
      <c r="G58" s="59"/>
      <c r="H58" s="59"/>
      <c r="I58" s="59"/>
      <c r="J58" s="59"/>
      <c r="K58" s="59"/>
    </row>
    <row r="59" spans="1:11" x14ac:dyDescent="0.35">
      <c r="A59" s="21" t="s">
        <v>218</v>
      </c>
      <c r="B59" s="22" t="s">
        <v>115</v>
      </c>
      <c r="C59" s="61">
        <v>1.9571380913580252</v>
      </c>
      <c r="D59" s="61">
        <v>1.700996</v>
      </c>
      <c r="E59" s="61">
        <v>-0.65215800000000002</v>
      </c>
      <c r="F59" s="8" t="s">
        <v>11</v>
      </c>
      <c r="G59" s="59"/>
      <c r="H59" s="59"/>
      <c r="I59" s="59"/>
      <c r="J59" s="59"/>
      <c r="K59" s="59"/>
    </row>
    <row r="60" spans="1:11" x14ac:dyDescent="0.35">
      <c r="A60" s="5" t="s">
        <v>215</v>
      </c>
      <c r="B60" s="7" t="s">
        <v>114</v>
      </c>
      <c r="C60" s="62">
        <v>1.9143168765432099</v>
      </c>
      <c r="D60" s="62">
        <v>2.09666</v>
      </c>
      <c r="E60" s="62">
        <v>0.73012449999999995</v>
      </c>
      <c r="F60" s="6" t="s">
        <v>13</v>
      </c>
      <c r="G60" s="59"/>
      <c r="H60" s="59"/>
      <c r="I60" s="59"/>
      <c r="J60" s="59"/>
      <c r="K60" s="59"/>
    </row>
    <row r="61" spans="1:11" x14ac:dyDescent="0.35">
      <c r="A61" s="21" t="s">
        <v>205</v>
      </c>
      <c r="B61" s="22" t="s">
        <v>154</v>
      </c>
      <c r="C61" s="61">
        <v>1.69231697037037</v>
      </c>
      <c r="D61" s="61">
        <v>-2.483679</v>
      </c>
      <c r="E61" s="61">
        <v>-1.9148099999999998E-2</v>
      </c>
      <c r="F61" s="8" t="s">
        <v>14</v>
      </c>
      <c r="G61" s="59"/>
      <c r="H61" s="59"/>
      <c r="I61" s="59"/>
      <c r="J61" s="59"/>
      <c r="K61" s="59"/>
    </row>
    <row r="62" spans="1:11" x14ac:dyDescent="0.35">
      <c r="A62" s="5" t="s">
        <v>207</v>
      </c>
      <c r="B62" s="7" t="s">
        <v>119</v>
      </c>
      <c r="C62" s="62">
        <v>1.6343864631369129</v>
      </c>
      <c r="D62" s="62">
        <v>-4.0847336409900006</v>
      </c>
      <c r="E62" s="62">
        <v>-0.25427779238999998</v>
      </c>
      <c r="F62" s="6" t="s">
        <v>10</v>
      </c>
      <c r="G62" s="59"/>
      <c r="H62" s="59"/>
      <c r="I62" s="59"/>
      <c r="J62" s="59"/>
      <c r="K62" s="59"/>
    </row>
    <row r="63" spans="1:11" x14ac:dyDescent="0.35">
      <c r="A63" s="21" t="s">
        <v>226</v>
      </c>
      <c r="B63" s="22" t="s">
        <v>96</v>
      </c>
      <c r="C63" s="61">
        <v>1.4676410329323459</v>
      </c>
      <c r="D63" s="61">
        <v>-16.162399580740001</v>
      </c>
      <c r="E63" s="61">
        <v>0.30355462529999999</v>
      </c>
      <c r="F63" s="8" t="s">
        <v>17</v>
      </c>
      <c r="G63" s="59"/>
      <c r="H63" s="59"/>
      <c r="I63" s="59"/>
      <c r="J63" s="59"/>
      <c r="K63" s="59"/>
    </row>
    <row r="64" spans="1:11" x14ac:dyDescent="0.35">
      <c r="A64" s="5" t="s">
        <v>222</v>
      </c>
      <c r="B64" s="7" t="s">
        <v>155</v>
      </c>
      <c r="C64" s="62">
        <v>1.341741372839506</v>
      </c>
      <c r="D64" s="62">
        <v>-0.8380495</v>
      </c>
      <c r="E64" s="62">
        <v>-6.1412399999999985E-2</v>
      </c>
      <c r="F64" s="6" t="s">
        <v>14</v>
      </c>
      <c r="G64" s="59"/>
      <c r="H64" s="59"/>
      <c r="I64" s="59"/>
      <c r="J64" s="59"/>
      <c r="K64" s="59"/>
    </row>
    <row r="65" spans="1:11" x14ac:dyDescent="0.35">
      <c r="A65" s="21" t="s">
        <v>228</v>
      </c>
      <c r="B65" s="22" t="s">
        <v>116</v>
      </c>
      <c r="C65" s="61">
        <v>1.312268649382716</v>
      </c>
      <c r="D65" s="61">
        <v>-23.787605500000002</v>
      </c>
      <c r="E65" s="61">
        <v>-1.2476155</v>
      </c>
      <c r="F65" s="8" t="s">
        <v>167</v>
      </c>
      <c r="G65" s="59"/>
      <c r="H65" s="59"/>
      <c r="I65" s="59"/>
      <c r="J65" s="59"/>
      <c r="K65" s="59"/>
    </row>
    <row r="66" spans="1:11" x14ac:dyDescent="0.35">
      <c r="A66" s="5" t="s">
        <v>219</v>
      </c>
      <c r="B66" s="7" t="s">
        <v>132</v>
      </c>
      <c r="C66" s="62">
        <v>1.3064568271604939</v>
      </c>
      <c r="D66" s="62">
        <v>10.542457000000001</v>
      </c>
      <c r="E66" s="62">
        <v>1.346884</v>
      </c>
      <c r="F66" s="6" t="s">
        <v>164</v>
      </c>
      <c r="G66" s="59"/>
      <c r="H66" s="59"/>
      <c r="I66" s="59"/>
      <c r="J66" s="59"/>
      <c r="K66" s="59"/>
    </row>
    <row r="67" spans="1:11" x14ac:dyDescent="0.35">
      <c r="A67" s="21" t="s">
        <v>245</v>
      </c>
      <c r="B67" s="22" t="s">
        <v>117</v>
      </c>
      <c r="C67" s="61">
        <v>1.2575121851851849</v>
      </c>
      <c r="D67" s="61">
        <v>2.4645709999999998</v>
      </c>
      <c r="E67" s="61">
        <v>0.855491</v>
      </c>
      <c r="F67" s="8" t="s">
        <v>10</v>
      </c>
      <c r="G67" s="59"/>
      <c r="H67" s="59"/>
      <c r="I67" s="59"/>
      <c r="J67" s="59"/>
      <c r="K67" s="59"/>
    </row>
    <row r="68" spans="1:11" x14ac:dyDescent="0.35">
      <c r="A68" s="5" t="s">
        <v>224</v>
      </c>
      <c r="B68" s="7" t="s">
        <v>130</v>
      </c>
      <c r="C68" s="62">
        <v>1.180182735802469</v>
      </c>
      <c r="D68" s="62">
        <v>-2.1656960000000001</v>
      </c>
      <c r="E68" s="62">
        <v>-1.3393E-2</v>
      </c>
      <c r="F68" s="6" t="s">
        <v>17</v>
      </c>
      <c r="G68" s="59"/>
      <c r="H68" s="59"/>
      <c r="I68" s="59"/>
      <c r="J68" s="59"/>
      <c r="K68" s="59"/>
    </row>
    <row r="69" spans="1:11" x14ac:dyDescent="0.35">
      <c r="A69" s="21" t="s">
        <v>217</v>
      </c>
      <c r="B69" s="22" t="s">
        <v>140</v>
      </c>
      <c r="C69" s="61">
        <v>1.173947737037037</v>
      </c>
      <c r="D69" s="61">
        <v>4.432067</v>
      </c>
      <c r="E69" s="61">
        <v>-0.14673600000000001</v>
      </c>
      <c r="F69" s="8" t="s">
        <v>11</v>
      </c>
      <c r="G69" s="59"/>
      <c r="H69" s="59"/>
      <c r="I69" s="59"/>
      <c r="J69" s="59"/>
      <c r="K69" s="59"/>
    </row>
    <row r="70" spans="1:11" x14ac:dyDescent="0.35">
      <c r="A70" s="5" t="s">
        <v>231</v>
      </c>
      <c r="B70" s="7" t="s">
        <v>137</v>
      </c>
      <c r="C70" s="62">
        <v>1.08261537037037</v>
      </c>
      <c r="D70" s="62">
        <v>-2.5907339999999999</v>
      </c>
      <c r="E70" s="62">
        <v>2.8024740000000001</v>
      </c>
      <c r="F70" s="6" t="s">
        <v>14</v>
      </c>
      <c r="G70" s="59"/>
      <c r="H70" s="59"/>
      <c r="I70" s="59"/>
      <c r="J70" s="59"/>
      <c r="K70" s="59"/>
    </row>
    <row r="71" spans="1:11" x14ac:dyDescent="0.35">
      <c r="A71" s="21" t="s">
        <v>234</v>
      </c>
      <c r="B71" s="22" t="s">
        <v>134</v>
      </c>
      <c r="C71" s="61">
        <v>1.075558814997531</v>
      </c>
      <c r="D71" s="61">
        <v>-2.0873181252999999</v>
      </c>
      <c r="E71" s="61">
        <v>1.2464971950000009E-2</v>
      </c>
      <c r="F71" s="8" t="s">
        <v>17</v>
      </c>
      <c r="G71" s="59"/>
      <c r="H71" s="59"/>
      <c r="I71" s="59"/>
      <c r="J71" s="59"/>
      <c r="K71" s="59"/>
    </row>
    <row r="72" spans="1:11" x14ac:dyDescent="0.35">
      <c r="A72" s="5" t="s">
        <v>214</v>
      </c>
      <c r="B72" s="7" t="s">
        <v>148</v>
      </c>
      <c r="C72" s="62">
        <v>1.044390672839506</v>
      </c>
      <c r="D72" s="62">
        <v>0.2148818999999999</v>
      </c>
      <c r="E72" s="62">
        <v>-1.24578E-2</v>
      </c>
      <c r="F72" s="6" t="s">
        <v>167</v>
      </c>
      <c r="G72" s="59"/>
      <c r="H72" s="59"/>
      <c r="I72" s="59"/>
      <c r="J72" s="59"/>
      <c r="K72" s="59"/>
    </row>
    <row r="73" spans="1:11" x14ac:dyDescent="0.35">
      <c r="A73" s="21" t="s">
        <v>238</v>
      </c>
      <c r="B73" s="22" t="s">
        <v>150</v>
      </c>
      <c r="C73" s="61">
        <v>1.0405169370370371</v>
      </c>
      <c r="D73" s="61">
        <v>3.8568384999999998</v>
      </c>
      <c r="E73" s="61">
        <v>0.15859899999999999</v>
      </c>
      <c r="F73" s="8" t="s">
        <v>165</v>
      </c>
      <c r="G73" s="59"/>
      <c r="H73" s="59"/>
      <c r="I73" s="59"/>
      <c r="J73" s="59"/>
      <c r="K73" s="59"/>
    </row>
    <row r="74" spans="1:11" x14ac:dyDescent="0.35">
      <c r="A74" s="5" t="s">
        <v>227</v>
      </c>
      <c r="B74" s="7" t="s">
        <v>142</v>
      </c>
      <c r="C74" s="62">
        <v>1.0255766409343949</v>
      </c>
      <c r="D74" s="62">
        <v>-1.5269798344000001</v>
      </c>
      <c r="E74" s="62">
        <v>0.271602754</v>
      </c>
      <c r="F74" s="6" t="s">
        <v>17</v>
      </c>
      <c r="G74" s="59"/>
      <c r="H74" s="59"/>
      <c r="I74" s="59"/>
      <c r="J74" s="59"/>
      <c r="K74" s="59"/>
    </row>
    <row r="75" spans="1:11" x14ac:dyDescent="0.35">
      <c r="A75" s="21" t="s">
        <v>223</v>
      </c>
      <c r="B75" s="22" t="s">
        <v>95</v>
      </c>
      <c r="C75" s="61">
        <v>0.9938496157279012</v>
      </c>
      <c r="D75" s="61">
        <v>-4.6717081328000001</v>
      </c>
      <c r="E75" s="61">
        <v>-0.65038085189000006</v>
      </c>
      <c r="F75" s="8" t="s">
        <v>14</v>
      </c>
      <c r="G75" s="59"/>
      <c r="H75" s="59"/>
      <c r="I75" s="59"/>
      <c r="J75" s="59"/>
      <c r="K75" s="59"/>
    </row>
    <row r="76" spans="1:11" x14ac:dyDescent="0.35">
      <c r="A76" s="5" t="s">
        <v>221</v>
      </c>
      <c r="B76" s="7" t="s">
        <v>136</v>
      </c>
      <c r="C76" s="62">
        <v>0.9364961802469135</v>
      </c>
      <c r="D76" s="62">
        <v>-3.5064734999999998</v>
      </c>
      <c r="E76" s="62">
        <v>-0.25861600000000001</v>
      </c>
      <c r="F76" s="6" t="s">
        <v>16</v>
      </c>
      <c r="G76" s="59"/>
      <c r="H76" s="59"/>
      <c r="I76" s="59"/>
      <c r="J76" s="59"/>
      <c r="K76" s="59"/>
    </row>
    <row r="77" spans="1:11" x14ac:dyDescent="0.35">
      <c r="A77" s="21" t="s">
        <v>225</v>
      </c>
      <c r="B77" s="22" t="s">
        <v>138</v>
      </c>
      <c r="C77" s="61">
        <v>0.88522791975308646</v>
      </c>
      <c r="D77" s="61">
        <v>-5.4358924999999996</v>
      </c>
      <c r="E77" s="61">
        <v>-0.23573849999999999</v>
      </c>
      <c r="F77" s="8" t="s">
        <v>17</v>
      </c>
      <c r="G77" s="59"/>
      <c r="H77" s="59"/>
      <c r="I77" s="59"/>
      <c r="J77" s="59"/>
      <c r="K77" s="59"/>
    </row>
    <row r="78" spans="1:11" x14ac:dyDescent="0.35">
      <c r="A78" s="5" t="s">
        <v>244</v>
      </c>
      <c r="B78" s="7" t="s">
        <v>157</v>
      </c>
      <c r="C78" s="62">
        <v>0.82858634567901235</v>
      </c>
      <c r="D78" s="62">
        <v>1.7384911999999999</v>
      </c>
      <c r="E78" s="62">
        <v>0.18780439999999998</v>
      </c>
      <c r="F78" s="6" t="s">
        <v>14</v>
      </c>
      <c r="G78" s="59"/>
      <c r="H78" s="59"/>
      <c r="I78" s="59"/>
      <c r="J78" s="59"/>
      <c r="K78" s="59"/>
    </row>
    <row r="79" spans="1:11" x14ac:dyDescent="0.35">
      <c r="A79" s="21" t="s">
        <v>242</v>
      </c>
      <c r="B79" s="22" t="s">
        <v>162</v>
      </c>
      <c r="C79" s="61">
        <v>0.7714397839506173</v>
      </c>
      <c r="D79" s="61">
        <v>4.3128915000000001</v>
      </c>
      <c r="E79" s="61">
        <v>0.25859959999999999</v>
      </c>
      <c r="F79" s="8" t="s">
        <v>14</v>
      </c>
      <c r="G79" s="59"/>
      <c r="H79" s="59"/>
      <c r="I79" s="59"/>
      <c r="J79" s="59"/>
      <c r="K79" s="59"/>
    </row>
    <row r="80" spans="1:11" x14ac:dyDescent="0.35">
      <c r="A80" s="5" t="s">
        <v>237</v>
      </c>
      <c r="B80" s="7" t="s">
        <v>88</v>
      </c>
      <c r="C80" s="62">
        <v>0.75490490740740746</v>
      </c>
      <c r="D80" s="62">
        <v>-1.827018</v>
      </c>
      <c r="E80" s="62">
        <v>0.58269550000000003</v>
      </c>
      <c r="F80" s="6" t="s">
        <v>11</v>
      </c>
      <c r="G80" s="59"/>
      <c r="H80" s="59"/>
      <c r="I80" s="59"/>
      <c r="J80" s="59"/>
      <c r="K80" s="59"/>
    </row>
    <row r="81" spans="1:11" x14ac:dyDescent="0.35">
      <c r="A81" s="21" t="s">
        <v>235</v>
      </c>
      <c r="B81" s="22" t="s">
        <v>139</v>
      </c>
      <c r="C81" s="61">
        <v>0.72965512469135807</v>
      </c>
      <c r="D81" s="61">
        <v>-4.4568254999999999</v>
      </c>
      <c r="E81" s="61">
        <v>-0.29924849999999997</v>
      </c>
      <c r="F81" s="8" t="s">
        <v>17</v>
      </c>
      <c r="G81" s="59"/>
      <c r="H81" s="59"/>
      <c r="I81" s="59"/>
      <c r="J81" s="59"/>
      <c r="K81" s="59"/>
    </row>
    <row r="82" spans="1:11" x14ac:dyDescent="0.35">
      <c r="A82" s="5" t="s">
        <v>243</v>
      </c>
      <c r="B82" s="7" t="s">
        <v>152</v>
      </c>
      <c r="C82" s="62">
        <v>0.72626217283950623</v>
      </c>
      <c r="D82" s="62">
        <v>-9.1776274999999998</v>
      </c>
      <c r="E82" s="62">
        <v>-0.48026600000000003</v>
      </c>
      <c r="F82" s="6" t="s">
        <v>165</v>
      </c>
      <c r="G82" s="59"/>
      <c r="H82" s="59"/>
      <c r="I82" s="59"/>
      <c r="J82" s="59"/>
      <c r="K82" s="59"/>
    </row>
    <row r="83" spans="1:11" x14ac:dyDescent="0.35">
      <c r="A83" s="21" t="s">
        <v>236</v>
      </c>
      <c r="B83" s="22" t="s">
        <v>129</v>
      </c>
      <c r="C83" s="61">
        <v>0.69390448024691365</v>
      </c>
      <c r="D83" s="61">
        <v>0.17307549999999999</v>
      </c>
      <c r="E83" s="61">
        <v>-0.6360905</v>
      </c>
      <c r="F83" s="8" t="s">
        <v>17</v>
      </c>
      <c r="G83" s="59"/>
      <c r="H83" s="59"/>
      <c r="I83" s="59"/>
      <c r="J83" s="59"/>
      <c r="K83" s="59"/>
    </row>
    <row r="84" spans="1:11" x14ac:dyDescent="0.35">
      <c r="A84" s="5" t="s">
        <v>240</v>
      </c>
      <c r="B84" s="7" t="s">
        <v>125</v>
      </c>
      <c r="C84" s="62">
        <v>0.68977610864197536</v>
      </c>
      <c r="D84" s="62">
        <v>-0.66198619999999997</v>
      </c>
      <c r="E84" s="62">
        <v>4.6736100000000017E-2</v>
      </c>
      <c r="F84" s="6" t="s">
        <v>166</v>
      </c>
      <c r="G84" s="59"/>
      <c r="H84" s="59"/>
      <c r="I84" s="59"/>
      <c r="J84" s="59"/>
      <c r="K84" s="59"/>
    </row>
    <row r="85" spans="1:11" x14ac:dyDescent="0.35">
      <c r="A85" s="21" t="s">
        <v>249</v>
      </c>
      <c r="B85" s="22" t="s">
        <v>141</v>
      </c>
      <c r="C85" s="61">
        <v>0.66970507037037041</v>
      </c>
      <c r="D85" s="61">
        <v>-4.7913744999999999</v>
      </c>
      <c r="E85" s="61">
        <v>-1.5330625</v>
      </c>
      <c r="F85" s="8" t="s">
        <v>11</v>
      </c>
      <c r="G85" s="59"/>
      <c r="H85" s="59"/>
      <c r="I85" s="59"/>
      <c r="J85" s="59"/>
      <c r="K85" s="59"/>
    </row>
    <row r="86" spans="1:11" x14ac:dyDescent="0.35">
      <c r="A86" s="5" t="s">
        <v>241</v>
      </c>
      <c r="B86" s="7" t="s">
        <v>158</v>
      </c>
      <c r="C86" s="62">
        <v>0.61278359012345673</v>
      </c>
      <c r="D86" s="62">
        <v>-1.6241384999999999</v>
      </c>
      <c r="E86" s="62">
        <v>-0.28599849999999999</v>
      </c>
      <c r="F86" s="6" t="s">
        <v>14</v>
      </c>
      <c r="G86" s="59"/>
      <c r="H86" s="59"/>
      <c r="I86" s="59"/>
      <c r="J86" s="59"/>
      <c r="K86" s="59"/>
    </row>
    <row r="87" spans="1:11" x14ac:dyDescent="0.35">
      <c r="A87" s="21" t="s">
        <v>233</v>
      </c>
      <c r="B87" s="22" t="s">
        <v>149</v>
      </c>
      <c r="C87" s="61">
        <v>0.60758472716049383</v>
      </c>
      <c r="D87" s="61">
        <v>-0.72587599999999997</v>
      </c>
      <c r="E87" s="61">
        <v>0.44473750000000001</v>
      </c>
      <c r="F87" s="8" t="s">
        <v>17</v>
      </c>
      <c r="G87" s="59"/>
      <c r="H87" s="59"/>
      <c r="I87" s="59"/>
      <c r="J87" s="59"/>
      <c r="K87" s="59"/>
    </row>
    <row r="88" spans="1:11" x14ac:dyDescent="0.35">
      <c r="A88" s="5" t="s">
        <v>246</v>
      </c>
      <c r="B88" s="7" t="s">
        <v>160</v>
      </c>
      <c r="C88" s="62">
        <v>0.59816293209876537</v>
      </c>
      <c r="D88" s="62">
        <v>-5.5499960000000002</v>
      </c>
      <c r="E88" s="62">
        <v>-0.108861</v>
      </c>
      <c r="F88" s="6" t="s">
        <v>167</v>
      </c>
      <c r="G88" s="59"/>
      <c r="H88" s="59"/>
      <c r="I88" s="59"/>
      <c r="J88" s="59"/>
      <c r="K88" s="59"/>
    </row>
    <row r="89" spans="1:11" x14ac:dyDescent="0.35">
      <c r="A89" s="21" t="s">
        <v>232</v>
      </c>
      <c r="B89" s="22" t="s">
        <v>127</v>
      </c>
      <c r="C89" s="61">
        <v>0.57441353161246922</v>
      </c>
      <c r="D89" s="61">
        <v>0.60572543063000028</v>
      </c>
      <c r="E89" s="61">
        <v>8.7353934480000006E-2</v>
      </c>
      <c r="F89" s="8" t="s">
        <v>17</v>
      </c>
      <c r="G89" s="59"/>
      <c r="H89" s="59"/>
      <c r="I89" s="59"/>
      <c r="J89" s="59"/>
      <c r="K89" s="59"/>
    </row>
    <row r="90" spans="1:11" x14ac:dyDescent="0.35">
      <c r="A90" s="5" t="s">
        <v>247</v>
      </c>
      <c r="B90" s="7" t="s">
        <v>163</v>
      </c>
      <c r="C90" s="62">
        <v>0.52610596913580243</v>
      </c>
      <c r="D90" s="62">
        <v>-5.7051129999999999</v>
      </c>
      <c r="E90" s="62">
        <v>0.120388</v>
      </c>
      <c r="F90" s="6" t="s">
        <v>10</v>
      </c>
      <c r="G90" s="59"/>
      <c r="H90" s="59"/>
      <c r="I90" s="59"/>
      <c r="J90" s="59"/>
      <c r="K90" s="59"/>
    </row>
    <row r="91" spans="1:11" x14ac:dyDescent="0.35">
      <c r="A91" s="21" t="s">
        <v>230</v>
      </c>
      <c r="B91" s="22" t="s">
        <v>128</v>
      </c>
      <c r="C91" s="61">
        <v>0.49986324074074068</v>
      </c>
      <c r="D91" s="61">
        <v>0.29236400000000001</v>
      </c>
      <c r="E91" s="61">
        <v>-3.0439999999999998E-2</v>
      </c>
      <c r="F91" s="8" t="s">
        <v>167</v>
      </c>
      <c r="G91" s="59"/>
      <c r="H91" s="59"/>
      <c r="I91" s="59"/>
      <c r="J91" s="59"/>
      <c r="K91" s="59"/>
    </row>
    <row r="92" spans="1:11" x14ac:dyDescent="0.35">
      <c r="A92" s="5" t="s">
        <v>256</v>
      </c>
      <c r="B92" s="7" t="s">
        <v>257</v>
      </c>
      <c r="C92" s="62">
        <v>0.45673672308641972</v>
      </c>
      <c r="D92" s="62">
        <v>-9.7584949999999999</v>
      </c>
      <c r="E92" s="62">
        <v>-0.177228</v>
      </c>
      <c r="F92" s="6" t="s">
        <v>15</v>
      </c>
      <c r="G92" s="59"/>
      <c r="H92" s="59"/>
      <c r="I92" s="59"/>
      <c r="J92" s="59"/>
      <c r="K92" s="59"/>
    </row>
    <row r="93" spans="1:11" x14ac:dyDescent="0.35">
      <c r="A93" s="21" t="s">
        <v>251</v>
      </c>
      <c r="B93" s="22" t="s">
        <v>161</v>
      </c>
      <c r="C93" s="61">
        <v>0.44073203703703701</v>
      </c>
      <c r="D93" s="61">
        <v>-1.2283090000000001</v>
      </c>
      <c r="E93" s="61">
        <v>8.4719000000000003E-2</v>
      </c>
      <c r="F93" s="8" t="s">
        <v>14</v>
      </c>
      <c r="G93" s="59"/>
      <c r="H93" s="59"/>
      <c r="I93" s="59"/>
      <c r="J93" s="59"/>
      <c r="K93" s="59"/>
    </row>
    <row r="94" spans="1:11" x14ac:dyDescent="0.35">
      <c r="A94" s="5" t="s">
        <v>263</v>
      </c>
      <c r="B94" s="7" t="s">
        <v>264</v>
      </c>
      <c r="C94" s="62">
        <v>0.42893390864197534</v>
      </c>
      <c r="D94" s="62">
        <v>3.0842737000000002</v>
      </c>
      <c r="E94" s="62">
        <v>0.38610749999999999</v>
      </c>
      <c r="F94" s="6" t="s">
        <v>166</v>
      </c>
      <c r="G94" s="59"/>
      <c r="H94" s="59"/>
      <c r="I94" s="59"/>
      <c r="J94" s="59"/>
      <c r="K94" s="59"/>
    </row>
    <row r="95" spans="1:11" x14ac:dyDescent="0.35">
      <c r="A95" s="21" t="s">
        <v>254</v>
      </c>
      <c r="B95" s="22" t="s">
        <v>255</v>
      </c>
      <c r="C95" s="61">
        <v>0.41094772839506166</v>
      </c>
      <c r="D95" s="61">
        <v>0.21442800000000001</v>
      </c>
      <c r="E95" s="61">
        <v>2.359E-2</v>
      </c>
      <c r="F95" s="8" t="s">
        <v>16</v>
      </c>
      <c r="G95" s="59"/>
      <c r="H95" s="59"/>
      <c r="I95" s="59"/>
      <c r="J95" s="59"/>
      <c r="K95" s="59"/>
    </row>
    <row r="96" spans="1:11" x14ac:dyDescent="0.35">
      <c r="A96" s="5" t="s">
        <v>239</v>
      </c>
      <c r="B96" s="7" t="s">
        <v>159</v>
      </c>
      <c r="C96" s="62">
        <v>0.39829529640617289</v>
      </c>
      <c r="D96" s="62">
        <v>4.3208014196000004</v>
      </c>
      <c r="E96" s="62">
        <v>-0.1383189406</v>
      </c>
      <c r="F96" s="6" t="s">
        <v>167</v>
      </c>
      <c r="G96" s="59"/>
      <c r="H96" s="59"/>
      <c r="I96" s="59"/>
      <c r="J96" s="59"/>
      <c r="K96" s="59"/>
    </row>
    <row r="97" spans="1:11" x14ac:dyDescent="0.35">
      <c r="A97" s="21" t="s">
        <v>248</v>
      </c>
      <c r="B97" s="22" t="s">
        <v>135</v>
      </c>
      <c r="C97" s="61">
        <v>0.38044890123456793</v>
      </c>
      <c r="D97" s="61">
        <v>-1.2469265</v>
      </c>
      <c r="E97" s="61">
        <v>-6.0383999999999972E-2</v>
      </c>
      <c r="F97" s="8" t="s">
        <v>17</v>
      </c>
      <c r="G97" s="59"/>
      <c r="H97" s="59"/>
      <c r="I97" s="59"/>
      <c r="J97" s="59"/>
      <c r="K97" s="59"/>
    </row>
    <row r="98" spans="1:11" x14ac:dyDescent="0.35">
      <c r="A98" s="5" t="s">
        <v>265</v>
      </c>
      <c r="B98" s="7" t="s">
        <v>266</v>
      </c>
      <c r="C98" s="62">
        <v>0.36488132469135803</v>
      </c>
      <c r="D98" s="62">
        <v>3.9988380000000001</v>
      </c>
      <c r="E98" s="62">
        <v>3.8709999999999999E-3</v>
      </c>
      <c r="F98" s="6" t="s">
        <v>11</v>
      </c>
      <c r="G98" s="59"/>
      <c r="H98" s="59"/>
      <c r="I98" s="59"/>
      <c r="J98" s="59"/>
      <c r="K98" s="59"/>
    </row>
    <row r="99" spans="1:11" x14ac:dyDescent="0.35">
      <c r="A99" s="21" t="s">
        <v>250</v>
      </c>
      <c r="B99" s="22" t="s">
        <v>156</v>
      </c>
      <c r="C99" s="61">
        <v>0.35931388486419752</v>
      </c>
      <c r="D99" s="61">
        <v>-5.6232142999999999</v>
      </c>
      <c r="E99" s="61">
        <v>0.39118929999999996</v>
      </c>
      <c r="F99" s="8" t="s">
        <v>16</v>
      </c>
      <c r="G99" s="59"/>
      <c r="H99" s="59"/>
      <c r="I99" s="59"/>
      <c r="J99" s="59"/>
      <c r="K99" s="59"/>
    </row>
    <row r="100" spans="1:11" x14ac:dyDescent="0.35">
      <c r="A100" s="5" t="s">
        <v>258</v>
      </c>
      <c r="B100" s="7" t="s">
        <v>259</v>
      </c>
      <c r="C100" s="62">
        <v>0.35558257407407412</v>
      </c>
      <c r="D100" s="62">
        <v>-1.6662304999999999</v>
      </c>
      <c r="E100" s="62">
        <v>-0.16916900000000001</v>
      </c>
      <c r="F100" s="6" t="s">
        <v>17</v>
      </c>
      <c r="G100" s="59"/>
      <c r="H100" s="59"/>
      <c r="I100" s="59"/>
      <c r="J100" s="59"/>
      <c r="K100" s="59"/>
    </row>
    <row r="101" spans="1:11" x14ac:dyDescent="0.35">
      <c r="A101" s="52" t="s">
        <v>267</v>
      </c>
      <c r="B101" s="53" t="s">
        <v>268</v>
      </c>
      <c r="C101" s="63">
        <v>0.34121860493827155</v>
      </c>
      <c r="D101" s="63">
        <v>-5.7663849999999996</v>
      </c>
      <c r="E101" s="63">
        <v>-0.181669</v>
      </c>
      <c r="F101" s="9" t="s">
        <v>13</v>
      </c>
      <c r="G101" s="59"/>
      <c r="H101" s="59"/>
      <c r="I101" s="59"/>
      <c r="J101" s="59"/>
      <c r="K101" s="59"/>
    </row>
    <row r="102" spans="1:11" x14ac:dyDescent="0.35">
      <c r="A102" s="49"/>
      <c r="B102" s="10"/>
      <c r="C102" s="10"/>
      <c r="D102" s="10"/>
      <c r="E102" s="10"/>
      <c r="F102" s="50"/>
      <c r="H102" s="42"/>
      <c r="J102" s="43"/>
    </row>
    <row r="104" spans="1:11" x14ac:dyDescent="0.35">
      <c r="A104" s="11" t="s">
        <v>67</v>
      </c>
    </row>
    <row r="105" spans="1:11" x14ac:dyDescent="0.35">
      <c r="A105" s="11" t="s">
        <v>82</v>
      </c>
    </row>
    <row r="106" spans="1:11" x14ac:dyDescent="0.35">
      <c r="A106" s="11" t="s">
        <v>145</v>
      </c>
    </row>
    <row r="107" spans="1:11" x14ac:dyDescent="0.35">
      <c r="A107" s="11" t="s">
        <v>144</v>
      </c>
    </row>
    <row r="108" spans="1:11" x14ac:dyDescent="0.35">
      <c r="A108" s="11" t="s">
        <v>151</v>
      </c>
    </row>
    <row r="109" spans="1:11" x14ac:dyDescent="0.3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72 B82 B3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Emelia Tan Wan Yi</cp:lastModifiedBy>
  <cp:lastPrinted>2021-05-10T01:23:04Z</cp:lastPrinted>
  <dcterms:created xsi:type="dcterms:W3CDTF">2020-01-13T01:31:10Z</dcterms:created>
  <dcterms:modified xsi:type="dcterms:W3CDTF">2024-04-29T07:06:14Z</dcterms:modified>
</cp:coreProperties>
</file>