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mc:AlternateContent xmlns:mc="http://schemas.openxmlformats.org/markup-compatibility/2006">
    <mc:Choice Requires="x15">
      <x15ac:absPath xmlns:x15ac="http://schemas.microsoft.com/office/spreadsheetml/2010/11/ac" url="C:\Users\ANGK\Downloads\"/>
    </mc:Choice>
  </mc:AlternateContent>
  <xr:revisionPtr revIDLastSave="0" documentId="13_ncr:1_{1A87E356-E667-4FBC-BE84-0028A0C04D62}" xr6:coauthVersionLast="47" xr6:coauthVersionMax="47" xr10:uidLastSave="{00000000-0000-0000-0000-000000000000}"/>
  <bookViews>
    <workbookView xWindow="-25320" yWindow="-16005" windowWidth="25440" windowHeight="1527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A6" i="3" l="1"/>
  <c r="A5" i="3"/>
  <c r="A4" i="3"/>
  <c r="A3" i="3"/>
  <c r="A6" i="2"/>
  <c r="A5" i="2"/>
  <c r="A4" i="2"/>
  <c r="A3" i="2"/>
  <c r="C32" i="4" l="1"/>
  <c r="F5" i="1" l="1"/>
  <c r="C18" i="1"/>
  <c r="F18" i="1" s="1"/>
  <c r="D32" i="4" l="1"/>
  <c r="A1" i="4" l="1"/>
</calcChain>
</file>

<file path=xl/sharedStrings.xml><?xml version="1.0" encoding="utf-8"?>
<sst xmlns="http://schemas.openxmlformats.org/spreadsheetml/2006/main" count="517" uniqueCount="280">
  <si>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</si>
  <si>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</si>
  <si>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</si>
  <si>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</si>
  <si>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</si>
  <si>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</si>
  <si>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</si>
  <si>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</si>
  <si>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</si>
  <si>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</si>
  <si>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</si>
  <si>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</si>
  <si>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</si>
  <si>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</si>
  <si>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</si>
  <si>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</si>
  <si>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</si>
  <si>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</si>
  <si>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</si>
  <si>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</si>
  <si>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</si>
  <si>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</si>
  <si>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</si>
  <si>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</si>
  <si>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</si>
  <si>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</si>
  <si>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</si>
  <si>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</si>
  <si>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</si>
  <si>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</si>
  <si>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</si>
  <si>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</si>
  <si>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</si>
  <si>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</si>
  <si>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</si>
  <si>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</si>
  <si>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</si>
  <si>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</si>
  <si>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</si>
  <si>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</si>
  <si>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</si>
  <si>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</si>
  <si>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</si>
  <si>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</si>
  <si>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</si>
  <si>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</si>
  <si>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</si>
  <si>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</si>
  <si>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</si>
  <si>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</si>
  <si>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</si>
  <si>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</si>
  <si>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</si>
  <si>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</si>
  <si>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</si>
  <si>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</si>
  <si>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</si>
  <si>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</si>
  <si>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</si>
  <si>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</si>
  <si>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</si>
  <si>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</si>
  <si>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</si>
  <si>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</si>
  <si>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</si>
  <si>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</si>
  <si>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</si>
  <si>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</si>
  <si>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</si>
  <si>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</si>
  <si>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</si>
  <si>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</si>
  <si>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</si>
  <si>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</si>
  <si>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</si>
  <si>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</si>
  <si>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</si>
  <si>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</si>
  <si>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</si>
  <si>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</si>
  <si>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</si>
  <si>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</si>
  <si>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</si>
  <si>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</si>
  <si>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</si>
  <si>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</si>
  <si>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</si>
  <si>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</si>
  <si>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</si>
  <si>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</si>
  <si>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</si>
  <si>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</si>
  <si>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CMOU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</si>
  <si>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</si>
  <si>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</si>
  <si>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</si>
  <si>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</si>
  <si>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</si>
  <si>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</si>
  <si>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</si>
  <si>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</si>
  <si>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</si>
  <si>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</si>
  <si>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</si>
  <si>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</si>
  <si>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</si>
  <si>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</si>
  <si>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</si>
  <si>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</si>
  <si>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</si>
  <si>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</si>
  <si>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</si>
  <si>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</si>
  <si>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</si>
  <si>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</si>
  <si>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</si>
  <si>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</si>
  <si>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</si>
  <si>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</si>
  <si>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</si>
  <si>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</si>
  <si>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</si>
  <si>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</si>
  <si>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</si>
  <si>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</si>
  <si>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</si>
  <si>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</si>
  <si>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</si>
  <si>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</si>
  <si>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</si>
  <si>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</si>
  <si>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</si>
  <si>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</si>
  <si>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</si>
  <si>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</si>
  <si>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</si>
  <si>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8AZ</t>
  </si>
  <si>
    <t xml:space="preserve">Note that the above list of 100 most traded stocks is on a year-to-date basis and may include stocks that are currently suspended for trading. </t>
  </si>
  <si>
    <t>544</t>
  </si>
  <si>
    <t>Keppel</t>
  </si>
  <si>
    <t>F83</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</si>
  <si>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</si>
  <si>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</si>
  <si>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</si>
  <si>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</si>
  <si>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</si>
  <si>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</si>
  <si>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</si>
  <si>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</si>
  <si>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</si>
  <si>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</si>
  <si>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</si>
  <si>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</si>
  <si>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</si>
  <si>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</si>
  <si>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</si>
  <si>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</si>
  <si>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</si>
  <si>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</si>
  <si>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</si>
  <si>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</si>
  <si>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</si>
  <si>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</si>
  <si>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</si>
  <si>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</si>
  <si>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</si>
  <si>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</si>
  <si>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</si>
  <si>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</si>
  <si>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</si>
  <si>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</si>
  <si>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</si>
  <si>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</si>
  <si>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</si>
  <si>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</si>
  <si>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</si>
  <si>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</si>
  <si>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</si>
  <si>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</si>
  <si>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</si>
  <si>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</si>
  <si>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</si>
  <si>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</si>
  <si>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</si>
  <si>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</si>
  <si>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</si>
  <si>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</si>
  <si>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</si>
  <si>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</si>
  <si>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</si>
  <si>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</si>
  <si>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</si>
  <si>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</si>
  <si>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</si>
  <si>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</si>
  <si>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</si>
  <si>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</si>
  <si>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</si>
  <si>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</si>
  <si>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</si>
  <si>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</si>
  <si>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KepPacOakReitUSD</t>
  </si>
  <si>
    <t>Raffles Medical</t>
  </si>
  <si>
    <t>Olam Group</t>
  </si>
  <si>
    <t>Top Glove</t>
  </si>
  <si>
    <t>SingPost</t>
  </si>
  <si>
    <t>ManulifeReit USD</t>
  </si>
  <si>
    <t>OUEREIT</t>
  </si>
  <si>
    <t>Prime US ReitUSD</t>
  </si>
  <si>
    <t>PARAGONREIT</t>
  </si>
  <si>
    <t>Aztech Gbl</t>
  </si>
  <si>
    <t>RH PetroGas</t>
  </si>
  <si>
    <t>China Aviation</t>
  </si>
  <si>
    <t>MarcoPolo Marine</t>
  </si>
  <si>
    <t>CSE Global</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</si>
  <si>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</si>
  <si>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</si>
  <si>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</si>
  <si>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</si>
  <si>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</si>
  <si>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</si>
  <si>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</si>
  <si>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</si>
  <si>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</si>
  <si>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</si>
  <si>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</si>
  <si>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</si>
  <si>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</si>
  <si>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</si>
  <si>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</si>
  <si>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</si>
  <si>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</si>
  <si>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</si>
  <si>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</si>
  <si>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</si>
  <si>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BQD</t>
  </si>
  <si>
    <t>Past 4 Sessions Institution Net Buy (+) / Net Sell (-) (S$M)</t>
  </si>
  <si>
    <t xml:space="preserve">AEM </t>
  </si>
  <si>
    <t>Frasers Hospitality Trust</t>
  </si>
  <si>
    <t>ACV</t>
  </si>
  <si>
    <t>Keppel DC REIT</t>
  </si>
  <si>
    <t>Rex International</t>
  </si>
  <si>
    <t>iFast Corporation</t>
  </si>
  <si>
    <t>Nio</t>
  </si>
  <si>
    <t>Suntec REIT</t>
  </si>
  <si>
    <t>Seatrium Ltd</t>
  </si>
  <si>
    <t>Frasers HTrust</t>
  </si>
  <si>
    <t>Envictus</t>
  </si>
  <si>
    <t>Hong Leong Asia</t>
  </si>
  <si>
    <t>H22</t>
  </si>
  <si>
    <t>GKE</t>
  </si>
  <si>
    <t>595</t>
  </si>
  <si>
    <t>Grand Venture</t>
  </si>
  <si>
    <t>JLB</t>
  </si>
  <si>
    <t>PropNex</t>
  </si>
  <si>
    <t>OYY</t>
  </si>
  <si>
    <t>GS Hldg</t>
  </si>
  <si>
    <t>43A</t>
  </si>
  <si>
    <t>TJ DaRenTang USD</t>
  </si>
  <si>
    <t>T14</t>
  </si>
  <si>
    <t>Stoneweg Reit EUR</t>
  </si>
  <si>
    <t>UtdHampshReitUSD</t>
  </si>
  <si>
    <t>ODBU</t>
  </si>
  <si>
    <t>Koh Eco</t>
  </si>
  <si>
    <t>5HV</t>
  </si>
  <si>
    <t>AdvancedSystems</t>
  </si>
  <si>
    <t>WJ9</t>
  </si>
  <si>
    <t>TheHourGlass</t>
  </si>
  <si>
    <t>AGS</t>
  </si>
  <si>
    <t>ChinaSunsine</t>
  </si>
  <si>
    <t>QES</t>
  </si>
  <si>
    <t>First Reit</t>
  </si>
  <si>
    <t>AW9U</t>
  </si>
  <si>
    <t>WinkingStudios</t>
  </si>
  <si>
    <t>WKS</t>
  </si>
  <si>
    <t>LHN</t>
  </si>
  <si>
    <t>41O</t>
  </si>
  <si>
    <t>Week of 30 December 2024</t>
  </si>
  <si>
    <r>
      <t xml:space="preserve">Institutional investors net </t>
    </r>
    <r>
      <rPr>
        <b/>
        <sz val="11"/>
        <rFont val="Arial"/>
        <family val="2"/>
      </rPr>
      <t>sell</t>
    </r>
    <r>
      <rPr>
        <sz val="11"/>
        <rFont val="Arial"/>
        <family val="2"/>
      </rPr>
      <t xml:space="preserve"> (-S$130.9m) vs. (+S$52.9m) a week ago</t>
    </r>
  </si>
  <si>
    <r>
      <t xml:space="preserve">Retail investors net </t>
    </r>
    <r>
      <rPr>
        <b/>
        <sz val="11"/>
        <rFont val="Arial"/>
        <family val="2"/>
      </rPr>
      <t>sell</t>
    </r>
    <r>
      <rPr>
        <sz val="11"/>
        <rFont val="Arial"/>
        <family val="2"/>
      </rPr>
      <t xml:space="preserve"> (-S$49.8m) vs. (-S$73.6m)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</si>
</sst>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90625" style="2" bestFit="1" customWidth="1"/>
    <col min="8" max="8" width="30" style="2" bestFit="1" customWidth="1"/>
    <col min="9" max="9" width="12.08984375" style="40" bestFit="1" customWidth="1"/>
    <col min="10" max="10" width="37.90625" style="2" bestFit="1" customWidth="1"/>
    <col min="11" max="11" width="30" style="2" bestFit="1" customWidth="1"/>
    <col min="12" max="12" width="10.54296875" style="2" bestFit="1" customWidth="1"/>
    <col min="13" max="16384" width="9.453125" style="2"/>
  </cols>
  <sheetData>
    <row r="1" spans="1:13" x14ac:dyDescent="0.3">
      <c r="A1" s="1" t="s">
        <v>277</v>
      </c>
      <c r="C1" s="81"/>
    </row>
    <row r="2" spans="1:13" x14ac:dyDescent="0.3">
      <c r="A2" s="69" t="s">
        <v>278</v>
      </c>
      <c r="I2" s="50"/>
    </row>
    <row r="3" spans="1:13" x14ac:dyDescent="0.3">
      <c r="A3" s="69" t="s">
        <v>279</v>
      </c>
      <c r="I3" s="50"/>
    </row>
    <row r="5" spans="1:13" ht="29.25" customHeight="1" x14ac:dyDescent="0.3">
      <c r="A5" s="3" t="s">
        <v>0</v>
      </c>
      <c r="B5" s="3" t="s">
        <v>1</v>
      </c>
      <c r="C5" s="4" t="s">
        <v>277</v>
      </c>
      <c r="D5" s="60" t="s">
        <v>2</v>
      </c>
      <c r="E5" s="60" t="s">
        <v>1</v>
      </c>
      <c r="F5" s="61" t="str">
        <f>+C5</f>
        <v>Week of 30 December 2024</v>
      </c>
      <c r="I5" s="2"/>
    </row>
    <row r="6" spans="1:13" ht="14.5" x14ac:dyDescent="0.35">
      <c r="A6" s="34" t="s">
        <v>134</v>
      </c>
      <c r="B6" s="63" t="s">
        <v>222</v>
      </c>
      <c r="C6" s="6">
        <v>25.148001000000001</v>
      </c>
      <c r="D6" s="34" t="s">
        <v>26</v>
      </c>
      <c r="E6" s="63" t="s">
        <v>21</v>
      </c>
      <c r="F6" s="6">
        <v>-72.788630999999995</v>
      </c>
      <c r="G6"/>
      <c r="H6"/>
      <c r="I6" s="2"/>
      <c r="M6"/>
    </row>
    <row r="7" spans="1:13" ht="14.5" x14ac:dyDescent="0.35">
      <c r="A7" s="35" t="s">
        <v>39</v>
      </c>
      <c r="B7" s="10" t="s">
        <v>37</v>
      </c>
      <c r="C7" s="8">
        <v>9.1383050000000008</v>
      </c>
      <c r="D7" s="35" t="s">
        <v>27</v>
      </c>
      <c r="E7" s="10" t="s">
        <v>22</v>
      </c>
      <c r="F7" s="8">
        <v>-31.387080000000001</v>
      </c>
      <c r="G7"/>
      <c r="H7"/>
      <c r="I7" s="2"/>
      <c r="L7"/>
      <c r="M7"/>
    </row>
    <row r="8" spans="1:13" ht="14.5" x14ac:dyDescent="0.35">
      <c r="A8" s="36" t="s">
        <v>237</v>
      </c>
      <c r="B8" s="63" t="s">
        <v>88</v>
      </c>
      <c r="C8" s="6">
        <v>6.3666320000000001</v>
      </c>
      <c r="D8" s="36" t="s">
        <v>49</v>
      </c>
      <c r="E8" s="63" t="s">
        <v>47</v>
      </c>
      <c r="F8" s="6">
        <v>-20.574503100000001</v>
      </c>
      <c r="G8"/>
      <c r="H8"/>
      <c r="I8" s="2"/>
      <c r="L8"/>
      <c r="M8"/>
    </row>
    <row r="9" spans="1:13" ht="14.5" x14ac:dyDescent="0.35">
      <c r="A9" s="35" t="s">
        <v>45</v>
      </c>
      <c r="B9" s="10" t="s">
        <v>42</v>
      </c>
      <c r="C9" s="8">
        <v>5.2648780000000004</v>
      </c>
      <c r="D9" s="35" t="s">
        <v>61</v>
      </c>
      <c r="E9" s="10" t="s">
        <v>53</v>
      </c>
      <c r="F9" s="8">
        <v>-9.2971400000000006</v>
      </c>
      <c r="G9"/>
      <c r="H9"/>
      <c r="I9" s="2"/>
      <c r="L9"/>
      <c r="M9"/>
    </row>
    <row r="10" spans="1:13" ht="14.5" x14ac:dyDescent="0.35">
      <c r="A10" s="36" t="s">
        <v>40</v>
      </c>
      <c r="B10" s="63" t="s">
        <v>38</v>
      </c>
      <c r="C10" s="6">
        <v>2.408461</v>
      </c>
      <c r="D10" s="36" t="s">
        <v>214</v>
      </c>
      <c r="E10" s="63" t="s">
        <v>138</v>
      </c>
      <c r="F10" s="6">
        <v>-5.8211765</v>
      </c>
      <c r="G10"/>
      <c r="H10"/>
      <c r="I10" s="2"/>
      <c r="L10"/>
      <c r="M10"/>
    </row>
    <row r="11" spans="1:13" ht="14.5" x14ac:dyDescent="0.35">
      <c r="A11" s="35" t="s">
        <v>204</v>
      </c>
      <c r="B11" s="10" t="s">
        <v>122</v>
      </c>
      <c r="C11" s="8">
        <v>2.1357370000000002</v>
      </c>
      <c r="D11" s="35" t="s">
        <v>29</v>
      </c>
      <c r="E11" s="10" t="s">
        <v>24</v>
      </c>
      <c r="F11" s="8">
        <v>-5.5631529999999998</v>
      </c>
      <c r="G11"/>
      <c r="H11"/>
      <c r="I11" s="2"/>
      <c r="L11"/>
      <c r="M11"/>
    </row>
    <row r="12" spans="1:13" ht="14.5" x14ac:dyDescent="0.35">
      <c r="A12" s="36" t="s">
        <v>224</v>
      </c>
      <c r="B12" s="63" t="s">
        <v>58</v>
      </c>
      <c r="C12" s="6">
        <v>1.6432119999999999</v>
      </c>
      <c r="D12" s="36" t="s">
        <v>84</v>
      </c>
      <c r="E12" s="63" t="s">
        <v>83</v>
      </c>
      <c r="F12" s="6">
        <v>-5.5188329999999999</v>
      </c>
      <c r="G12"/>
      <c r="H12"/>
      <c r="I12" s="2"/>
      <c r="L12"/>
      <c r="M12"/>
    </row>
    <row r="13" spans="1:13" ht="14.5" x14ac:dyDescent="0.35">
      <c r="A13" s="35" t="s">
        <v>238</v>
      </c>
      <c r="B13" s="10" t="s">
        <v>239</v>
      </c>
      <c r="C13" s="8">
        <v>1.6008475</v>
      </c>
      <c r="D13" s="35" t="s">
        <v>44</v>
      </c>
      <c r="E13" s="10" t="s">
        <v>41</v>
      </c>
      <c r="F13" s="8">
        <v>-5.1122110000000003</v>
      </c>
      <c r="G13"/>
      <c r="H13"/>
      <c r="I13" s="2"/>
      <c r="L13"/>
      <c r="M13"/>
    </row>
    <row r="14" spans="1:13" ht="14.5" x14ac:dyDescent="0.35">
      <c r="A14" s="36" t="s">
        <v>240</v>
      </c>
      <c r="B14" s="63" t="s">
        <v>76</v>
      </c>
      <c r="C14" s="6">
        <v>1.5096020000000001</v>
      </c>
      <c r="D14" s="36" t="s">
        <v>77</v>
      </c>
      <c r="E14" s="63" t="s">
        <v>56</v>
      </c>
      <c r="F14" s="6">
        <v>-4.4513239999999996</v>
      </c>
      <c r="G14"/>
      <c r="H14"/>
      <c r="I14" s="2"/>
      <c r="L14"/>
      <c r="M14"/>
    </row>
    <row r="15" spans="1:13" ht="14.5" x14ac:dyDescent="0.35">
      <c r="A15" s="37" t="s">
        <v>241</v>
      </c>
      <c r="B15" s="33" t="s">
        <v>102</v>
      </c>
      <c r="C15" s="9">
        <v>1.5064123</v>
      </c>
      <c r="D15" s="37" t="s">
        <v>36</v>
      </c>
      <c r="E15" s="33" t="s">
        <v>35</v>
      </c>
      <c r="F15" s="9">
        <v>-4.3067665000000002</v>
      </c>
      <c r="G15"/>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30 December 2024</v>
      </c>
      <c r="D18" s="62" t="s">
        <v>4</v>
      </c>
      <c r="E18" s="60" t="s">
        <v>1</v>
      </c>
      <c r="F18" s="61" t="str">
        <f>+C18</f>
        <v>Week of 30 December 2024</v>
      </c>
    </row>
    <row r="19" spans="1:9" ht="14.5" x14ac:dyDescent="0.35">
      <c r="A19" s="36" t="s">
        <v>26</v>
      </c>
      <c r="B19" s="63" t="s">
        <v>21</v>
      </c>
      <c r="C19" s="20">
        <v>19.656464</v>
      </c>
      <c r="D19" s="36" t="s">
        <v>134</v>
      </c>
      <c r="E19" s="19" t="s">
        <v>222</v>
      </c>
      <c r="F19" s="6">
        <v>-62.920257999999997</v>
      </c>
      <c r="G19"/>
      <c r="I19" s="2"/>
    </row>
    <row r="20" spans="1:9" ht="14.5" x14ac:dyDescent="0.35">
      <c r="A20" s="35" t="s">
        <v>27</v>
      </c>
      <c r="B20" s="10" t="s">
        <v>22</v>
      </c>
      <c r="C20" s="8">
        <v>13.345285000000001</v>
      </c>
      <c r="D20" s="35" t="s">
        <v>39</v>
      </c>
      <c r="E20" s="22" t="s">
        <v>37</v>
      </c>
      <c r="F20" s="8">
        <v>-10.518293999999999</v>
      </c>
      <c r="G20"/>
      <c r="I20" s="2"/>
    </row>
    <row r="21" spans="1:9" ht="14.5" x14ac:dyDescent="0.35">
      <c r="A21" s="36" t="s">
        <v>49</v>
      </c>
      <c r="B21" s="63" t="s">
        <v>47</v>
      </c>
      <c r="C21" s="6">
        <v>8.2639725000000013</v>
      </c>
      <c r="D21" s="36" t="s">
        <v>237</v>
      </c>
      <c r="E21" s="7" t="s">
        <v>88</v>
      </c>
      <c r="F21" s="6">
        <v>-10.176246000000001</v>
      </c>
      <c r="G21"/>
      <c r="I21" s="2"/>
    </row>
    <row r="22" spans="1:9" ht="14.5" x14ac:dyDescent="0.35">
      <c r="A22" s="35" t="s">
        <v>214</v>
      </c>
      <c r="B22" s="10" t="s">
        <v>138</v>
      </c>
      <c r="C22" s="8">
        <v>5.2944595000000003</v>
      </c>
      <c r="D22" s="35" t="s">
        <v>77</v>
      </c>
      <c r="E22" s="22" t="s">
        <v>56</v>
      </c>
      <c r="F22" s="8">
        <v>-4.1426470000000002</v>
      </c>
      <c r="G22"/>
      <c r="I22" s="2"/>
    </row>
    <row r="23" spans="1:9" ht="14.5" x14ac:dyDescent="0.35">
      <c r="A23" s="36" t="s">
        <v>84</v>
      </c>
      <c r="B23" s="63" t="s">
        <v>83</v>
      </c>
      <c r="C23" s="6">
        <v>3.6962519999999999</v>
      </c>
      <c r="D23" s="36" t="s">
        <v>28</v>
      </c>
      <c r="E23" s="7" t="s">
        <v>23</v>
      </c>
      <c r="F23" s="6">
        <v>-3.6951399999999999</v>
      </c>
      <c r="G23"/>
      <c r="I23" s="2"/>
    </row>
    <row r="24" spans="1:9" ht="14.5" x14ac:dyDescent="0.35">
      <c r="A24" s="35" t="s">
        <v>242</v>
      </c>
      <c r="B24" s="10" t="s">
        <v>120</v>
      </c>
      <c r="C24" s="8">
        <v>3.4958939999999998</v>
      </c>
      <c r="D24" s="35" t="s">
        <v>244</v>
      </c>
      <c r="E24" s="22" t="s">
        <v>87</v>
      </c>
      <c r="F24" s="8">
        <v>-3.6449630000000002</v>
      </c>
      <c r="G24"/>
      <c r="I24" s="2"/>
    </row>
    <row r="25" spans="1:9" ht="14.5" x14ac:dyDescent="0.35">
      <c r="A25" s="36" t="s">
        <v>36</v>
      </c>
      <c r="B25" s="63" t="s">
        <v>35</v>
      </c>
      <c r="C25" s="6">
        <v>2.5190389999999998</v>
      </c>
      <c r="D25" s="36" t="s">
        <v>241</v>
      </c>
      <c r="E25" s="7" t="s">
        <v>102</v>
      </c>
      <c r="F25" s="6">
        <v>-2.9813951000000012</v>
      </c>
      <c r="G25"/>
      <c r="I25" s="2"/>
    </row>
    <row r="26" spans="1:9" ht="14.5" x14ac:dyDescent="0.35">
      <c r="A26" s="35" t="s">
        <v>79</v>
      </c>
      <c r="B26" s="10" t="s">
        <v>78</v>
      </c>
      <c r="C26" s="8">
        <v>2.4533830000000001</v>
      </c>
      <c r="D26" s="35" t="s">
        <v>45</v>
      </c>
      <c r="E26" s="22" t="s">
        <v>42</v>
      </c>
      <c r="F26" s="8">
        <v>-2.8207740000000001</v>
      </c>
      <c r="G26"/>
      <c r="I26" s="2"/>
    </row>
    <row r="27" spans="1:9" ht="14.5" x14ac:dyDescent="0.35">
      <c r="A27" s="36" t="s">
        <v>75</v>
      </c>
      <c r="B27" s="63" t="s">
        <v>74</v>
      </c>
      <c r="C27" s="6">
        <v>2.3486120000000001</v>
      </c>
      <c r="D27" s="36" t="s">
        <v>86</v>
      </c>
      <c r="E27" s="7" t="s">
        <v>25</v>
      </c>
      <c r="F27" s="6">
        <v>-2.813151</v>
      </c>
      <c r="G27"/>
      <c r="I27" s="2"/>
    </row>
    <row r="28" spans="1:9" ht="14.5" x14ac:dyDescent="0.35">
      <c r="A28" s="33" t="s">
        <v>243</v>
      </c>
      <c r="B28" s="76" t="s">
        <v>113</v>
      </c>
      <c r="C28" s="9">
        <v>2.1195824769299998</v>
      </c>
      <c r="D28" s="33" t="s">
        <v>175</v>
      </c>
      <c r="E28" s="76" t="s">
        <v>223</v>
      </c>
      <c r="F28" s="9">
        <v>-2.5002550000000001</v>
      </c>
      <c r="G28"/>
      <c r="I28" s="2"/>
    </row>
    <row r="29" spans="1:9" x14ac:dyDescent="0.3">
      <c r="A29" s="10"/>
      <c r="B29" s="10"/>
      <c r="C29" s="10"/>
      <c r="D29" s="10"/>
      <c r="E29" s="10"/>
      <c r="F29" s="10"/>
    </row>
    <row r="30" spans="1:9" ht="14.5" x14ac:dyDescent="0.35">
      <c r="A30" s="11" t="s">
        <v>217</v>
      </c>
      <c r="B30" s="11"/>
      <c r="C30" s="10"/>
      <c r="D30" s="10"/>
      <c r="E30" s="10"/>
      <c r="F30" s="10"/>
    </row>
    <row r="31" spans="1:9" ht="14.5" x14ac:dyDescent="0.35">
      <c r="A31" s="11" t="s">
        <v>80</v>
      </c>
      <c r="B31" s="11"/>
      <c r="C31" s="10"/>
      <c r="D31" s="10"/>
      <c r="E31" s="10"/>
      <c r="F31" s="10"/>
    </row>
    <row r="32" spans="1:9" ht="14.5" x14ac:dyDescent="0.35">
      <c r="A32" s="11" t="s">
        <v>218</v>
      </c>
      <c r="B32" s="11"/>
      <c r="C32" s="10"/>
      <c r="D32" s="10"/>
      <c r="E32" s="10"/>
      <c r="F32" s="10"/>
    </row>
    <row r="33" spans="1:9" ht="14.5" x14ac:dyDescent="0.35">
      <c r="A33" s="11" t="s">
        <v>6</v>
      </c>
      <c r="B33" s="11"/>
      <c r="C33" s="10"/>
      <c r="D33" s="10"/>
      <c r="E33" s="10"/>
      <c r="F33" s="10"/>
    </row>
    <row r="34" spans="1:9" ht="14.5" x14ac:dyDescent="0.35">
      <c r="A34" s="79"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228</v>
      </c>
      <c r="B38" s="24"/>
      <c r="C38" s="25"/>
      <c r="D38" s="25"/>
      <c r="E38" s="24"/>
      <c r="F38" s="24"/>
      <c r="I38" s="38"/>
    </row>
    <row r="39" spans="1:9" s="30" customFormat="1" ht="19.399999999999999" customHeight="1" x14ac:dyDescent="0.35">
      <c r="A39" s="27" t="s">
        <v>227</v>
      </c>
      <c r="B39" s="28"/>
      <c r="C39" s="29"/>
      <c r="D39" s="29"/>
      <c r="E39" s="28"/>
      <c r="F39" s="28"/>
      <c r="I39" s="41"/>
    </row>
    <row r="40" spans="1:9" ht="169.4" customHeight="1" x14ac:dyDescent="0.3">
      <c r="A40" s="82" t="s">
        <v>233</v>
      </c>
      <c r="B40" s="82"/>
      <c r="C40" s="82"/>
      <c r="D40" s="82"/>
      <c r="E40" s="82"/>
      <c r="F40" s="82"/>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6:E18 B29:D29 E28 E19 E10 B6 B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3" t="s">
        <v>7</v>
      </c>
      <c r="B1" s="13"/>
      <c r="C1" s="85" t="s">
        <v>8</v>
      </c>
      <c r="D1" s="86"/>
      <c r="E1" s="86"/>
      <c r="F1" s="86"/>
      <c r="G1" s="86"/>
      <c r="H1" s="86"/>
      <c r="I1" s="86"/>
      <c r="J1" s="86"/>
      <c r="K1" s="86"/>
      <c r="L1" s="86"/>
      <c r="M1" s="86"/>
      <c r="N1" s="87"/>
    </row>
    <row r="2" spans="1:15" ht="56" x14ac:dyDescent="0.3">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-47.916420814390037</v>
      </c>
      <c r="B3" s="71">
        <v>45635</v>
      </c>
      <c r="C3" s="15">
        <v>-6.6528151670099973</v>
      </c>
      <c r="D3" s="15">
        <v>-13.257533636700003</v>
      </c>
      <c r="E3" s="15">
        <v>0.73315759999999985</v>
      </c>
      <c r="F3" s="15">
        <v>15.319360499999982</v>
      </c>
      <c r="G3" s="15">
        <v>-2.6499416066000001</v>
      </c>
      <c r="H3" s="15">
        <v>-18.345612069800005</v>
      </c>
      <c r="I3" s="15">
        <v>-1.0210559000000001</v>
      </c>
      <c r="J3" s="15">
        <v>-6.3260236088000017</v>
      </c>
      <c r="K3" s="15">
        <v>-72.896439025479992</v>
      </c>
      <c r="L3" s="15">
        <v>-9.3623608000000011</v>
      </c>
      <c r="M3" s="15">
        <v>55.939237200000001</v>
      </c>
      <c r="N3" s="15">
        <v>10.603605699999999</v>
      </c>
    </row>
    <row r="4" spans="1:15" x14ac:dyDescent="0.3">
      <c r="A4" s="44">
        <f>SUM(C4:N4)</f>
        <v>-385.68654815078008</v>
      </c>
      <c r="B4" s="12">
        <v>45642</v>
      </c>
      <c r="C4" s="70">
        <v>-26.943050952720011</v>
      </c>
      <c r="D4" s="70">
        <v>-48.157526405500008</v>
      </c>
      <c r="E4" s="70">
        <v>0.25680600000000003</v>
      </c>
      <c r="F4" s="70">
        <v>-161.29842869999999</v>
      </c>
      <c r="G4" s="70">
        <v>-0.91873577049999988</v>
      </c>
      <c r="H4" s="70">
        <v>-46.376271248910022</v>
      </c>
      <c r="I4" s="70">
        <v>0.75429459999999982</v>
      </c>
      <c r="J4" s="70">
        <v>-46.738397517200013</v>
      </c>
      <c r="K4" s="70">
        <v>-86.268981855950003</v>
      </c>
      <c r="L4" s="70">
        <v>-14.497907000000001</v>
      </c>
      <c r="M4" s="70">
        <v>50.159738700000005</v>
      </c>
      <c r="N4" s="70">
        <v>-5.6580880000000002</v>
      </c>
    </row>
    <row r="5" spans="1:15" x14ac:dyDescent="0.3">
      <c r="A5" s="44">
        <f>SUM(C5:N5)</f>
        <v>52.919452166730004</v>
      </c>
      <c r="B5" s="71">
        <v>45649</v>
      </c>
      <c r="C5" s="15">
        <v>-5.0262452848799999</v>
      </c>
      <c r="D5" s="15">
        <v>-2.1677648206</v>
      </c>
      <c r="E5" s="15">
        <v>-0.1800361000000002</v>
      </c>
      <c r="F5" s="15">
        <v>31.549363700000001</v>
      </c>
      <c r="G5" s="15">
        <v>2.932725878499999</v>
      </c>
      <c r="H5" s="15">
        <v>31.62345311188</v>
      </c>
      <c r="I5" s="15">
        <v>-0.9814174</v>
      </c>
      <c r="J5" s="15">
        <v>-1.0568429059</v>
      </c>
      <c r="K5" s="15">
        <v>-2.8612043122699991</v>
      </c>
      <c r="L5" s="15">
        <v>7.8703411999999986</v>
      </c>
      <c r="M5" s="15">
        <v>-10.595921799999999</v>
      </c>
      <c r="N5" s="15">
        <v>1.8130009</v>
      </c>
    </row>
    <row r="6" spans="1:15" ht="14.5" x14ac:dyDescent="0.35">
      <c r="A6" s="44">
        <f>SUM(C6:N6)</f>
        <v>-130.93954652143</v>
      </c>
      <c r="B6" s="80">
        <v>45656</v>
      </c>
      <c r="C6" s="70">
        <v>-6.2705130440100012</v>
      </c>
      <c r="D6" s="70">
        <v>-3.9433271185000005</v>
      </c>
      <c r="E6" s="70">
        <v>1.6412244000000002</v>
      </c>
      <c r="F6" s="70">
        <v>-121.34709039999997</v>
      </c>
      <c r="G6" s="70">
        <v>1.2857640028999999</v>
      </c>
      <c r="H6" s="70">
        <v>21.240685218899991</v>
      </c>
      <c r="I6" s="70">
        <v>-8.5584400000000074E-2</v>
      </c>
      <c r="J6" s="70">
        <v>-1.1246364852999993</v>
      </c>
      <c r="K6" s="70">
        <v>-2.2689939954199989</v>
      </c>
      <c r="L6" s="70">
        <v>-4.0637359999999996</v>
      </c>
      <c r="M6" s="70">
        <v>-21.238891000000002</v>
      </c>
      <c r="N6" s="70">
        <v>5.2355523000000002</v>
      </c>
      <c r="O6"/>
    </row>
    <row r="7" spans="1:15" ht="14.5" x14ac:dyDescent="0.35">
      <c r="A7" s="68"/>
      <c r="B7" s="57"/>
      <c r="C7" s="72"/>
      <c r="D7" s="72"/>
      <c r="E7" s="72"/>
      <c r="F7" s="72"/>
      <c r="G7" s="72"/>
      <c r="H7" s="72"/>
      <c r="I7" s="72"/>
      <c r="J7" s="72"/>
      <c r="K7" s="72"/>
      <c r="L7" s="72"/>
      <c r="M7" s="72"/>
      <c r="N7" s="72"/>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3" t="s">
        <v>7</v>
      </c>
      <c r="B1" s="13"/>
      <c r="C1" s="85" t="s">
        <v>8</v>
      </c>
      <c r="D1" s="86"/>
      <c r="E1" s="86"/>
      <c r="F1" s="86"/>
      <c r="G1" s="86"/>
      <c r="H1" s="86"/>
      <c r="I1" s="86"/>
      <c r="J1" s="86"/>
      <c r="K1" s="86"/>
      <c r="L1" s="86"/>
      <c r="M1" s="86"/>
      <c r="N1" s="87"/>
    </row>
    <row r="2" spans="1:18" ht="56" x14ac:dyDescent="0.3">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80.088312907229962</v>
      </c>
      <c r="B3" s="64">
        <v>45635</v>
      </c>
      <c r="C3" s="56">
        <v>9.6238637807699998</v>
      </c>
      <c r="D3" s="56">
        <v>15.167098447600001</v>
      </c>
      <c r="E3" s="56">
        <v>-4.0731800000000012E-2</v>
      </c>
      <c r="F3" s="56">
        <v>34.484121599999995</v>
      </c>
      <c r="G3" s="56">
        <v>3.1042475773000007</v>
      </c>
      <c r="H3" s="56">
        <v>-63.281218523940012</v>
      </c>
      <c r="I3" s="56">
        <v>1.2133539</v>
      </c>
      <c r="J3" s="56">
        <v>13.7318210604</v>
      </c>
      <c r="K3" s="56">
        <v>97.305450565099989</v>
      </c>
      <c r="L3" s="56">
        <v>11.636218299999998</v>
      </c>
      <c r="M3" s="56">
        <v>-36.891185100000001</v>
      </c>
      <c r="N3" s="56">
        <v>-5.9647269000000005</v>
      </c>
      <c r="P3" s="14"/>
    </row>
    <row r="4" spans="1:18" x14ac:dyDescent="0.3">
      <c r="A4" s="65">
        <f>SUM(C4:N4)</f>
        <v>540.03914304380987</v>
      </c>
      <c r="B4" s="12">
        <v>45642</v>
      </c>
      <c r="C4" s="74">
        <v>37.001812105929993</v>
      </c>
      <c r="D4" s="74">
        <v>38.680542506200005</v>
      </c>
      <c r="E4" s="74">
        <v>0.77923979999999982</v>
      </c>
      <c r="F4" s="74">
        <v>235.65983299999994</v>
      </c>
      <c r="G4" s="74">
        <v>5.6799988638999999</v>
      </c>
      <c r="H4" s="74">
        <v>46.252949562830032</v>
      </c>
      <c r="I4" s="74">
        <v>1.8428028000000001</v>
      </c>
      <c r="J4" s="74">
        <v>23.594691839099998</v>
      </c>
      <c r="K4" s="74">
        <v>128.31581936584999</v>
      </c>
      <c r="L4" s="74">
        <v>21.811803299999998</v>
      </c>
      <c r="M4" s="74">
        <v>-4.9014681000000007</v>
      </c>
      <c r="N4" s="74">
        <v>5.3211180000000002</v>
      </c>
      <c r="P4" s="14"/>
    </row>
    <row r="5" spans="1:18" x14ac:dyDescent="0.3">
      <c r="A5" s="65">
        <f>SUM(C5:N5)</f>
        <v>-73.580005432199997</v>
      </c>
      <c r="B5" s="64">
        <v>45649</v>
      </c>
      <c r="C5" s="56">
        <v>3.8612025840099999</v>
      </c>
      <c r="D5" s="56">
        <v>2.6657760044000001</v>
      </c>
      <c r="E5" s="56">
        <v>-1.7457724999999999</v>
      </c>
      <c r="F5" s="56">
        <v>-9.7209920999999948</v>
      </c>
      <c r="G5" s="56">
        <v>-0.74470861870000005</v>
      </c>
      <c r="H5" s="56">
        <v>-60.646074312579998</v>
      </c>
      <c r="I5" s="56">
        <v>2.0963208999999998</v>
      </c>
      <c r="J5" s="56">
        <v>-1.0755047203000001</v>
      </c>
      <c r="K5" s="56">
        <v>2.05622523097</v>
      </c>
      <c r="L5" s="56">
        <v>-14.8252325</v>
      </c>
      <c r="M5" s="56">
        <v>5.1137899000000004</v>
      </c>
      <c r="N5" s="56">
        <v>-0.61503530000000006</v>
      </c>
      <c r="P5" s="14"/>
    </row>
    <row r="6" spans="1:18" x14ac:dyDescent="0.3">
      <c r="A6" s="65">
        <f>SUM(C6:N6)</f>
        <v>-49.817765276060044</v>
      </c>
      <c r="B6" s="80">
        <v>45656</v>
      </c>
      <c r="C6" s="74">
        <v>6.0046559021299997</v>
      </c>
      <c r="D6" s="74">
        <v>1.1811180947</v>
      </c>
      <c r="E6" s="74">
        <v>-4.1385259000000003</v>
      </c>
      <c r="F6" s="74">
        <v>36.188009799999982</v>
      </c>
      <c r="G6" s="74">
        <v>0.76867092590000008</v>
      </c>
      <c r="H6" s="74">
        <v>-81.347972697420019</v>
      </c>
      <c r="I6" s="74">
        <v>-9.9370600000000142E-2</v>
      </c>
      <c r="J6" s="74">
        <v>-1.4363313188000006</v>
      </c>
      <c r="K6" s="74">
        <v>-9.8944414825700004</v>
      </c>
      <c r="L6" s="74">
        <v>-3.8743051999999985</v>
      </c>
      <c r="M6" s="74">
        <v>9.6317879000000008</v>
      </c>
      <c r="N6" s="74">
        <v>-2.8010607000000003</v>
      </c>
      <c r="P6" s="14"/>
    </row>
    <row r="7" spans="1:18" ht="14.5" x14ac:dyDescent="0.35">
      <c r="A7" s="68"/>
      <c r="B7" s="51"/>
      <c r="C7" s="72"/>
      <c r="D7" s="72"/>
      <c r="E7" s="72"/>
      <c r="F7" s="72"/>
      <c r="G7" s="72"/>
      <c r="H7" s="72"/>
      <c r="I7" s="72"/>
      <c r="J7" s="72"/>
      <c r="K7" s="72"/>
      <c r="L7" s="72"/>
      <c r="M7" s="72"/>
      <c r="N7" s="72"/>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5" ht="56" x14ac:dyDescent="0.35">
      <c r="A1" s="32" t="str">
        <f>CONCATENATE("STI Constituents - ",'Weekly Top 10'!$C$5)</f>
        <v>STI Constituents - Week of 30 December 2024</v>
      </c>
      <c r="B1" s="16" t="s">
        <v>1</v>
      </c>
      <c r="C1" s="17" t="s">
        <v>71</v>
      </c>
      <c r="D1" s="17" t="s">
        <v>72</v>
      </c>
    </row>
    <row r="2" spans="1:5" x14ac:dyDescent="0.35">
      <c r="A2" s="18" t="s">
        <v>86</v>
      </c>
      <c r="B2" s="19" t="s">
        <v>25</v>
      </c>
      <c r="C2" s="20">
        <v>-2.4093559999999998</v>
      </c>
      <c r="D2" s="20">
        <v>-2.813151</v>
      </c>
      <c r="E2" s="38"/>
    </row>
    <row r="3" spans="1:5" x14ac:dyDescent="0.35">
      <c r="A3" s="21" t="s">
        <v>77</v>
      </c>
      <c r="B3" s="22" t="s">
        <v>56</v>
      </c>
      <c r="C3" s="8">
        <v>-4.4513239999999996</v>
      </c>
      <c r="D3" s="8">
        <v>-4.1426470000000002</v>
      </c>
      <c r="E3" s="38"/>
    </row>
    <row r="4" spans="1:5" x14ac:dyDescent="0.35">
      <c r="A4" s="5" t="s">
        <v>84</v>
      </c>
      <c r="B4" s="7" t="s">
        <v>83</v>
      </c>
      <c r="C4" s="6">
        <v>-5.5188329999999999</v>
      </c>
      <c r="D4" s="6">
        <v>3.6962519999999999</v>
      </c>
      <c r="E4" s="38"/>
    </row>
    <row r="5" spans="1:5" x14ac:dyDescent="0.35">
      <c r="A5" s="21" t="s">
        <v>63</v>
      </c>
      <c r="B5" s="22" t="s">
        <v>54</v>
      </c>
      <c r="C5" s="8">
        <v>-1.489199999999977E-2</v>
      </c>
      <c r="D5" s="8">
        <v>-1.1859310000000001</v>
      </c>
      <c r="E5" s="38"/>
    </row>
    <row r="6" spans="1:5" x14ac:dyDescent="0.35">
      <c r="A6" s="5" t="s">
        <v>26</v>
      </c>
      <c r="B6" s="7" t="s">
        <v>21</v>
      </c>
      <c r="C6" s="6">
        <v>-72.788630999999995</v>
      </c>
      <c r="D6" s="6">
        <v>19.656464</v>
      </c>
      <c r="E6" s="38"/>
    </row>
    <row r="7" spans="1:5" x14ac:dyDescent="0.35">
      <c r="A7" s="21" t="s">
        <v>85</v>
      </c>
      <c r="B7" s="22" t="s">
        <v>57</v>
      </c>
      <c r="C7" s="8">
        <v>3.6565581499999958E-2</v>
      </c>
      <c r="D7" s="8">
        <v>-4.3203605300000003E-2</v>
      </c>
      <c r="E7" s="38"/>
    </row>
    <row r="8" spans="1:5" x14ac:dyDescent="0.35">
      <c r="A8" s="5" t="s">
        <v>219</v>
      </c>
      <c r="B8" s="7" t="s">
        <v>106</v>
      </c>
      <c r="C8" s="6">
        <v>-2.3998029999999999</v>
      </c>
      <c r="D8" s="6">
        <v>0.33398299999999997</v>
      </c>
      <c r="E8" s="38"/>
    </row>
    <row r="9" spans="1:5" x14ac:dyDescent="0.35">
      <c r="A9" s="21" t="s">
        <v>79</v>
      </c>
      <c r="B9" s="22" t="s">
        <v>78</v>
      </c>
      <c r="C9" s="8">
        <v>-3.0392399999999999</v>
      </c>
      <c r="D9" s="8">
        <v>2.4533830000000001</v>
      </c>
      <c r="E9" s="38"/>
    </row>
    <row r="10" spans="1:5" x14ac:dyDescent="0.35">
      <c r="A10" s="5" t="s">
        <v>36</v>
      </c>
      <c r="B10" s="7" t="s">
        <v>35</v>
      </c>
      <c r="C10" s="6">
        <v>-4.3067665000000002</v>
      </c>
      <c r="D10" s="6">
        <v>2.5190389999999998</v>
      </c>
      <c r="E10" s="38"/>
    </row>
    <row r="11" spans="1:5" x14ac:dyDescent="0.35">
      <c r="A11" s="21" t="s">
        <v>64</v>
      </c>
      <c r="B11" s="22" t="s">
        <v>55</v>
      </c>
      <c r="C11" s="8">
        <v>-0.65502858529999997</v>
      </c>
      <c r="D11" s="8">
        <v>-0.30788131880000019</v>
      </c>
      <c r="E11" s="38"/>
    </row>
    <row r="12" spans="1:5" x14ac:dyDescent="0.35">
      <c r="A12" s="5" t="s">
        <v>50</v>
      </c>
      <c r="B12" s="7" t="s">
        <v>48</v>
      </c>
      <c r="C12" s="6">
        <v>0.48477900000000002</v>
      </c>
      <c r="D12" s="6">
        <v>-0.43819399999999997</v>
      </c>
      <c r="E12" s="38"/>
    </row>
    <row r="13" spans="1:5" x14ac:dyDescent="0.35">
      <c r="A13" s="21" t="s">
        <v>62</v>
      </c>
      <c r="B13" s="22" t="s">
        <v>52</v>
      </c>
      <c r="C13" s="8">
        <v>1.250928872800001</v>
      </c>
      <c r="D13" s="8">
        <v>-0.1003037214</v>
      </c>
      <c r="E13" s="38"/>
    </row>
    <row r="14" spans="1:5" x14ac:dyDescent="0.35">
      <c r="A14" s="5" t="s">
        <v>139</v>
      </c>
      <c r="B14" s="7" t="s">
        <v>32</v>
      </c>
      <c r="C14" s="6">
        <v>-2.417055</v>
      </c>
      <c r="D14" s="6">
        <v>-2.1006680000000002</v>
      </c>
      <c r="E14" s="38"/>
    </row>
    <row r="15" spans="1:5" x14ac:dyDescent="0.35">
      <c r="A15" s="21" t="s">
        <v>75</v>
      </c>
      <c r="B15" s="22" t="s">
        <v>74</v>
      </c>
      <c r="C15" s="8">
        <v>-0.30891299999999983</v>
      </c>
      <c r="D15" s="8">
        <v>2.3486120000000001</v>
      </c>
      <c r="E15" s="38"/>
    </row>
    <row r="16" spans="1:5" x14ac:dyDescent="0.35">
      <c r="A16" s="5" t="s">
        <v>40</v>
      </c>
      <c r="B16" s="7" t="s">
        <v>38</v>
      </c>
      <c r="C16" s="6">
        <v>2.408461</v>
      </c>
      <c r="D16" s="6">
        <v>-0.57239799999999996</v>
      </c>
      <c r="E16" s="38"/>
    </row>
    <row r="17" spans="1:5" x14ac:dyDescent="0.35">
      <c r="A17" s="21" t="s">
        <v>224</v>
      </c>
      <c r="B17" s="22" t="s">
        <v>58</v>
      </c>
      <c r="C17" s="8">
        <v>1.6432119999999999</v>
      </c>
      <c r="D17" s="8">
        <v>1.613194</v>
      </c>
      <c r="E17" s="38"/>
    </row>
    <row r="18" spans="1:5" x14ac:dyDescent="0.35">
      <c r="A18" s="5" t="s">
        <v>27</v>
      </c>
      <c r="B18" s="7" t="s">
        <v>22</v>
      </c>
      <c r="C18" s="6">
        <v>-31.387080000000001</v>
      </c>
      <c r="D18" s="6">
        <v>13.345285000000001</v>
      </c>
      <c r="E18" s="38"/>
    </row>
    <row r="19" spans="1:5" x14ac:dyDescent="0.35">
      <c r="A19" s="21" t="s">
        <v>34</v>
      </c>
      <c r="B19" s="22" t="s">
        <v>30</v>
      </c>
      <c r="C19" s="8">
        <v>-0.36840800000000001</v>
      </c>
      <c r="D19" s="8">
        <v>0.27291300000000002</v>
      </c>
      <c r="E19" s="38"/>
    </row>
    <row r="20" spans="1:5" x14ac:dyDescent="0.35">
      <c r="A20" s="5" t="s">
        <v>134</v>
      </c>
      <c r="B20" s="7" t="s">
        <v>222</v>
      </c>
      <c r="C20" s="6">
        <v>25.148001000000001</v>
      </c>
      <c r="D20" s="6">
        <v>-62.920257999999997</v>
      </c>
      <c r="E20" s="38"/>
    </row>
    <row r="21" spans="1:5" x14ac:dyDescent="0.35">
      <c r="A21" s="21" t="s">
        <v>45</v>
      </c>
      <c r="B21" s="22" t="s">
        <v>42</v>
      </c>
      <c r="C21" s="8">
        <v>5.2648780000000004</v>
      </c>
      <c r="D21" s="8">
        <v>-2.8207740000000001</v>
      </c>
      <c r="E21" s="38"/>
    </row>
    <row r="22" spans="1:5" x14ac:dyDescent="0.35">
      <c r="A22" s="5" t="s">
        <v>33</v>
      </c>
      <c r="B22" s="7" t="s">
        <v>31</v>
      </c>
      <c r="C22" s="6">
        <v>-3.0715520000000001</v>
      </c>
      <c r="D22" s="6">
        <v>-2.1459540000000001</v>
      </c>
      <c r="E22" s="38"/>
    </row>
    <row r="23" spans="1:5" x14ac:dyDescent="0.35">
      <c r="A23" s="21" t="s">
        <v>29</v>
      </c>
      <c r="B23" s="22" t="s">
        <v>24</v>
      </c>
      <c r="C23" s="8">
        <v>-5.5631529999999998</v>
      </c>
      <c r="D23" s="8">
        <v>1.7454080000000001</v>
      </c>
      <c r="E23" s="38"/>
    </row>
    <row r="24" spans="1:5" x14ac:dyDescent="0.35">
      <c r="A24" s="5" t="s">
        <v>39</v>
      </c>
      <c r="B24" s="7" t="s">
        <v>37</v>
      </c>
      <c r="C24" s="6">
        <v>9.1383050000000008</v>
      </c>
      <c r="D24" s="6">
        <v>-10.518293999999999</v>
      </c>
      <c r="E24" s="38"/>
    </row>
    <row r="25" spans="1:5" x14ac:dyDescent="0.35">
      <c r="A25" s="21" t="s">
        <v>49</v>
      </c>
      <c r="B25" s="22" t="s">
        <v>47</v>
      </c>
      <c r="C25" s="8">
        <v>-20.574503100000001</v>
      </c>
      <c r="D25" s="8">
        <v>8.2639725000000013</v>
      </c>
      <c r="E25" s="38"/>
    </row>
    <row r="26" spans="1:5" x14ac:dyDescent="0.35">
      <c r="A26" s="5" t="s">
        <v>60</v>
      </c>
      <c r="B26" s="7" t="s">
        <v>51</v>
      </c>
      <c r="C26" s="6">
        <v>0.79135299999999953</v>
      </c>
      <c r="D26" s="6">
        <v>-0.52153499999999997</v>
      </c>
      <c r="E26" s="38"/>
    </row>
    <row r="27" spans="1:5" x14ac:dyDescent="0.35">
      <c r="A27" s="21" t="s">
        <v>28</v>
      </c>
      <c r="B27" s="22" t="s">
        <v>23</v>
      </c>
      <c r="C27" s="8">
        <v>-3.9846349999999999</v>
      </c>
      <c r="D27" s="8">
        <v>-3.6951399999999999</v>
      </c>
      <c r="E27" s="38"/>
    </row>
    <row r="28" spans="1:5" x14ac:dyDescent="0.35">
      <c r="A28" s="5" t="s">
        <v>65</v>
      </c>
      <c r="B28" s="7" t="s">
        <v>59</v>
      </c>
      <c r="C28" s="6">
        <v>-1.8860330000000001</v>
      </c>
      <c r="D28" s="6">
        <v>1.701039</v>
      </c>
      <c r="E28" s="38"/>
    </row>
    <row r="29" spans="1:5" x14ac:dyDescent="0.35">
      <c r="A29" s="21" t="s">
        <v>46</v>
      </c>
      <c r="B29" s="22" t="s">
        <v>43</v>
      </c>
      <c r="C29" s="8">
        <v>-3.9453109999999998</v>
      </c>
      <c r="D29" s="8">
        <v>1.8077840000000001</v>
      </c>
      <c r="E29" s="38"/>
    </row>
    <row r="30" spans="1:5" x14ac:dyDescent="0.35">
      <c r="A30" s="5" t="s">
        <v>44</v>
      </c>
      <c r="B30" s="7" t="s">
        <v>41</v>
      </c>
      <c r="C30" s="6">
        <v>-5.1122110000000003</v>
      </c>
      <c r="D30" s="6">
        <v>0.78691599999999995</v>
      </c>
      <c r="E30" s="38"/>
    </row>
    <row r="31" spans="1:5" ht="15" thickBot="1" x14ac:dyDescent="0.4">
      <c r="A31" s="21" t="s">
        <v>61</v>
      </c>
      <c r="B31" s="22" t="s">
        <v>53</v>
      </c>
      <c r="C31" s="8">
        <v>-9.2971400000000006</v>
      </c>
      <c r="D31" s="8">
        <v>1.336589</v>
      </c>
      <c r="E31" s="38"/>
    </row>
    <row r="32" spans="1:5" ht="21" customHeight="1" thickBot="1" x14ac:dyDescent="0.4">
      <c r="A32" s="88" t="s">
        <v>66</v>
      </c>
      <c r="B32" s="89"/>
      <c r="C32" s="58">
        <f>SUM(C2:C31)</f>
        <v>-137.333384731</v>
      </c>
      <c r="D32" s="59">
        <f>SUM(D2:D31)</f>
        <v>-32.445499145500008</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19.54296875"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30 December 2024</v>
      </c>
      <c r="B1" s="16" t="s">
        <v>1</v>
      </c>
      <c r="C1" s="47" t="s">
        <v>97</v>
      </c>
      <c r="D1" s="17" t="s">
        <v>96</v>
      </c>
      <c r="E1" s="17" t="s">
        <v>236</v>
      </c>
      <c r="F1" s="17" t="s">
        <v>98</v>
      </c>
      <c r="G1" s="52"/>
      <c r="H1" s="78"/>
      <c r="I1" s="78"/>
      <c r="J1" s="78"/>
      <c r="L1" s="78"/>
      <c r="M1" s="78"/>
      <c r="N1" s="78"/>
    </row>
    <row r="2" spans="1:17" x14ac:dyDescent="0.35">
      <c r="A2" s="18" t="s">
        <v>26</v>
      </c>
      <c r="B2" s="19" t="s">
        <v>21</v>
      </c>
      <c r="C2" s="53">
        <v>88.3476699</v>
      </c>
      <c r="D2" s="53">
        <v>-21.013234000000001</v>
      </c>
      <c r="E2" s="53">
        <v>-72.788630999999995</v>
      </c>
      <c r="F2" s="20" t="s">
        <v>13</v>
      </c>
      <c r="G2" s="52"/>
      <c r="H2" s="78"/>
      <c r="I2" s="78"/>
      <c r="J2" s="78"/>
      <c r="K2" s="52"/>
      <c r="L2" s="78"/>
      <c r="M2" s="78"/>
      <c r="N2" s="78"/>
      <c r="O2" s="73"/>
      <c r="P2" s="73"/>
      <c r="Q2" s="73"/>
    </row>
    <row r="3" spans="1:17" x14ac:dyDescent="0.35">
      <c r="A3" s="21" t="s">
        <v>245</v>
      </c>
      <c r="B3" s="22" t="s">
        <v>222</v>
      </c>
      <c r="C3" s="54">
        <v>76.627280999999996</v>
      </c>
      <c r="D3" s="54">
        <v>19.961811999999998</v>
      </c>
      <c r="E3" s="54">
        <v>25.148001000000001</v>
      </c>
      <c r="F3" s="8" t="s">
        <v>14</v>
      </c>
      <c r="G3" s="52"/>
      <c r="H3" s="78"/>
      <c r="I3" s="78"/>
      <c r="J3" s="78"/>
      <c r="K3" s="52"/>
      <c r="L3" s="78"/>
      <c r="M3" s="78"/>
      <c r="N3" s="78"/>
      <c r="O3" s="73"/>
      <c r="P3" s="73"/>
      <c r="Q3" s="73"/>
    </row>
    <row r="4" spans="1:17" x14ac:dyDescent="0.35">
      <c r="A4" s="5" t="s">
        <v>149</v>
      </c>
      <c r="B4" s="7" t="s">
        <v>22</v>
      </c>
      <c r="C4" s="55">
        <v>49.4212591</v>
      </c>
      <c r="D4" s="55">
        <v>-2.724742</v>
      </c>
      <c r="E4" s="55">
        <v>-31.387080000000001</v>
      </c>
      <c r="F4" s="6" t="s">
        <v>13</v>
      </c>
      <c r="G4" s="52"/>
      <c r="H4" s="78"/>
      <c r="I4" s="78"/>
      <c r="J4" s="78"/>
      <c r="K4" s="52"/>
      <c r="L4" s="78"/>
      <c r="M4" s="78"/>
      <c r="N4" s="78"/>
      <c r="O4" s="73"/>
      <c r="P4" s="73"/>
      <c r="Q4" s="73"/>
    </row>
    <row r="5" spans="1:17" x14ac:dyDescent="0.35">
      <c r="A5" s="21" t="s">
        <v>28</v>
      </c>
      <c r="B5" s="22" t="s">
        <v>23</v>
      </c>
      <c r="C5" s="54">
        <v>44.5517185</v>
      </c>
      <c r="D5" s="54">
        <v>17.636323000000001</v>
      </c>
      <c r="E5" s="54">
        <v>-3.9846349999999999</v>
      </c>
      <c r="F5" s="8" t="s">
        <v>13</v>
      </c>
      <c r="G5" s="52"/>
      <c r="H5" s="78"/>
      <c r="I5" s="78"/>
      <c r="J5" s="78"/>
      <c r="K5" s="52"/>
      <c r="L5" s="78"/>
      <c r="M5" s="78"/>
      <c r="N5" s="78"/>
      <c r="O5" s="73"/>
      <c r="P5" s="73"/>
      <c r="Q5" s="73"/>
    </row>
    <row r="6" spans="1:17" x14ac:dyDescent="0.35">
      <c r="A6" s="5" t="s">
        <v>152</v>
      </c>
      <c r="B6" s="7" t="s">
        <v>53</v>
      </c>
      <c r="C6" s="55">
        <v>29.311710999999999</v>
      </c>
      <c r="D6" s="55">
        <v>-4.1496069999999996</v>
      </c>
      <c r="E6" s="55">
        <v>-9.2971400000000006</v>
      </c>
      <c r="F6" s="6" t="s">
        <v>14</v>
      </c>
      <c r="G6" s="52"/>
      <c r="H6" s="78"/>
      <c r="I6" s="78"/>
      <c r="J6" s="78"/>
      <c r="K6" s="52"/>
      <c r="L6" s="78"/>
      <c r="M6" s="78"/>
      <c r="N6" s="78"/>
      <c r="O6" s="73"/>
      <c r="P6" s="73"/>
      <c r="Q6" s="73"/>
    </row>
    <row r="7" spans="1:17" x14ac:dyDescent="0.35">
      <c r="A7" s="21" t="s">
        <v>49</v>
      </c>
      <c r="B7" s="22" t="s">
        <v>47</v>
      </c>
      <c r="C7" s="54">
        <v>26.600246600000002</v>
      </c>
      <c r="D7" s="54">
        <v>-1.6910593</v>
      </c>
      <c r="E7" s="54">
        <v>-20.574503100000001</v>
      </c>
      <c r="F7" s="8" t="s">
        <v>145</v>
      </c>
      <c r="G7" s="52"/>
      <c r="H7" s="78"/>
      <c r="I7" s="78"/>
      <c r="J7" s="78"/>
      <c r="K7" s="52"/>
      <c r="L7" s="78"/>
      <c r="M7" s="78"/>
      <c r="N7" s="78"/>
      <c r="O7" s="73"/>
      <c r="P7" s="73"/>
      <c r="Q7" s="73"/>
    </row>
    <row r="8" spans="1:17" x14ac:dyDescent="0.35">
      <c r="A8" s="5" t="s">
        <v>150</v>
      </c>
      <c r="B8" s="7" t="s">
        <v>56</v>
      </c>
      <c r="C8" s="55">
        <v>26.067378999999999</v>
      </c>
      <c r="D8" s="55">
        <v>1.4988520000000001</v>
      </c>
      <c r="E8" s="55">
        <v>-4.4513239999999996</v>
      </c>
      <c r="F8" s="6" t="s">
        <v>17</v>
      </c>
      <c r="G8" s="52"/>
      <c r="H8" s="78"/>
      <c r="I8" s="78"/>
      <c r="J8" s="78"/>
      <c r="K8" s="52"/>
      <c r="L8" s="78"/>
      <c r="M8" s="78"/>
      <c r="N8" s="78"/>
      <c r="O8" s="73"/>
      <c r="P8" s="73"/>
      <c r="Q8" s="73"/>
    </row>
    <row r="9" spans="1:17" x14ac:dyDescent="0.35">
      <c r="A9" s="21" t="s">
        <v>154</v>
      </c>
      <c r="B9" s="22" t="s">
        <v>38</v>
      </c>
      <c r="C9" s="54">
        <v>23.183815500000001</v>
      </c>
      <c r="D9" s="54">
        <v>2.4392489999999998</v>
      </c>
      <c r="E9" s="54">
        <v>2.408461</v>
      </c>
      <c r="F9" s="8" t="s">
        <v>17</v>
      </c>
      <c r="G9" s="52"/>
      <c r="H9" s="78"/>
      <c r="I9" s="78"/>
      <c r="J9" s="78"/>
      <c r="K9" s="52"/>
      <c r="L9" s="78"/>
      <c r="M9" s="78"/>
      <c r="N9" s="78"/>
      <c r="O9" s="73"/>
      <c r="P9" s="73"/>
      <c r="Q9" s="73"/>
    </row>
    <row r="10" spans="1:17" x14ac:dyDescent="0.35">
      <c r="A10" s="5" t="s">
        <v>151</v>
      </c>
      <c r="B10" s="7" t="s">
        <v>25</v>
      </c>
      <c r="C10" s="55">
        <v>21.62209125</v>
      </c>
      <c r="D10" s="55">
        <v>3.9598249999999999</v>
      </c>
      <c r="E10" s="55">
        <v>-2.4093559999999998</v>
      </c>
      <c r="F10" s="6" t="s">
        <v>17</v>
      </c>
      <c r="G10" s="52"/>
      <c r="H10" s="78"/>
      <c r="I10" s="78"/>
      <c r="J10" s="78"/>
      <c r="K10" s="52"/>
      <c r="L10" s="78"/>
      <c r="M10" s="78"/>
      <c r="N10" s="78"/>
      <c r="O10" s="73"/>
      <c r="P10" s="73"/>
      <c r="Q10" s="73"/>
    </row>
    <row r="11" spans="1:17" x14ac:dyDescent="0.35">
      <c r="A11" s="21" t="s">
        <v>162</v>
      </c>
      <c r="B11" s="22" t="s">
        <v>51</v>
      </c>
      <c r="C11" s="54">
        <v>18.242152000000001</v>
      </c>
      <c r="D11" s="54">
        <v>2.2718544999999999</v>
      </c>
      <c r="E11" s="54">
        <v>0.79135299999999908</v>
      </c>
      <c r="F11" s="8" t="s">
        <v>11</v>
      </c>
      <c r="G11" s="52"/>
      <c r="H11" s="78"/>
      <c r="I11" s="78"/>
      <c r="J11" s="78"/>
      <c r="K11" s="52"/>
      <c r="L11" s="78"/>
      <c r="M11" s="78"/>
      <c r="N11" s="78"/>
      <c r="O11" s="73"/>
      <c r="P11" s="73"/>
      <c r="Q11" s="73"/>
    </row>
    <row r="12" spans="1:17" x14ac:dyDescent="0.35">
      <c r="A12" s="5" t="s">
        <v>29</v>
      </c>
      <c r="B12" s="7" t="s">
        <v>24</v>
      </c>
      <c r="C12" s="55">
        <v>15.728717250000001</v>
      </c>
      <c r="D12" s="55">
        <v>-8.9679479999999998</v>
      </c>
      <c r="E12" s="55">
        <v>-5.5631529999999998</v>
      </c>
      <c r="F12" s="6" t="s">
        <v>13</v>
      </c>
      <c r="G12" s="52"/>
      <c r="H12" s="78"/>
      <c r="I12" s="78"/>
      <c r="J12" s="78"/>
      <c r="K12" s="52"/>
      <c r="L12" s="78"/>
      <c r="M12" s="78"/>
      <c r="N12" s="78"/>
      <c r="O12" s="73"/>
      <c r="P12" s="73"/>
      <c r="Q12" s="73"/>
    </row>
    <row r="13" spans="1:17" x14ac:dyDescent="0.35">
      <c r="A13" s="21" t="s">
        <v>39</v>
      </c>
      <c r="B13" s="22" t="s">
        <v>37</v>
      </c>
      <c r="C13" s="54">
        <v>14.505148999999999</v>
      </c>
      <c r="D13" s="54">
        <v>7.87507</v>
      </c>
      <c r="E13" s="54">
        <v>9.1383050000000008</v>
      </c>
      <c r="F13" s="8" t="s">
        <v>14</v>
      </c>
      <c r="G13" s="52"/>
      <c r="H13" s="78"/>
      <c r="I13" s="78"/>
      <c r="J13" s="78"/>
      <c r="K13" s="52"/>
      <c r="L13" s="78"/>
      <c r="M13" s="78"/>
      <c r="N13" s="78"/>
      <c r="O13" s="73"/>
      <c r="P13" s="73"/>
      <c r="Q13" s="73"/>
    </row>
    <row r="14" spans="1:17" x14ac:dyDescent="0.35">
      <c r="A14" s="5" t="s">
        <v>155</v>
      </c>
      <c r="B14" s="7" t="s">
        <v>35</v>
      </c>
      <c r="C14" s="55">
        <v>12.2647385</v>
      </c>
      <c r="D14" s="55">
        <v>-2.5187854999999999</v>
      </c>
      <c r="E14" s="55">
        <v>-4.3067665000000002</v>
      </c>
      <c r="F14" s="6" t="s">
        <v>10</v>
      </c>
      <c r="G14" s="52"/>
      <c r="H14" s="78"/>
      <c r="I14" s="78"/>
      <c r="J14" s="78"/>
      <c r="K14" s="52"/>
      <c r="L14" s="78"/>
      <c r="M14" s="78"/>
      <c r="N14" s="78"/>
      <c r="O14" s="73"/>
      <c r="P14" s="73"/>
      <c r="Q14" s="73"/>
    </row>
    <row r="15" spans="1:17" x14ac:dyDescent="0.35">
      <c r="A15" s="21" t="s">
        <v>153</v>
      </c>
      <c r="B15" s="22" t="s">
        <v>83</v>
      </c>
      <c r="C15" s="54">
        <v>12.256557000000001</v>
      </c>
      <c r="D15" s="54">
        <v>-1.019129</v>
      </c>
      <c r="E15" s="54">
        <v>-5.5188329999999999</v>
      </c>
      <c r="F15" s="8" t="s">
        <v>13</v>
      </c>
      <c r="G15" s="52"/>
      <c r="H15" s="78"/>
      <c r="I15" s="78"/>
      <c r="J15" s="78"/>
      <c r="K15" s="52"/>
      <c r="L15" s="78"/>
      <c r="M15" s="78"/>
      <c r="N15" s="78"/>
      <c r="O15" s="73"/>
      <c r="P15" s="73"/>
      <c r="Q15" s="73"/>
    </row>
    <row r="16" spans="1:17" x14ac:dyDescent="0.35">
      <c r="A16" s="5" t="s">
        <v>33</v>
      </c>
      <c r="B16" s="7" t="s">
        <v>31</v>
      </c>
      <c r="C16" s="55">
        <v>10.7767965</v>
      </c>
      <c r="D16" s="55">
        <v>2.4723030000000001</v>
      </c>
      <c r="E16" s="55">
        <v>-3.0715520000000001</v>
      </c>
      <c r="F16" s="6" t="s">
        <v>14</v>
      </c>
      <c r="G16" s="52"/>
      <c r="H16" s="78"/>
      <c r="I16" s="78"/>
      <c r="J16" s="78"/>
      <c r="K16" s="52"/>
      <c r="L16" s="78"/>
      <c r="M16" s="78"/>
      <c r="N16" s="78"/>
      <c r="O16" s="73"/>
      <c r="P16" s="73"/>
      <c r="Q16" s="73"/>
    </row>
    <row r="17" spans="1:17" x14ac:dyDescent="0.35">
      <c r="A17" s="21" t="s">
        <v>161</v>
      </c>
      <c r="B17" s="22" t="s">
        <v>58</v>
      </c>
      <c r="C17" s="54">
        <v>10.630906</v>
      </c>
      <c r="D17" s="54">
        <v>1.6082890000000001</v>
      </c>
      <c r="E17" s="54">
        <v>1.6432119999999999</v>
      </c>
      <c r="F17" s="8" t="s">
        <v>17</v>
      </c>
      <c r="G17" s="52"/>
      <c r="H17" s="78"/>
      <c r="I17" s="78"/>
      <c r="J17" s="78"/>
      <c r="K17" s="52"/>
      <c r="L17" s="78"/>
      <c r="M17" s="78"/>
      <c r="N17" s="78"/>
      <c r="O17" s="73"/>
      <c r="P17" s="73"/>
      <c r="Q17" s="73"/>
    </row>
    <row r="18" spans="1:17" x14ac:dyDescent="0.35">
      <c r="A18" s="5" t="s">
        <v>139</v>
      </c>
      <c r="B18" s="7" t="s">
        <v>32</v>
      </c>
      <c r="C18" s="55">
        <v>10.494422999999999</v>
      </c>
      <c r="D18" s="55">
        <v>3.4131089999999999</v>
      </c>
      <c r="E18" s="55">
        <v>-2.417055</v>
      </c>
      <c r="F18" s="6" t="s">
        <v>14</v>
      </c>
      <c r="G18" s="52"/>
      <c r="H18" s="78"/>
      <c r="I18" s="78"/>
      <c r="J18" s="78"/>
      <c r="K18" s="52"/>
      <c r="L18" s="78"/>
      <c r="M18" s="78"/>
      <c r="N18" s="78"/>
      <c r="O18" s="73"/>
      <c r="P18" s="73"/>
      <c r="Q18" s="73"/>
    </row>
    <row r="19" spans="1:17" x14ac:dyDescent="0.35">
      <c r="A19" s="21" t="s">
        <v>160</v>
      </c>
      <c r="B19" s="22" t="s">
        <v>74</v>
      </c>
      <c r="C19" s="54">
        <v>9.9599220000000006</v>
      </c>
      <c r="D19" s="54">
        <v>1.3062640000000001</v>
      </c>
      <c r="E19" s="54">
        <v>-0.30891299999999988</v>
      </c>
      <c r="F19" s="8" t="s">
        <v>17</v>
      </c>
      <c r="G19" s="52"/>
      <c r="H19" s="78"/>
      <c r="I19" s="78"/>
      <c r="J19" s="78"/>
      <c r="K19" s="52"/>
      <c r="L19" s="78"/>
      <c r="M19" s="78"/>
      <c r="N19" s="78"/>
      <c r="O19" s="73"/>
      <c r="P19" s="73"/>
      <c r="Q19" s="73"/>
    </row>
    <row r="20" spans="1:17" x14ac:dyDescent="0.35">
      <c r="A20" s="5" t="s">
        <v>169</v>
      </c>
      <c r="B20" s="7" t="s">
        <v>78</v>
      </c>
      <c r="C20" s="55">
        <v>7.8497602500000001</v>
      </c>
      <c r="D20" s="55">
        <v>1.2097469999999999</v>
      </c>
      <c r="E20" s="55">
        <v>-3.0392399999999999</v>
      </c>
      <c r="F20" s="6" t="s">
        <v>17</v>
      </c>
      <c r="G20" s="52"/>
      <c r="H20" s="78"/>
      <c r="I20" s="78"/>
      <c r="J20" s="78"/>
      <c r="K20" s="52"/>
      <c r="L20" s="78"/>
      <c r="M20" s="78"/>
      <c r="N20" s="78"/>
      <c r="O20" s="73"/>
      <c r="P20" s="73"/>
      <c r="Q20" s="73"/>
    </row>
    <row r="21" spans="1:17" x14ac:dyDescent="0.35">
      <c r="A21" s="21" t="s">
        <v>172</v>
      </c>
      <c r="B21" s="22" t="s">
        <v>88</v>
      </c>
      <c r="C21" s="54">
        <v>7.5883580000000004</v>
      </c>
      <c r="D21" s="54">
        <v>3.8579439999999998</v>
      </c>
      <c r="E21" s="54">
        <v>6.3666320000000001</v>
      </c>
      <c r="F21" s="8" t="s">
        <v>146</v>
      </c>
      <c r="G21" s="52"/>
      <c r="H21" s="78"/>
      <c r="I21" s="78"/>
      <c r="J21" s="78"/>
      <c r="K21" s="52"/>
      <c r="L21" s="78"/>
      <c r="M21" s="78"/>
      <c r="N21" s="78"/>
      <c r="O21" s="73"/>
      <c r="P21" s="73"/>
      <c r="Q21" s="73"/>
    </row>
    <row r="22" spans="1:17" x14ac:dyDescent="0.35">
      <c r="A22" s="5" t="s">
        <v>167</v>
      </c>
      <c r="B22" s="7" t="s">
        <v>99</v>
      </c>
      <c r="C22" s="55">
        <v>7.5302474999999998</v>
      </c>
      <c r="D22" s="55">
        <v>0.76669350000000003</v>
      </c>
      <c r="E22" s="55">
        <v>0.72629200000000005</v>
      </c>
      <c r="F22" s="6" t="s">
        <v>17</v>
      </c>
      <c r="G22" s="52"/>
      <c r="H22" s="78"/>
      <c r="I22" s="78"/>
      <c r="J22" s="78"/>
      <c r="K22" s="52"/>
      <c r="L22" s="78"/>
      <c r="M22" s="78"/>
      <c r="N22" s="78"/>
      <c r="O22" s="73"/>
      <c r="P22" s="73"/>
      <c r="Q22" s="73"/>
    </row>
    <row r="23" spans="1:17" x14ac:dyDescent="0.35">
      <c r="A23" s="21" t="s">
        <v>34</v>
      </c>
      <c r="B23" s="22" t="s">
        <v>30</v>
      </c>
      <c r="C23" s="54">
        <v>7.1898095</v>
      </c>
      <c r="D23" s="54">
        <v>-0.123291</v>
      </c>
      <c r="E23" s="54">
        <v>-0.36840800000000001</v>
      </c>
      <c r="F23" s="8" t="s">
        <v>14</v>
      </c>
      <c r="G23" s="52"/>
      <c r="H23" s="78"/>
      <c r="I23" s="78"/>
      <c r="J23" s="78"/>
      <c r="K23" s="52"/>
      <c r="L23" s="78"/>
      <c r="M23" s="78"/>
      <c r="N23" s="78"/>
      <c r="O23" s="73"/>
      <c r="P23" s="73"/>
      <c r="Q23" s="73"/>
    </row>
    <row r="24" spans="1:17" x14ac:dyDescent="0.35">
      <c r="A24" s="5" t="s">
        <v>158</v>
      </c>
      <c r="B24" s="7" t="s">
        <v>41</v>
      </c>
      <c r="C24" s="55">
        <v>7.1844080000000003</v>
      </c>
      <c r="D24" s="55">
        <v>-1.8546419999999999</v>
      </c>
      <c r="E24" s="55">
        <v>-5.1122110000000003</v>
      </c>
      <c r="F24" s="6" t="s">
        <v>11</v>
      </c>
      <c r="G24" s="52"/>
      <c r="H24" s="78"/>
      <c r="I24" s="78"/>
      <c r="J24" s="78"/>
      <c r="K24" s="52"/>
      <c r="L24" s="78"/>
      <c r="M24" s="78"/>
      <c r="N24" s="78"/>
      <c r="O24" s="73"/>
      <c r="P24" s="73"/>
      <c r="Q24" s="73"/>
    </row>
    <row r="25" spans="1:17" x14ac:dyDescent="0.35">
      <c r="A25" s="21" t="s">
        <v>159</v>
      </c>
      <c r="B25" s="22" t="s">
        <v>42</v>
      </c>
      <c r="C25" s="54">
        <v>6.4594779999999998</v>
      </c>
      <c r="D25" s="54">
        <v>2.1514500000000001</v>
      </c>
      <c r="E25" s="54">
        <v>5.2648780000000004</v>
      </c>
      <c r="F25" s="8" t="s">
        <v>19</v>
      </c>
      <c r="G25" s="52"/>
      <c r="H25" s="78"/>
      <c r="I25" s="78"/>
      <c r="J25" s="78"/>
      <c r="K25" s="52"/>
      <c r="L25" s="78"/>
      <c r="M25" s="78"/>
      <c r="N25" s="78"/>
      <c r="O25" s="73"/>
      <c r="P25" s="73"/>
      <c r="Q25" s="73"/>
    </row>
    <row r="26" spans="1:17" x14ac:dyDescent="0.35">
      <c r="A26" s="5" t="s">
        <v>156</v>
      </c>
      <c r="B26" s="7" t="s">
        <v>76</v>
      </c>
      <c r="C26" s="55">
        <v>6.0055639999999997</v>
      </c>
      <c r="D26" s="55">
        <v>1.2375160000000001</v>
      </c>
      <c r="E26" s="55">
        <v>1.5096020000000001</v>
      </c>
      <c r="F26" s="6" t="s">
        <v>17</v>
      </c>
      <c r="G26" s="52"/>
      <c r="H26" s="78"/>
      <c r="I26" s="78"/>
      <c r="J26" s="78"/>
      <c r="K26" s="52"/>
      <c r="L26" s="78"/>
      <c r="M26" s="78"/>
      <c r="N26" s="78"/>
      <c r="O26" s="73"/>
      <c r="P26" s="73"/>
      <c r="Q26" s="73"/>
    </row>
    <row r="27" spans="1:17" x14ac:dyDescent="0.35">
      <c r="A27" s="21" t="s">
        <v>205</v>
      </c>
      <c r="B27" s="22" t="s">
        <v>129</v>
      </c>
      <c r="C27" s="54">
        <v>5.9686190000000003</v>
      </c>
      <c r="D27" s="54">
        <v>-0.1319680000000002</v>
      </c>
      <c r="E27" s="54">
        <v>0.52425699999999986</v>
      </c>
      <c r="F27" s="8" t="s">
        <v>14</v>
      </c>
      <c r="G27" s="52"/>
      <c r="H27" s="78"/>
      <c r="I27" s="78"/>
      <c r="J27" s="78"/>
      <c r="K27" s="52"/>
      <c r="L27" s="78"/>
      <c r="M27" s="78"/>
      <c r="N27" s="78"/>
      <c r="O27" s="73"/>
      <c r="P27" s="73"/>
      <c r="Q27" s="73"/>
    </row>
    <row r="28" spans="1:17" x14ac:dyDescent="0.35">
      <c r="A28" s="5" t="s">
        <v>157</v>
      </c>
      <c r="B28" s="7" t="s">
        <v>52</v>
      </c>
      <c r="C28" s="55">
        <v>5.9669273010000001</v>
      </c>
      <c r="D28" s="55">
        <v>0.95951125440000029</v>
      </c>
      <c r="E28" s="55">
        <v>1.2509288728000001</v>
      </c>
      <c r="F28" s="6" t="s">
        <v>14</v>
      </c>
      <c r="G28" s="52"/>
      <c r="H28" s="78"/>
      <c r="I28" s="78"/>
      <c r="J28" s="78"/>
      <c r="K28" s="52"/>
      <c r="L28" s="78"/>
      <c r="M28" s="78"/>
      <c r="N28" s="78"/>
      <c r="O28" s="73"/>
      <c r="P28" s="73"/>
      <c r="Q28" s="73"/>
    </row>
    <row r="29" spans="1:17" x14ac:dyDescent="0.35">
      <c r="A29" s="21" t="s">
        <v>171</v>
      </c>
      <c r="B29" s="22" t="s">
        <v>87</v>
      </c>
      <c r="C29" s="54">
        <v>5.8316559999999997</v>
      </c>
      <c r="D29" s="54">
        <v>1.323939</v>
      </c>
      <c r="E29" s="54">
        <v>1.024149</v>
      </c>
      <c r="F29" s="8" t="s">
        <v>17</v>
      </c>
      <c r="G29" s="52"/>
      <c r="H29" s="78"/>
      <c r="I29" s="78"/>
      <c r="J29" s="78"/>
      <c r="K29" s="52"/>
      <c r="L29" s="78"/>
      <c r="M29" s="78"/>
      <c r="N29" s="78"/>
      <c r="O29" s="73"/>
      <c r="P29" s="73"/>
      <c r="Q29" s="73"/>
    </row>
    <row r="30" spans="1:17" x14ac:dyDescent="0.35">
      <c r="A30" s="5" t="s">
        <v>170</v>
      </c>
      <c r="B30" s="7" t="s">
        <v>55</v>
      </c>
      <c r="C30" s="55">
        <v>5.6465266962000005</v>
      </c>
      <c r="D30" s="55">
        <v>-0.52090021090000016</v>
      </c>
      <c r="E30" s="55">
        <v>-0.65502858530000052</v>
      </c>
      <c r="F30" s="6" t="s">
        <v>16</v>
      </c>
      <c r="G30" s="52"/>
      <c r="H30" s="78"/>
      <c r="I30" s="78"/>
      <c r="J30" s="78"/>
      <c r="K30" s="52"/>
      <c r="L30" s="78"/>
      <c r="M30" s="78"/>
      <c r="N30" s="78"/>
      <c r="O30" s="73"/>
      <c r="P30" s="73"/>
      <c r="Q30" s="73"/>
    </row>
    <row r="31" spans="1:17" x14ac:dyDescent="0.35">
      <c r="A31" s="21" t="s">
        <v>168</v>
      </c>
      <c r="B31" s="22" t="s">
        <v>106</v>
      </c>
      <c r="C31" s="54">
        <v>5.3964705000000004</v>
      </c>
      <c r="D31" s="54">
        <v>-0.51156000000000001</v>
      </c>
      <c r="E31" s="54">
        <v>-2.3998029999999999</v>
      </c>
      <c r="F31" s="8" t="s">
        <v>17</v>
      </c>
      <c r="G31" s="52"/>
      <c r="H31" s="78"/>
      <c r="I31" s="78"/>
      <c r="J31" s="78"/>
      <c r="K31" s="52"/>
      <c r="L31" s="78"/>
      <c r="M31" s="78"/>
      <c r="N31" s="78"/>
      <c r="O31" s="73"/>
      <c r="P31" s="73"/>
      <c r="Q31" s="73"/>
    </row>
    <row r="32" spans="1:17" x14ac:dyDescent="0.35">
      <c r="A32" s="5" t="s">
        <v>165</v>
      </c>
      <c r="B32" s="7" t="s">
        <v>54</v>
      </c>
      <c r="C32" s="55">
        <v>5.2555139999999998</v>
      </c>
      <c r="D32" s="55">
        <v>-0.26584799999999997</v>
      </c>
      <c r="E32" s="55">
        <v>-1.4892000000000001E-2</v>
      </c>
      <c r="F32" s="6" t="s">
        <v>16</v>
      </c>
      <c r="G32" s="52"/>
      <c r="H32" s="78"/>
      <c r="I32" s="78"/>
      <c r="J32" s="78"/>
      <c r="K32" s="52"/>
      <c r="L32" s="78"/>
      <c r="M32" s="78"/>
      <c r="N32" s="78"/>
      <c r="O32" s="73"/>
      <c r="P32" s="73"/>
      <c r="Q32" s="73"/>
    </row>
    <row r="33" spans="1:17" x14ac:dyDescent="0.35">
      <c r="A33" s="21" t="s">
        <v>232</v>
      </c>
      <c r="B33" s="22" t="s">
        <v>231</v>
      </c>
      <c r="C33" s="54">
        <v>4.9473789999999997</v>
      </c>
      <c r="D33" s="54">
        <v>-0.69243399999999999</v>
      </c>
      <c r="E33" s="54">
        <v>-1.5886864999999999</v>
      </c>
      <c r="F33" s="8" t="s">
        <v>14</v>
      </c>
      <c r="G33" s="52"/>
      <c r="H33" s="78"/>
      <c r="I33" s="78"/>
      <c r="J33" s="78"/>
      <c r="K33" s="52"/>
      <c r="L33" s="78"/>
      <c r="M33" s="78"/>
      <c r="N33" s="78"/>
      <c r="O33" s="73"/>
      <c r="P33" s="73"/>
      <c r="Q33" s="73"/>
    </row>
    <row r="34" spans="1:17" x14ac:dyDescent="0.35">
      <c r="A34" s="5" t="s">
        <v>173</v>
      </c>
      <c r="B34" s="7" t="s">
        <v>90</v>
      </c>
      <c r="C34" s="55">
        <v>4.4837342500000004</v>
      </c>
      <c r="D34" s="55">
        <v>1.619156</v>
      </c>
      <c r="E34" s="55">
        <v>0.59939549999999997</v>
      </c>
      <c r="F34" s="6" t="s">
        <v>17</v>
      </c>
      <c r="G34" s="52"/>
      <c r="H34" s="78"/>
      <c r="I34" s="78"/>
      <c r="J34" s="78"/>
      <c r="K34" s="52"/>
      <c r="L34" s="78"/>
      <c r="M34" s="78"/>
      <c r="N34" s="78"/>
      <c r="O34" s="73"/>
      <c r="P34" s="73"/>
      <c r="Q34" s="73"/>
    </row>
    <row r="35" spans="1:17" x14ac:dyDescent="0.35">
      <c r="A35" s="21" t="s">
        <v>166</v>
      </c>
      <c r="B35" s="22" t="s">
        <v>43</v>
      </c>
      <c r="C35" s="54">
        <v>4.1861959999999998</v>
      </c>
      <c r="D35" s="54">
        <v>-3.3873199999999999</v>
      </c>
      <c r="E35" s="54">
        <v>-3.9453109999999998</v>
      </c>
      <c r="F35" s="8" t="s">
        <v>146</v>
      </c>
      <c r="G35" s="52"/>
      <c r="H35" s="78"/>
      <c r="I35" s="78"/>
      <c r="J35" s="78"/>
      <c r="K35" s="52"/>
      <c r="L35" s="78"/>
      <c r="M35" s="78"/>
      <c r="N35" s="78"/>
      <c r="O35" s="73"/>
      <c r="P35" s="73"/>
      <c r="Q35" s="73"/>
    </row>
    <row r="36" spans="1:17" x14ac:dyDescent="0.35">
      <c r="A36" s="5" t="s">
        <v>246</v>
      </c>
      <c r="B36" s="7" t="s">
        <v>239</v>
      </c>
      <c r="C36" s="55">
        <v>4.1439097499999997</v>
      </c>
      <c r="D36" s="55">
        <v>1.3295045000000001</v>
      </c>
      <c r="E36" s="55">
        <v>1.6008475</v>
      </c>
      <c r="F36" s="6" t="s">
        <v>17</v>
      </c>
      <c r="G36" s="52"/>
      <c r="H36" s="78"/>
      <c r="I36" s="78"/>
      <c r="J36" s="78"/>
      <c r="K36" s="52"/>
      <c r="L36" s="78"/>
      <c r="M36" s="78"/>
      <c r="N36" s="78"/>
      <c r="O36" s="73"/>
      <c r="P36" s="73"/>
      <c r="Q36" s="73"/>
    </row>
    <row r="37" spans="1:17" x14ac:dyDescent="0.35">
      <c r="A37" s="21" t="s">
        <v>180</v>
      </c>
      <c r="B37" s="22" t="s">
        <v>112</v>
      </c>
      <c r="C37" s="54">
        <v>3.3627562499999999</v>
      </c>
      <c r="D37" s="54">
        <v>-1.5056529999999999</v>
      </c>
      <c r="E37" s="54">
        <v>-0.28154750000000001</v>
      </c>
      <c r="F37" s="8" t="s">
        <v>145</v>
      </c>
      <c r="G37" s="52"/>
      <c r="H37" s="78"/>
      <c r="I37" s="78"/>
      <c r="J37" s="78"/>
      <c r="K37" s="52"/>
      <c r="L37" s="78"/>
      <c r="M37" s="78"/>
      <c r="N37" s="78"/>
      <c r="O37" s="73"/>
      <c r="P37" s="73"/>
      <c r="Q37" s="73"/>
    </row>
    <row r="38" spans="1:17" x14ac:dyDescent="0.35">
      <c r="A38" s="5" t="s">
        <v>178</v>
      </c>
      <c r="B38" s="7" t="s">
        <v>120</v>
      </c>
      <c r="C38" s="55">
        <v>3.3033610000000002</v>
      </c>
      <c r="D38" s="55">
        <v>-2.40693</v>
      </c>
      <c r="E38" s="55">
        <v>-2.9690970000000001</v>
      </c>
      <c r="F38" s="6" t="s">
        <v>146</v>
      </c>
      <c r="G38" s="52"/>
      <c r="H38" s="78"/>
      <c r="I38" s="78"/>
      <c r="J38" s="78"/>
      <c r="K38" s="52"/>
      <c r="L38" s="78"/>
      <c r="M38" s="78"/>
      <c r="N38" s="78"/>
      <c r="O38" s="73"/>
      <c r="P38" s="73"/>
      <c r="Q38" s="73"/>
    </row>
    <row r="39" spans="1:17" x14ac:dyDescent="0.35">
      <c r="A39" s="21" t="s">
        <v>174</v>
      </c>
      <c r="B39" s="22" t="s">
        <v>107</v>
      </c>
      <c r="C39" s="54">
        <v>3.2526255000000002</v>
      </c>
      <c r="D39" s="54">
        <v>0.43978200000000001</v>
      </c>
      <c r="E39" s="54">
        <v>0.56698899999999997</v>
      </c>
      <c r="F39" s="8" t="s">
        <v>146</v>
      </c>
      <c r="G39" s="52"/>
      <c r="H39" s="78"/>
      <c r="I39" s="78"/>
      <c r="J39" s="78"/>
      <c r="K39" s="52"/>
      <c r="L39" s="78"/>
      <c r="M39" s="78"/>
      <c r="N39" s="78"/>
      <c r="O39" s="73"/>
      <c r="P39" s="73"/>
      <c r="Q39" s="73"/>
    </row>
    <row r="40" spans="1:17" x14ac:dyDescent="0.35">
      <c r="A40" s="5" t="s">
        <v>164</v>
      </c>
      <c r="B40" s="7" t="s">
        <v>59</v>
      </c>
      <c r="C40" s="55">
        <v>3.1409060000000002</v>
      </c>
      <c r="D40" s="55">
        <v>-0.82961200000000002</v>
      </c>
      <c r="E40" s="55">
        <v>-1.8860330000000001</v>
      </c>
      <c r="F40" s="6" t="s">
        <v>16</v>
      </c>
      <c r="G40" s="52"/>
      <c r="H40" s="78"/>
      <c r="I40" s="78"/>
      <c r="J40" s="78"/>
      <c r="K40" s="52"/>
      <c r="L40" s="78"/>
      <c r="M40" s="78"/>
      <c r="N40" s="78"/>
      <c r="O40" s="73"/>
      <c r="P40" s="73"/>
      <c r="Q40" s="73"/>
    </row>
    <row r="41" spans="1:17" x14ac:dyDescent="0.35">
      <c r="A41" s="21" t="s">
        <v>182</v>
      </c>
      <c r="B41" s="22" t="s">
        <v>102</v>
      </c>
      <c r="C41" s="54">
        <v>3.0619182</v>
      </c>
      <c r="D41" s="54">
        <v>1.1773603000000001</v>
      </c>
      <c r="E41" s="54">
        <v>1.5064123</v>
      </c>
      <c r="F41" s="8" t="s">
        <v>147</v>
      </c>
      <c r="G41" s="52"/>
      <c r="H41" s="78"/>
      <c r="I41" s="78"/>
      <c r="J41" s="78"/>
      <c r="K41" s="52"/>
      <c r="L41" s="78"/>
      <c r="M41" s="78"/>
      <c r="N41" s="78"/>
      <c r="O41" s="73"/>
      <c r="P41" s="73"/>
      <c r="Q41" s="73"/>
    </row>
    <row r="42" spans="1:17" x14ac:dyDescent="0.35">
      <c r="A42" s="5" t="s">
        <v>175</v>
      </c>
      <c r="B42" s="7" t="s">
        <v>223</v>
      </c>
      <c r="C42" s="55">
        <v>3.0302034999999998</v>
      </c>
      <c r="D42" s="55">
        <v>0.70877800000000002</v>
      </c>
      <c r="E42" s="55">
        <v>0.97194400000000003</v>
      </c>
      <c r="F42" s="6" t="s">
        <v>146</v>
      </c>
      <c r="G42" s="52"/>
      <c r="H42" s="78"/>
      <c r="I42" s="78"/>
      <c r="J42" s="78"/>
      <c r="K42" s="52"/>
      <c r="L42" s="78"/>
      <c r="M42" s="78"/>
      <c r="N42" s="78"/>
      <c r="O42" s="73"/>
      <c r="P42" s="73"/>
      <c r="Q42" s="73"/>
    </row>
    <row r="43" spans="1:17" x14ac:dyDescent="0.35">
      <c r="A43" s="21" t="s">
        <v>163</v>
      </c>
      <c r="B43" s="22" t="s">
        <v>48</v>
      </c>
      <c r="C43" s="54">
        <v>3.0050680000000001</v>
      </c>
      <c r="D43" s="54">
        <v>0.51526499999999997</v>
      </c>
      <c r="E43" s="54">
        <v>0.48477900000000002</v>
      </c>
      <c r="F43" s="8" t="s">
        <v>10</v>
      </c>
      <c r="G43" s="52"/>
      <c r="H43" s="78"/>
      <c r="I43" s="78"/>
      <c r="J43" s="78"/>
      <c r="K43" s="52"/>
      <c r="L43" s="78"/>
      <c r="M43" s="78"/>
      <c r="N43" s="78"/>
      <c r="O43" s="73"/>
      <c r="P43" s="73"/>
      <c r="Q43" s="73"/>
    </row>
    <row r="44" spans="1:17" x14ac:dyDescent="0.35">
      <c r="A44" s="5" t="s">
        <v>215</v>
      </c>
      <c r="B44" s="7" t="s">
        <v>141</v>
      </c>
      <c r="C44" s="55">
        <v>2.8281790499999997</v>
      </c>
      <c r="D44" s="55">
        <v>-5.7997599999999996E-2</v>
      </c>
      <c r="E44" s="55">
        <v>-7.3171099999999989E-2</v>
      </c>
      <c r="F44" s="6" t="s">
        <v>16</v>
      </c>
      <c r="G44" s="52"/>
      <c r="H44" s="78"/>
      <c r="I44" s="78"/>
      <c r="J44" s="78"/>
      <c r="K44" s="52"/>
      <c r="L44" s="78"/>
      <c r="M44" s="78"/>
      <c r="N44" s="78"/>
      <c r="O44" s="73"/>
      <c r="P44" s="73"/>
      <c r="Q44" s="73"/>
    </row>
    <row r="45" spans="1:17" x14ac:dyDescent="0.35">
      <c r="A45" s="21" t="s">
        <v>131</v>
      </c>
      <c r="B45" s="22" t="s">
        <v>103</v>
      </c>
      <c r="C45" s="54">
        <v>2.7451295</v>
      </c>
      <c r="D45" s="54">
        <v>-0.65227500000000005</v>
      </c>
      <c r="E45" s="54">
        <v>1.388223</v>
      </c>
      <c r="F45" s="8" t="s">
        <v>14</v>
      </c>
      <c r="G45" s="52"/>
      <c r="H45" s="78"/>
      <c r="I45" s="78"/>
      <c r="J45" s="78"/>
      <c r="K45" s="52"/>
      <c r="L45" s="78"/>
      <c r="M45" s="78"/>
      <c r="N45" s="78"/>
      <c r="O45" s="73"/>
      <c r="P45" s="73"/>
      <c r="Q45" s="73"/>
    </row>
    <row r="46" spans="1:17" x14ac:dyDescent="0.35">
      <c r="A46" s="5" t="s">
        <v>193</v>
      </c>
      <c r="B46" s="7" t="s">
        <v>89</v>
      </c>
      <c r="C46" s="55">
        <v>2.2884924999999998</v>
      </c>
      <c r="D46" s="55">
        <v>-0.37200100000000003</v>
      </c>
      <c r="E46" s="55">
        <v>-0.458949</v>
      </c>
      <c r="F46" s="6" t="s">
        <v>11</v>
      </c>
      <c r="G46" s="52"/>
      <c r="H46" s="78"/>
      <c r="I46" s="78"/>
      <c r="J46" s="78"/>
      <c r="K46" s="52"/>
      <c r="L46" s="78"/>
      <c r="M46" s="78"/>
      <c r="N46" s="78"/>
      <c r="O46" s="73"/>
      <c r="P46" s="73"/>
      <c r="Q46" s="73"/>
    </row>
    <row r="47" spans="1:17" x14ac:dyDescent="0.35">
      <c r="A47" s="21" t="s">
        <v>198</v>
      </c>
      <c r="B47" s="22" t="s">
        <v>128</v>
      </c>
      <c r="C47" s="54">
        <v>2.2465185000000001</v>
      </c>
      <c r="D47" s="54">
        <v>-0.14626249999999999</v>
      </c>
      <c r="E47" s="54">
        <v>0.63459399999999999</v>
      </c>
      <c r="F47" s="8" t="s">
        <v>16</v>
      </c>
      <c r="G47" s="52"/>
      <c r="H47" s="78"/>
      <c r="I47" s="78"/>
      <c r="J47" s="78"/>
      <c r="K47" s="52"/>
      <c r="L47" s="78"/>
      <c r="M47" s="78"/>
      <c r="N47" s="78"/>
      <c r="O47" s="73"/>
      <c r="P47" s="73"/>
      <c r="Q47" s="73"/>
    </row>
    <row r="48" spans="1:17" x14ac:dyDescent="0.35">
      <c r="A48" s="5" t="s">
        <v>187</v>
      </c>
      <c r="B48" s="7" t="s">
        <v>113</v>
      </c>
      <c r="C48" s="55">
        <v>2.1671115762299999</v>
      </c>
      <c r="D48" s="55">
        <v>-0.67985935937000008</v>
      </c>
      <c r="E48" s="55">
        <v>-0.61813748681000003</v>
      </c>
      <c r="F48" s="6" t="s">
        <v>10</v>
      </c>
      <c r="G48" s="52"/>
      <c r="H48" s="78"/>
      <c r="I48" s="78"/>
      <c r="J48" s="78"/>
      <c r="K48" s="52"/>
      <c r="L48" s="78"/>
      <c r="M48" s="78"/>
      <c r="N48" s="78"/>
      <c r="O48" s="73"/>
      <c r="P48" s="73"/>
      <c r="Q48" s="73"/>
    </row>
    <row r="49" spans="1:17" x14ac:dyDescent="0.35">
      <c r="A49" s="21" t="s">
        <v>203</v>
      </c>
      <c r="B49" s="22" t="s">
        <v>95</v>
      </c>
      <c r="C49" s="54">
        <v>2.1387260000000001</v>
      </c>
      <c r="D49" s="54">
        <v>0.766961</v>
      </c>
      <c r="E49" s="54">
        <v>0.27759800000000001</v>
      </c>
      <c r="F49" s="8" t="s">
        <v>11</v>
      </c>
      <c r="G49" s="52"/>
      <c r="H49" s="78"/>
      <c r="I49" s="78"/>
      <c r="J49" s="78"/>
      <c r="K49" s="52"/>
      <c r="L49" s="78"/>
      <c r="M49" s="78"/>
      <c r="N49" s="78"/>
      <c r="O49" s="73"/>
      <c r="P49" s="73"/>
      <c r="Q49" s="73"/>
    </row>
    <row r="50" spans="1:17" x14ac:dyDescent="0.35">
      <c r="A50" s="5" t="s">
        <v>194</v>
      </c>
      <c r="B50" s="7" t="s">
        <v>109</v>
      </c>
      <c r="C50" s="55">
        <v>2.03619825</v>
      </c>
      <c r="D50" s="55">
        <v>-1.13063</v>
      </c>
      <c r="E50" s="55">
        <v>-1.9549510000000001</v>
      </c>
      <c r="F50" s="6" t="s">
        <v>13</v>
      </c>
      <c r="G50" s="52"/>
      <c r="H50" s="78"/>
      <c r="I50" s="78"/>
      <c r="J50" s="78"/>
      <c r="K50" s="52"/>
      <c r="L50" s="78"/>
      <c r="M50" s="78"/>
      <c r="N50" s="78"/>
      <c r="O50" s="73"/>
      <c r="P50" s="73"/>
      <c r="Q50" s="73"/>
    </row>
    <row r="51" spans="1:17" x14ac:dyDescent="0.35">
      <c r="A51" s="21" t="s">
        <v>204</v>
      </c>
      <c r="B51" s="22" t="s">
        <v>122</v>
      </c>
      <c r="C51" s="54">
        <v>1.93056125</v>
      </c>
      <c r="D51" s="54">
        <v>1.76196</v>
      </c>
      <c r="E51" s="54">
        <v>2.1357370000000002</v>
      </c>
      <c r="F51" s="8" t="s">
        <v>148</v>
      </c>
      <c r="G51" s="52"/>
      <c r="H51" s="78"/>
      <c r="I51" s="78"/>
      <c r="J51" s="78"/>
      <c r="K51" s="52"/>
      <c r="L51" s="78"/>
      <c r="M51" s="78"/>
      <c r="N51" s="78"/>
      <c r="O51" s="73"/>
      <c r="P51" s="73"/>
      <c r="Q51" s="73"/>
    </row>
    <row r="52" spans="1:17" x14ac:dyDescent="0.35">
      <c r="A52" s="5" t="s">
        <v>199</v>
      </c>
      <c r="B52" s="7" t="s">
        <v>91</v>
      </c>
      <c r="C52" s="55">
        <v>1.8850604094600001</v>
      </c>
      <c r="D52" s="55">
        <v>0.2343611060600001</v>
      </c>
      <c r="E52" s="55">
        <v>-1.7377153900000088E-2</v>
      </c>
      <c r="F52" s="6" t="s">
        <v>14</v>
      </c>
      <c r="G52" s="52"/>
      <c r="H52" s="78"/>
      <c r="I52" s="78"/>
      <c r="J52" s="78"/>
      <c r="K52" s="52"/>
      <c r="L52" s="78"/>
      <c r="M52" s="78"/>
      <c r="N52" s="78"/>
      <c r="O52" s="73"/>
      <c r="P52" s="73"/>
      <c r="Q52" s="73"/>
    </row>
    <row r="53" spans="1:17" x14ac:dyDescent="0.35">
      <c r="A53" s="21" t="s">
        <v>211</v>
      </c>
      <c r="B53" s="22" t="s">
        <v>119</v>
      </c>
      <c r="C53" s="54">
        <v>1.7756200500000001</v>
      </c>
      <c r="D53" s="54">
        <v>2.4546800000000001E-2</v>
      </c>
      <c r="E53" s="54">
        <v>2.1958599999999998E-2</v>
      </c>
      <c r="F53" s="8" t="s">
        <v>147</v>
      </c>
      <c r="G53" s="52"/>
      <c r="H53" s="78"/>
      <c r="I53" s="78"/>
      <c r="J53" s="78"/>
      <c r="K53" s="52"/>
      <c r="L53" s="78"/>
      <c r="M53" s="78"/>
      <c r="N53" s="78"/>
      <c r="O53" s="73"/>
      <c r="P53" s="73"/>
      <c r="Q53" s="73"/>
    </row>
    <row r="54" spans="1:17" x14ac:dyDescent="0.35">
      <c r="A54" s="5" t="s">
        <v>190</v>
      </c>
      <c r="B54" s="7" t="s">
        <v>101</v>
      </c>
      <c r="C54" s="55">
        <v>1.6472895000000001</v>
      </c>
      <c r="D54" s="55">
        <v>-0.34547250000000002</v>
      </c>
      <c r="E54" s="55">
        <v>0.65734499999999996</v>
      </c>
      <c r="F54" s="6" t="s">
        <v>15</v>
      </c>
      <c r="G54" s="52"/>
      <c r="H54" s="78"/>
      <c r="I54" s="78"/>
      <c r="J54" s="78"/>
      <c r="K54" s="52"/>
      <c r="L54" s="78"/>
      <c r="M54" s="78"/>
      <c r="N54" s="78"/>
      <c r="O54" s="73"/>
      <c r="P54" s="73"/>
      <c r="Q54" s="73"/>
    </row>
    <row r="55" spans="1:17" x14ac:dyDescent="0.35">
      <c r="A55" s="21" t="s">
        <v>195</v>
      </c>
      <c r="B55" s="22" t="s">
        <v>110</v>
      </c>
      <c r="C55" s="54">
        <v>1.549245</v>
      </c>
      <c r="D55" s="54">
        <v>-0.33436199999999999</v>
      </c>
      <c r="E55" s="54">
        <v>0.55540199999999995</v>
      </c>
      <c r="F55" s="8" t="s">
        <v>11</v>
      </c>
      <c r="G55" s="52"/>
      <c r="H55" s="78"/>
      <c r="I55" s="78"/>
      <c r="J55" s="78"/>
      <c r="K55" s="52"/>
      <c r="L55" s="78"/>
      <c r="M55" s="78"/>
      <c r="N55" s="78"/>
      <c r="O55" s="73"/>
      <c r="P55" s="73"/>
      <c r="Q55" s="73"/>
    </row>
    <row r="56" spans="1:17" x14ac:dyDescent="0.35">
      <c r="A56" s="5" t="s">
        <v>179</v>
      </c>
      <c r="B56" s="7" t="s">
        <v>108</v>
      </c>
      <c r="C56" s="55">
        <v>1.4556307500000001</v>
      </c>
      <c r="D56" s="55">
        <v>3.2555000000000001E-3</v>
      </c>
      <c r="E56" s="55">
        <v>0.114511</v>
      </c>
      <c r="F56" s="6" t="s">
        <v>146</v>
      </c>
      <c r="G56" s="52"/>
      <c r="H56" s="78"/>
      <c r="I56" s="78"/>
      <c r="J56" s="78"/>
      <c r="K56" s="52"/>
      <c r="L56" s="78"/>
      <c r="M56" s="78"/>
      <c r="N56" s="78"/>
      <c r="O56" s="73"/>
      <c r="P56" s="73"/>
      <c r="Q56" s="73"/>
    </row>
    <row r="57" spans="1:17" x14ac:dyDescent="0.35">
      <c r="A57" s="21" t="s">
        <v>206</v>
      </c>
      <c r="B57" s="22" t="s">
        <v>121</v>
      </c>
      <c r="C57" s="54">
        <v>1.345794561565</v>
      </c>
      <c r="D57" s="54">
        <v>0.56302968553999999</v>
      </c>
      <c r="E57" s="54">
        <v>0.53796250734000017</v>
      </c>
      <c r="F57" s="8" t="s">
        <v>17</v>
      </c>
      <c r="G57" s="52"/>
      <c r="H57" s="78"/>
      <c r="I57" s="78"/>
      <c r="J57" s="78"/>
      <c r="K57" s="52"/>
      <c r="L57" s="78"/>
      <c r="M57" s="78"/>
      <c r="N57" s="78"/>
      <c r="O57" s="73"/>
      <c r="P57" s="73"/>
      <c r="Q57" s="73"/>
    </row>
    <row r="58" spans="1:17" x14ac:dyDescent="0.35">
      <c r="A58" s="5" t="s">
        <v>214</v>
      </c>
      <c r="B58" s="7" t="s">
        <v>138</v>
      </c>
      <c r="C58" s="55">
        <v>1.2712352499999999</v>
      </c>
      <c r="D58" s="55">
        <v>0.1135945</v>
      </c>
      <c r="E58" s="55">
        <v>-5.8211765</v>
      </c>
      <c r="F58" s="6" t="s">
        <v>146</v>
      </c>
      <c r="G58" s="52"/>
      <c r="H58" s="78"/>
      <c r="I58" s="78"/>
      <c r="J58" s="78"/>
      <c r="K58" s="52"/>
      <c r="L58" s="78"/>
      <c r="M58" s="78"/>
      <c r="N58" s="78"/>
      <c r="O58" s="73"/>
      <c r="P58" s="73"/>
      <c r="Q58" s="73"/>
    </row>
    <row r="59" spans="1:17" x14ac:dyDescent="0.35">
      <c r="A59" s="21" t="s">
        <v>181</v>
      </c>
      <c r="B59" s="22" t="s">
        <v>94</v>
      </c>
      <c r="C59" s="54">
        <v>1.24235875</v>
      </c>
      <c r="D59" s="54">
        <v>-9.9501999999999993E-2</v>
      </c>
      <c r="E59" s="54">
        <v>-4.0988999999999998E-2</v>
      </c>
      <c r="F59" s="8" t="s">
        <v>17</v>
      </c>
      <c r="G59" s="52"/>
      <c r="H59" s="78"/>
      <c r="I59" s="78"/>
      <c r="J59" s="78"/>
      <c r="K59" s="52"/>
      <c r="L59" s="78"/>
      <c r="M59" s="78"/>
      <c r="N59" s="78"/>
      <c r="O59" s="73"/>
      <c r="P59" s="73"/>
      <c r="Q59" s="73"/>
    </row>
    <row r="60" spans="1:17" x14ac:dyDescent="0.35">
      <c r="A60" s="5" t="s">
        <v>186</v>
      </c>
      <c r="B60" s="7" t="s">
        <v>116</v>
      </c>
      <c r="C60" s="55">
        <v>1.1790860000000001</v>
      </c>
      <c r="D60" s="55">
        <v>0.42983450000000001</v>
      </c>
      <c r="E60" s="55">
        <v>0.51487150000000004</v>
      </c>
      <c r="F60" s="6" t="s">
        <v>17</v>
      </c>
      <c r="G60" s="52"/>
      <c r="H60" s="78"/>
      <c r="I60" s="78"/>
      <c r="J60" s="78"/>
      <c r="K60" s="52"/>
      <c r="L60" s="78"/>
      <c r="M60" s="78"/>
      <c r="N60" s="78"/>
      <c r="O60" s="73"/>
      <c r="P60" s="73"/>
      <c r="Q60" s="73"/>
    </row>
    <row r="61" spans="1:17" x14ac:dyDescent="0.35">
      <c r="A61" s="21" t="s">
        <v>177</v>
      </c>
      <c r="B61" s="22" t="s">
        <v>93</v>
      </c>
      <c r="C61" s="54">
        <v>1.1123687499999999</v>
      </c>
      <c r="D61" s="54">
        <v>0.48566599999999999</v>
      </c>
      <c r="E61" s="54">
        <v>0.52111399999999997</v>
      </c>
      <c r="F61" s="8" t="s">
        <v>14</v>
      </c>
      <c r="G61" s="52"/>
      <c r="H61" s="78"/>
      <c r="I61" s="78"/>
      <c r="J61" s="78"/>
      <c r="K61" s="52"/>
      <c r="L61" s="78"/>
      <c r="M61" s="78"/>
      <c r="N61" s="78"/>
      <c r="O61" s="73"/>
      <c r="P61" s="73"/>
      <c r="Q61" s="73"/>
    </row>
    <row r="62" spans="1:17" x14ac:dyDescent="0.35">
      <c r="A62" s="5" t="s">
        <v>188</v>
      </c>
      <c r="B62" s="7" t="s">
        <v>118</v>
      </c>
      <c r="C62" s="55">
        <v>1.1084845000000001</v>
      </c>
      <c r="D62" s="55">
        <v>0.141405</v>
      </c>
      <c r="E62" s="55">
        <v>0.44833899999999999</v>
      </c>
      <c r="F62" s="6" t="s">
        <v>17</v>
      </c>
      <c r="G62" s="52"/>
      <c r="H62" s="78"/>
      <c r="I62" s="78"/>
      <c r="J62" s="78"/>
      <c r="K62" s="52"/>
      <c r="L62" s="78"/>
      <c r="M62" s="78"/>
      <c r="N62" s="78"/>
      <c r="O62" s="73"/>
      <c r="P62" s="73"/>
      <c r="Q62" s="73"/>
    </row>
    <row r="63" spans="1:17" x14ac:dyDescent="0.35">
      <c r="A63" s="21" t="s">
        <v>202</v>
      </c>
      <c r="B63" s="22" t="s">
        <v>111</v>
      </c>
      <c r="C63" s="54">
        <v>1.0925022499999999</v>
      </c>
      <c r="D63" s="54">
        <v>-0.96648500000000004</v>
      </c>
      <c r="E63" s="54">
        <v>-0.80457199999999995</v>
      </c>
      <c r="F63" s="8" t="s">
        <v>148</v>
      </c>
      <c r="G63" s="52"/>
      <c r="H63" s="78"/>
      <c r="I63" s="78"/>
      <c r="J63" s="78"/>
      <c r="K63" s="52"/>
      <c r="L63" s="78"/>
      <c r="M63" s="78"/>
      <c r="N63" s="78"/>
      <c r="O63" s="73"/>
      <c r="P63" s="73"/>
      <c r="Q63" s="73"/>
    </row>
    <row r="64" spans="1:17" x14ac:dyDescent="0.35">
      <c r="A64" s="5" t="s">
        <v>220</v>
      </c>
      <c r="B64" s="7" t="s">
        <v>221</v>
      </c>
      <c r="C64" s="55">
        <v>1.02384195</v>
      </c>
      <c r="D64" s="55">
        <v>-0.18802370000000002</v>
      </c>
      <c r="E64" s="55">
        <v>-0.20167550000000001</v>
      </c>
      <c r="F64" s="6" t="s">
        <v>147</v>
      </c>
      <c r="G64" s="52"/>
      <c r="H64" s="78"/>
      <c r="I64" s="78"/>
      <c r="J64" s="78"/>
      <c r="K64" s="52"/>
      <c r="L64" s="78"/>
      <c r="M64" s="78"/>
      <c r="N64" s="78"/>
      <c r="O64" s="73"/>
      <c r="P64" s="73"/>
      <c r="Q64" s="73"/>
    </row>
    <row r="65" spans="1:17" x14ac:dyDescent="0.35">
      <c r="A65" s="21" t="s">
        <v>191</v>
      </c>
      <c r="B65" s="22" t="s">
        <v>105</v>
      </c>
      <c r="C65" s="54">
        <v>0.94472350000000005</v>
      </c>
      <c r="D65" s="54">
        <v>-0.27615050000000002</v>
      </c>
      <c r="E65" s="54">
        <v>-0.39119399999999999</v>
      </c>
      <c r="F65" s="8" t="s">
        <v>11</v>
      </c>
      <c r="G65" s="52"/>
      <c r="H65" s="78"/>
      <c r="I65" s="78"/>
      <c r="J65" s="78"/>
      <c r="K65" s="52"/>
      <c r="L65" s="78"/>
      <c r="M65" s="78"/>
      <c r="N65" s="78"/>
      <c r="O65" s="73"/>
      <c r="P65" s="73"/>
      <c r="Q65" s="73"/>
    </row>
    <row r="66" spans="1:17" x14ac:dyDescent="0.35">
      <c r="A66" s="5" t="s">
        <v>192</v>
      </c>
      <c r="B66" s="7" t="s">
        <v>115</v>
      </c>
      <c r="C66" s="55">
        <v>0.93253562987499994</v>
      </c>
      <c r="D66" s="55">
        <v>-3.254113619999998E-2</v>
      </c>
      <c r="E66" s="55">
        <v>4.4239245999999968E-3</v>
      </c>
      <c r="F66" s="6" t="s">
        <v>17</v>
      </c>
      <c r="G66" s="52"/>
      <c r="H66" s="78"/>
      <c r="I66" s="78"/>
      <c r="J66" s="78"/>
      <c r="K66" s="52"/>
      <c r="L66" s="78"/>
      <c r="M66" s="78"/>
      <c r="N66" s="78"/>
      <c r="O66" s="73"/>
      <c r="P66" s="73"/>
      <c r="Q66" s="73"/>
    </row>
    <row r="67" spans="1:17" x14ac:dyDescent="0.35">
      <c r="A67" s="21" t="s">
        <v>213</v>
      </c>
      <c r="B67" s="22" t="s">
        <v>144</v>
      </c>
      <c r="C67" s="54">
        <v>0.92935694999999996</v>
      </c>
      <c r="D67" s="54">
        <v>-0.3652493</v>
      </c>
      <c r="E67" s="54">
        <v>-0.37267140000000004</v>
      </c>
      <c r="F67" s="8" t="s">
        <v>14</v>
      </c>
      <c r="G67" s="52"/>
      <c r="H67" s="78"/>
      <c r="I67" s="78"/>
      <c r="J67" s="78"/>
      <c r="K67" s="52"/>
      <c r="L67" s="78"/>
      <c r="M67" s="78"/>
      <c r="N67" s="78"/>
      <c r="O67" s="73"/>
      <c r="P67" s="73"/>
      <c r="Q67" s="73"/>
    </row>
    <row r="68" spans="1:17" x14ac:dyDescent="0.35">
      <c r="A68" s="5" t="s">
        <v>196</v>
      </c>
      <c r="B68" s="7" t="s">
        <v>125</v>
      </c>
      <c r="C68" s="55">
        <v>0.89405825000000005</v>
      </c>
      <c r="D68" s="55">
        <v>-0.27323700000000001</v>
      </c>
      <c r="E68" s="55">
        <v>-0.341198</v>
      </c>
      <c r="F68" s="6" t="s">
        <v>145</v>
      </c>
      <c r="G68" s="52"/>
      <c r="H68" s="78"/>
      <c r="I68" s="78"/>
      <c r="J68" s="78"/>
      <c r="K68" s="52"/>
      <c r="L68" s="78"/>
      <c r="M68" s="78"/>
      <c r="N68" s="78"/>
      <c r="O68" s="73"/>
      <c r="P68" s="73"/>
      <c r="Q68" s="73"/>
    </row>
    <row r="69" spans="1:17" x14ac:dyDescent="0.35">
      <c r="A69" s="21" t="s">
        <v>226</v>
      </c>
      <c r="B69" s="22" t="s">
        <v>225</v>
      </c>
      <c r="C69" s="54">
        <v>0.83895025000000001</v>
      </c>
      <c r="D69" s="54">
        <v>-0.32413049999999999</v>
      </c>
      <c r="E69" s="54">
        <v>-0.33086549999999998</v>
      </c>
      <c r="F69" s="8" t="s">
        <v>14</v>
      </c>
      <c r="G69" s="52"/>
      <c r="H69" s="78"/>
      <c r="I69" s="78"/>
      <c r="J69" s="78"/>
      <c r="K69" s="52"/>
      <c r="L69" s="78"/>
      <c r="M69" s="78"/>
      <c r="N69" s="78"/>
      <c r="O69" s="73"/>
      <c r="P69" s="73"/>
      <c r="Q69" s="73"/>
    </row>
    <row r="70" spans="1:17" x14ac:dyDescent="0.35">
      <c r="A70" s="5" t="s">
        <v>229</v>
      </c>
      <c r="B70" s="7" t="s">
        <v>230</v>
      </c>
      <c r="C70" s="55">
        <v>0.80991025000000005</v>
      </c>
      <c r="D70" s="55">
        <v>-2.1424999999999999E-3</v>
      </c>
      <c r="E70" s="55">
        <v>0.1277355</v>
      </c>
      <c r="F70" s="6" t="s">
        <v>16</v>
      </c>
      <c r="G70" s="52"/>
      <c r="H70" s="78"/>
      <c r="I70" s="78"/>
      <c r="J70" s="78"/>
      <c r="K70" s="52"/>
      <c r="L70" s="78"/>
      <c r="M70" s="78"/>
      <c r="N70" s="78"/>
      <c r="O70" s="73"/>
      <c r="P70" s="73"/>
      <c r="Q70" s="73"/>
    </row>
    <row r="71" spans="1:17" x14ac:dyDescent="0.35">
      <c r="A71" s="21" t="s">
        <v>185</v>
      </c>
      <c r="B71" s="22" t="s">
        <v>140</v>
      </c>
      <c r="C71" s="54">
        <v>0.79809405</v>
      </c>
      <c r="D71" s="54">
        <v>9.3916600000000003E-2</v>
      </c>
      <c r="E71" s="54">
        <v>9.8269900000000007E-2</v>
      </c>
      <c r="F71" s="8" t="s">
        <v>14</v>
      </c>
      <c r="G71" s="52"/>
      <c r="H71" s="78"/>
      <c r="I71" s="78"/>
      <c r="J71" s="78"/>
      <c r="K71" s="52"/>
      <c r="L71" s="78"/>
      <c r="M71" s="78"/>
      <c r="N71" s="78"/>
      <c r="O71" s="73"/>
      <c r="P71" s="73"/>
      <c r="Q71" s="73"/>
    </row>
    <row r="72" spans="1:17" x14ac:dyDescent="0.35">
      <c r="A72" s="5" t="s">
        <v>184</v>
      </c>
      <c r="B72" s="7" t="s">
        <v>104</v>
      </c>
      <c r="C72" s="55">
        <v>0.77303350000000015</v>
      </c>
      <c r="D72" s="55">
        <v>0.101256</v>
      </c>
      <c r="E72" s="55">
        <v>-0.42766199999999999</v>
      </c>
      <c r="F72" s="6" t="s">
        <v>17</v>
      </c>
      <c r="G72" s="52"/>
      <c r="H72" s="78"/>
      <c r="I72" s="78"/>
      <c r="J72" s="78"/>
      <c r="K72" s="52"/>
      <c r="L72" s="78"/>
      <c r="M72" s="78"/>
      <c r="N72" s="78"/>
      <c r="O72" s="73"/>
      <c r="P72" s="73"/>
      <c r="Q72" s="73"/>
    </row>
    <row r="73" spans="1:17" x14ac:dyDescent="0.35">
      <c r="A73" s="21" t="s">
        <v>189</v>
      </c>
      <c r="B73" s="22" t="s">
        <v>57</v>
      </c>
      <c r="C73" s="54">
        <v>0.76211454690000002</v>
      </c>
      <c r="D73" s="54">
        <v>-1.04689629E-2</v>
      </c>
      <c r="E73" s="54">
        <v>3.6565581499999993E-2</v>
      </c>
      <c r="F73" s="8" t="s">
        <v>11</v>
      </c>
      <c r="G73" s="52"/>
      <c r="H73" s="78"/>
      <c r="I73" s="78"/>
      <c r="J73" s="78"/>
      <c r="K73" s="52"/>
      <c r="L73" s="78"/>
      <c r="M73" s="78"/>
      <c r="N73" s="78"/>
      <c r="O73" s="73"/>
      <c r="P73" s="73"/>
      <c r="Q73" s="73"/>
    </row>
    <row r="74" spans="1:17" x14ac:dyDescent="0.35">
      <c r="A74" s="5" t="s">
        <v>247</v>
      </c>
      <c r="B74" s="7" t="s">
        <v>235</v>
      </c>
      <c r="C74" s="55">
        <v>0.75815924999999995</v>
      </c>
      <c r="D74" s="55">
        <v>-1.4934315</v>
      </c>
      <c r="E74" s="55">
        <v>-1.4931025</v>
      </c>
      <c r="F74" s="6" t="s">
        <v>10</v>
      </c>
      <c r="G74" s="52"/>
      <c r="H74" s="78"/>
      <c r="I74" s="78"/>
      <c r="J74" s="78"/>
      <c r="K74" s="52"/>
      <c r="L74" s="78"/>
      <c r="M74" s="78"/>
      <c r="N74" s="78"/>
      <c r="O74" s="73"/>
      <c r="P74" s="73"/>
      <c r="Q74" s="73"/>
    </row>
    <row r="75" spans="1:17" x14ac:dyDescent="0.35">
      <c r="A75" s="21" t="s">
        <v>248</v>
      </c>
      <c r="B75" s="22" t="s">
        <v>249</v>
      </c>
      <c r="C75" s="54">
        <v>0.72465049999999998</v>
      </c>
      <c r="D75" s="54">
        <v>9.1724E-2</v>
      </c>
      <c r="E75" s="54">
        <v>0.124232</v>
      </c>
      <c r="F75" s="8" t="s">
        <v>10</v>
      </c>
      <c r="G75" s="52"/>
      <c r="H75" s="78"/>
      <c r="I75" s="78"/>
      <c r="J75" s="78"/>
      <c r="K75" s="52"/>
      <c r="L75" s="78"/>
      <c r="M75" s="78"/>
      <c r="N75" s="78"/>
      <c r="O75" s="73"/>
      <c r="P75" s="73"/>
      <c r="Q75" s="73"/>
    </row>
    <row r="76" spans="1:17" x14ac:dyDescent="0.35">
      <c r="A76" s="5" t="s">
        <v>234</v>
      </c>
      <c r="B76" s="7" t="s">
        <v>100</v>
      </c>
      <c r="C76" s="55">
        <v>0.72422350000000002</v>
      </c>
      <c r="D76" s="55">
        <v>0.70697650000000001</v>
      </c>
      <c r="E76" s="55">
        <v>0.83268350000000002</v>
      </c>
      <c r="F76" s="6" t="s">
        <v>17</v>
      </c>
      <c r="G76" s="52"/>
      <c r="H76" s="78"/>
      <c r="I76" s="78"/>
      <c r="J76" s="78"/>
      <c r="K76" s="52"/>
      <c r="L76" s="78"/>
      <c r="M76" s="78"/>
      <c r="N76" s="78"/>
      <c r="O76" s="73"/>
      <c r="P76" s="73"/>
      <c r="Q76" s="73"/>
    </row>
    <row r="77" spans="1:17" x14ac:dyDescent="0.35">
      <c r="A77" s="21" t="s">
        <v>208</v>
      </c>
      <c r="B77" s="22" t="s">
        <v>127</v>
      </c>
      <c r="C77" s="54">
        <v>0.72178212377499995</v>
      </c>
      <c r="D77" s="54">
        <v>6.3989936380000001E-2</v>
      </c>
      <c r="E77" s="54">
        <v>3.5970817940000011E-2</v>
      </c>
      <c r="F77" s="8" t="s">
        <v>17</v>
      </c>
      <c r="G77" s="52"/>
      <c r="H77" s="78"/>
      <c r="I77" s="78"/>
      <c r="J77" s="78"/>
      <c r="K77" s="52"/>
      <c r="L77" s="78"/>
      <c r="M77" s="78"/>
      <c r="N77" s="78"/>
      <c r="O77" s="73"/>
      <c r="P77" s="73"/>
      <c r="Q77" s="73"/>
    </row>
    <row r="78" spans="1:17" x14ac:dyDescent="0.35">
      <c r="A78" s="5" t="s">
        <v>250</v>
      </c>
      <c r="B78" s="7" t="s">
        <v>251</v>
      </c>
      <c r="C78" s="55">
        <v>0.71856474999999997</v>
      </c>
      <c r="D78" s="55">
        <v>-0.1132346</v>
      </c>
      <c r="E78" s="55">
        <v>-0.1132346</v>
      </c>
      <c r="F78" s="6" t="s">
        <v>14</v>
      </c>
      <c r="G78" s="52"/>
      <c r="H78" s="78"/>
      <c r="I78" s="78"/>
      <c r="J78" s="78"/>
      <c r="K78" s="52"/>
      <c r="L78" s="78"/>
      <c r="M78" s="78"/>
      <c r="N78" s="78"/>
      <c r="O78" s="73"/>
      <c r="P78" s="73"/>
      <c r="Q78" s="73"/>
    </row>
    <row r="79" spans="1:17" x14ac:dyDescent="0.35">
      <c r="A79" s="21" t="s">
        <v>207</v>
      </c>
      <c r="B79" s="22" t="s">
        <v>135</v>
      </c>
      <c r="C79" s="54">
        <v>0.62550374999999991</v>
      </c>
      <c r="D79" s="54">
        <v>-2.1947500000000002E-2</v>
      </c>
      <c r="E79" s="54">
        <v>-3.8364500000000003E-2</v>
      </c>
      <c r="F79" s="8" t="s">
        <v>17</v>
      </c>
      <c r="G79" s="52"/>
      <c r="H79" s="78"/>
      <c r="I79" s="78"/>
      <c r="J79" s="78"/>
      <c r="K79" s="52"/>
      <c r="L79" s="78"/>
      <c r="M79" s="78"/>
      <c r="N79" s="78"/>
      <c r="O79" s="73"/>
      <c r="P79" s="73"/>
      <c r="Q79" s="73"/>
    </row>
    <row r="80" spans="1:17" x14ac:dyDescent="0.35">
      <c r="A80" s="5" t="s">
        <v>252</v>
      </c>
      <c r="B80" s="7" t="s">
        <v>253</v>
      </c>
      <c r="C80" s="55">
        <v>0.60079974999999997</v>
      </c>
      <c r="D80" s="55">
        <v>-0.17895050000000001</v>
      </c>
      <c r="E80" s="55">
        <v>-0.17780950000000001</v>
      </c>
      <c r="F80" s="6" t="s">
        <v>14</v>
      </c>
      <c r="G80" s="52"/>
      <c r="H80" s="78"/>
      <c r="I80" s="78"/>
      <c r="J80" s="78"/>
      <c r="K80" s="52"/>
      <c r="L80" s="78"/>
      <c r="M80" s="78"/>
      <c r="N80" s="78"/>
      <c r="O80" s="73"/>
      <c r="P80" s="73"/>
      <c r="Q80" s="73"/>
    </row>
    <row r="81" spans="1:17" x14ac:dyDescent="0.35">
      <c r="A81" s="21" t="s">
        <v>254</v>
      </c>
      <c r="B81" s="22" t="s">
        <v>255</v>
      </c>
      <c r="C81" s="54">
        <v>0.59495100000000001</v>
      </c>
      <c r="D81" s="54">
        <v>-0.27499649999999998</v>
      </c>
      <c r="E81" s="54">
        <v>-0.19504450000000001</v>
      </c>
      <c r="F81" s="8" t="s">
        <v>16</v>
      </c>
      <c r="G81" s="52"/>
      <c r="H81" s="78"/>
      <c r="I81" s="78"/>
      <c r="J81" s="78"/>
      <c r="K81" s="52"/>
      <c r="L81" s="78"/>
      <c r="M81" s="78"/>
      <c r="N81" s="78"/>
      <c r="O81" s="73"/>
      <c r="P81" s="73"/>
      <c r="Q81" s="73"/>
    </row>
    <row r="82" spans="1:17" x14ac:dyDescent="0.35">
      <c r="A82" s="5" t="s">
        <v>256</v>
      </c>
      <c r="B82" s="7" t="s">
        <v>257</v>
      </c>
      <c r="C82" s="55">
        <v>0.56874015</v>
      </c>
      <c r="D82" s="55">
        <v>2.7937999999999986E-3</v>
      </c>
      <c r="E82" s="55">
        <v>2.7938000000000004E-3</v>
      </c>
      <c r="F82" s="6" t="s">
        <v>14</v>
      </c>
      <c r="G82" s="52"/>
      <c r="H82" s="78"/>
      <c r="I82" s="78"/>
      <c r="J82" s="78"/>
      <c r="K82" s="52"/>
      <c r="L82" s="78"/>
      <c r="M82" s="78"/>
      <c r="N82" s="78"/>
      <c r="O82" s="73"/>
      <c r="P82" s="73"/>
      <c r="Q82" s="73"/>
    </row>
    <row r="83" spans="1:17" x14ac:dyDescent="0.35">
      <c r="A83" s="21" t="s">
        <v>197</v>
      </c>
      <c r="B83" s="22" t="s">
        <v>126</v>
      </c>
      <c r="C83" s="54">
        <v>0.55506</v>
      </c>
      <c r="D83" s="54">
        <v>-7.4137999999999996E-2</v>
      </c>
      <c r="E83" s="54">
        <v>0.32623999999999997</v>
      </c>
      <c r="F83" s="8" t="s">
        <v>148</v>
      </c>
      <c r="G83" s="52"/>
      <c r="H83" s="78"/>
      <c r="I83" s="78"/>
      <c r="J83" s="78"/>
      <c r="K83" s="52"/>
      <c r="L83" s="78"/>
      <c r="M83" s="78"/>
      <c r="N83" s="78"/>
      <c r="O83" s="73"/>
      <c r="P83" s="73"/>
      <c r="Q83" s="73"/>
    </row>
    <row r="84" spans="1:17" x14ac:dyDescent="0.35">
      <c r="A84" s="5" t="s">
        <v>183</v>
      </c>
      <c r="B84" s="7" t="s">
        <v>114</v>
      </c>
      <c r="C84" s="55">
        <v>0.52468550000000003</v>
      </c>
      <c r="D84" s="55">
        <v>-0.19117100000000001</v>
      </c>
      <c r="E84" s="55">
        <v>-0.79385600000000001</v>
      </c>
      <c r="F84" s="6" t="s">
        <v>17</v>
      </c>
      <c r="G84" s="52"/>
      <c r="H84" s="78"/>
      <c r="I84" s="78"/>
      <c r="J84" s="78"/>
      <c r="K84" s="52"/>
      <c r="L84" s="78"/>
      <c r="M84" s="78"/>
      <c r="N84" s="78"/>
      <c r="O84" s="73"/>
      <c r="P84" s="73"/>
      <c r="Q84" s="73"/>
    </row>
    <row r="85" spans="1:17" x14ac:dyDescent="0.35">
      <c r="A85" s="21" t="s">
        <v>176</v>
      </c>
      <c r="B85" s="22" t="s">
        <v>117</v>
      </c>
      <c r="C85" s="54">
        <v>0.46627299999999999</v>
      </c>
      <c r="D85" s="54">
        <v>0.27807850000000001</v>
      </c>
      <c r="E85" s="54">
        <v>0.33163999999999999</v>
      </c>
      <c r="F85" s="8" t="s">
        <v>147</v>
      </c>
      <c r="G85" s="52"/>
      <c r="H85" s="78"/>
      <c r="I85" s="78"/>
      <c r="J85" s="78"/>
      <c r="K85" s="52"/>
      <c r="L85" s="78"/>
      <c r="M85" s="78"/>
      <c r="N85" s="78"/>
      <c r="O85" s="73"/>
      <c r="P85" s="73"/>
      <c r="Q85" s="73"/>
    </row>
    <row r="86" spans="1:17" x14ac:dyDescent="0.35">
      <c r="A86" s="5" t="s">
        <v>258</v>
      </c>
      <c r="B86" s="7" t="s">
        <v>259</v>
      </c>
      <c r="C86" s="55">
        <v>0.42280855450000004</v>
      </c>
      <c r="D86" s="55">
        <v>-0.47667156630000013</v>
      </c>
      <c r="E86" s="55">
        <v>-0.5334279971</v>
      </c>
      <c r="F86" s="6" t="s">
        <v>148</v>
      </c>
      <c r="G86" s="52"/>
      <c r="H86" s="78"/>
      <c r="I86" s="78"/>
      <c r="J86" s="78"/>
      <c r="K86" s="52"/>
      <c r="L86" s="78"/>
      <c r="M86" s="78"/>
      <c r="N86" s="78"/>
      <c r="O86" s="73"/>
      <c r="P86" s="73"/>
      <c r="Q86" s="73"/>
    </row>
    <row r="87" spans="1:17" x14ac:dyDescent="0.35">
      <c r="A87" s="21" t="s">
        <v>209</v>
      </c>
      <c r="B87" s="22" t="s">
        <v>123</v>
      </c>
      <c r="C87" s="54">
        <v>0.41127025</v>
      </c>
      <c r="D87" s="54">
        <v>-5.1331500000000002E-2</v>
      </c>
      <c r="E87" s="54">
        <v>0.30482900000000002</v>
      </c>
      <c r="F87" s="8" t="s">
        <v>17</v>
      </c>
      <c r="G87" s="52"/>
      <c r="H87" s="78"/>
      <c r="I87" s="78"/>
      <c r="J87" s="78"/>
      <c r="K87" s="52"/>
      <c r="L87" s="78"/>
      <c r="M87" s="78"/>
      <c r="N87" s="78"/>
      <c r="O87" s="73"/>
      <c r="P87" s="73"/>
      <c r="Q87" s="73"/>
    </row>
    <row r="88" spans="1:17" x14ac:dyDescent="0.35">
      <c r="A88" s="5" t="s">
        <v>260</v>
      </c>
      <c r="B88" s="7" t="s">
        <v>130</v>
      </c>
      <c r="C88" s="55">
        <v>0.40154808095</v>
      </c>
      <c r="D88" s="55">
        <v>0.14932471919999998</v>
      </c>
      <c r="E88" s="55">
        <v>-3.4103858000000069E-3</v>
      </c>
      <c r="F88" s="6" t="s">
        <v>17</v>
      </c>
      <c r="G88" s="52"/>
      <c r="H88" s="78"/>
      <c r="I88" s="78"/>
      <c r="J88" s="78"/>
      <c r="K88" s="52"/>
      <c r="L88" s="78"/>
      <c r="M88" s="78"/>
      <c r="N88" s="78"/>
      <c r="O88" s="73"/>
      <c r="P88" s="73"/>
      <c r="Q88" s="73"/>
    </row>
    <row r="89" spans="1:17" x14ac:dyDescent="0.35">
      <c r="A89" s="21" t="s">
        <v>261</v>
      </c>
      <c r="B89" s="22" t="s">
        <v>262</v>
      </c>
      <c r="C89" s="54">
        <v>0.39534608342499999</v>
      </c>
      <c r="D89" s="54">
        <v>0.17745139180000002</v>
      </c>
      <c r="E89" s="54">
        <v>0.50814336819999995</v>
      </c>
      <c r="F89" s="8" t="s">
        <v>17</v>
      </c>
      <c r="G89" s="52"/>
      <c r="H89" s="78"/>
      <c r="I89" s="78"/>
      <c r="J89" s="78"/>
      <c r="K89" s="52"/>
      <c r="L89" s="78"/>
      <c r="M89" s="78"/>
      <c r="N89" s="78"/>
      <c r="O89" s="73"/>
      <c r="P89" s="73"/>
      <c r="Q89" s="73"/>
    </row>
    <row r="90" spans="1:17" x14ac:dyDescent="0.35">
      <c r="A90" s="5" t="s">
        <v>263</v>
      </c>
      <c r="B90" s="7" t="s">
        <v>264</v>
      </c>
      <c r="C90" s="55">
        <v>0.37274449999999998</v>
      </c>
      <c r="D90" s="55">
        <v>8.691299999999999E-3</v>
      </c>
      <c r="E90" s="55">
        <v>2.1472499999999999E-2</v>
      </c>
      <c r="F90" s="6" t="s">
        <v>14</v>
      </c>
      <c r="G90" s="52"/>
      <c r="H90" s="78"/>
      <c r="I90" s="78"/>
      <c r="J90" s="78"/>
      <c r="K90" s="52"/>
      <c r="L90" s="78"/>
      <c r="M90" s="78"/>
      <c r="N90" s="78"/>
      <c r="O90" s="73"/>
      <c r="P90" s="73"/>
      <c r="Q90" s="73"/>
    </row>
    <row r="91" spans="1:17" x14ac:dyDescent="0.35">
      <c r="A91" s="21" t="s">
        <v>201</v>
      </c>
      <c r="B91" s="22" t="s">
        <v>92</v>
      </c>
      <c r="C91" s="54">
        <v>0.36730742215000012</v>
      </c>
      <c r="D91" s="54">
        <v>-0.42837614885000014</v>
      </c>
      <c r="E91" s="54">
        <v>-0.4699333964500001</v>
      </c>
      <c r="F91" s="8" t="s">
        <v>17</v>
      </c>
      <c r="G91" s="52"/>
      <c r="H91" s="78"/>
      <c r="I91" s="78"/>
      <c r="J91" s="78"/>
      <c r="K91" s="52"/>
      <c r="L91" s="78"/>
      <c r="M91" s="78"/>
      <c r="N91" s="78"/>
      <c r="O91" s="73"/>
      <c r="P91" s="73"/>
      <c r="Q91" s="73"/>
    </row>
    <row r="92" spans="1:17" x14ac:dyDescent="0.35">
      <c r="A92" s="5" t="s">
        <v>265</v>
      </c>
      <c r="B92" s="7" t="s">
        <v>266</v>
      </c>
      <c r="C92" s="55">
        <v>0.348972</v>
      </c>
      <c r="D92" s="55">
        <v>8.9819800000000005E-2</v>
      </c>
      <c r="E92" s="55">
        <v>0.23414210000000002</v>
      </c>
      <c r="F92" s="6" t="s">
        <v>146</v>
      </c>
      <c r="G92" s="52"/>
      <c r="H92" s="78"/>
      <c r="I92" s="78"/>
      <c r="J92" s="78"/>
      <c r="K92" s="52"/>
      <c r="L92" s="78"/>
      <c r="M92" s="78"/>
      <c r="N92" s="78"/>
      <c r="O92" s="73"/>
      <c r="P92" s="73"/>
      <c r="Q92" s="73"/>
    </row>
    <row r="93" spans="1:17" x14ac:dyDescent="0.35">
      <c r="A93" s="21" t="s">
        <v>210</v>
      </c>
      <c r="B93" s="22" t="s">
        <v>136</v>
      </c>
      <c r="C93" s="54">
        <v>0.34535274999999999</v>
      </c>
      <c r="D93" s="54">
        <v>0.19755</v>
      </c>
      <c r="E93" s="54">
        <v>0.51997000000000004</v>
      </c>
      <c r="F93" s="8" t="s">
        <v>146</v>
      </c>
      <c r="G93" s="52"/>
      <c r="H93" s="78"/>
      <c r="I93" s="78"/>
      <c r="J93" s="78"/>
      <c r="K93" s="52"/>
      <c r="L93" s="78"/>
      <c r="M93" s="78"/>
      <c r="N93" s="78"/>
      <c r="O93" s="73"/>
      <c r="P93" s="73"/>
      <c r="Q93" s="73"/>
    </row>
    <row r="94" spans="1:17" x14ac:dyDescent="0.35">
      <c r="A94" s="5" t="s">
        <v>267</v>
      </c>
      <c r="B94" s="7" t="s">
        <v>268</v>
      </c>
      <c r="C94" s="55">
        <v>0.3378815</v>
      </c>
      <c r="D94" s="55">
        <v>-1.7840000000000002E-2</v>
      </c>
      <c r="E94" s="55">
        <v>8.0560000000000007E-3</v>
      </c>
      <c r="F94" s="6" t="s">
        <v>10</v>
      </c>
      <c r="G94" s="52"/>
      <c r="H94" s="78"/>
      <c r="I94" s="78"/>
      <c r="J94" s="78"/>
      <c r="K94" s="52"/>
      <c r="L94" s="78"/>
      <c r="M94" s="78"/>
      <c r="N94" s="78"/>
      <c r="O94" s="73"/>
      <c r="P94" s="73"/>
      <c r="Q94" s="73"/>
    </row>
    <row r="95" spans="1:17" x14ac:dyDescent="0.35">
      <c r="A95" s="21" t="s">
        <v>269</v>
      </c>
      <c r="B95" s="22" t="s">
        <v>270</v>
      </c>
      <c r="C95" s="54">
        <v>0.33371424999999999</v>
      </c>
      <c r="D95" s="54">
        <v>-0.55866899999999997</v>
      </c>
      <c r="E95" s="54">
        <v>-0.68487949999999997</v>
      </c>
      <c r="F95" s="8" t="s">
        <v>15</v>
      </c>
      <c r="G95" s="52"/>
      <c r="H95" s="78"/>
      <c r="I95" s="78"/>
      <c r="J95" s="78"/>
      <c r="K95" s="52"/>
      <c r="L95" s="78"/>
      <c r="M95" s="78"/>
      <c r="N95" s="78"/>
      <c r="O95" s="73"/>
      <c r="P95" s="73"/>
      <c r="Q95" s="73"/>
    </row>
    <row r="96" spans="1:17" x14ac:dyDescent="0.35">
      <c r="A96" s="5" t="s">
        <v>271</v>
      </c>
      <c r="B96" s="7" t="s">
        <v>272</v>
      </c>
      <c r="C96" s="55">
        <v>0.33201249999999999</v>
      </c>
      <c r="D96" s="55">
        <v>-8.6731500000000003E-2</v>
      </c>
      <c r="E96" s="55">
        <v>-0.11576549999999999</v>
      </c>
      <c r="F96" s="6" t="s">
        <v>17</v>
      </c>
      <c r="G96" s="52"/>
      <c r="H96" s="78"/>
      <c r="I96" s="78"/>
      <c r="J96" s="78"/>
      <c r="K96" s="52"/>
      <c r="L96" s="78"/>
      <c r="M96" s="78"/>
      <c r="N96" s="78"/>
      <c r="O96" s="73"/>
      <c r="P96" s="73"/>
      <c r="Q96" s="73"/>
    </row>
    <row r="97" spans="1:17" x14ac:dyDescent="0.35">
      <c r="A97" s="21" t="s">
        <v>200</v>
      </c>
      <c r="B97" s="22" t="s">
        <v>124</v>
      </c>
      <c r="C97" s="54">
        <v>0.33181100000000002</v>
      </c>
      <c r="D97" s="54">
        <v>1.601E-2</v>
      </c>
      <c r="E97" s="54">
        <v>-0.78492200000000001</v>
      </c>
      <c r="F97" s="8" t="s">
        <v>17</v>
      </c>
      <c r="G97" s="52"/>
      <c r="H97" s="78"/>
      <c r="I97" s="78"/>
      <c r="J97" s="78"/>
      <c r="K97" s="52"/>
      <c r="L97" s="78"/>
      <c r="M97" s="78"/>
      <c r="N97" s="78"/>
      <c r="O97" s="73"/>
      <c r="P97" s="73"/>
      <c r="Q97" s="73"/>
    </row>
    <row r="98" spans="1:17" x14ac:dyDescent="0.35">
      <c r="A98" s="5" t="s">
        <v>273</v>
      </c>
      <c r="B98" s="7" t="s">
        <v>274</v>
      </c>
      <c r="C98" s="55">
        <v>0.31930425000000001</v>
      </c>
      <c r="D98" s="55">
        <v>-7.7188000000000007E-2</v>
      </c>
      <c r="E98" s="55">
        <v>-7.8918000000000002E-2</v>
      </c>
      <c r="F98" s="6" t="s">
        <v>14</v>
      </c>
      <c r="G98" s="52"/>
      <c r="H98" s="78"/>
      <c r="I98" s="78"/>
      <c r="J98" s="78"/>
      <c r="K98" s="52"/>
      <c r="L98" s="78"/>
      <c r="M98" s="78"/>
      <c r="N98" s="78"/>
      <c r="O98" s="73"/>
      <c r="P98" s="73"/>
      <c r="Q98" s="73"/>
    </row>
    <row r="99" spans="1:17" x14ac:dyDescent="0.35">
      <c r="A99" s="21" t="s">
        <v>275</v>
      </c>
      <c r="B99" s="22" t="s">
        <v>276</v>
      </c>
      <c r="C99" s="54">
        <v>0.305369</v>
      </c>
      <c r="D99" s="54">
        <v>1.1995E-3</v>
      </c>
      <c r="E99" s="54">
        <v>0.22667950000000001</v>
      </c>
      <c r="F99" s="8" t="s">
        <v>16</v>
      </c>
      <c r="G99" s="52"/>
      <c r="H99" s="78"/>
      <c r="I99" s="78"/>
      <c r="J99" s="78"/>
      <c r="K99" s="52"/>
      <c r="L99" s="78"/>
      <c r="M99" s="78"/>
      <c r="N99" s="78"/>
      <c r="O99" s="73"/>
      <c r="P99" s="73"/>
      <c r="Q99" s="73"/>
    </row>
    <row r="100" spans="1:17" x14ac:dyDescent="0.35">
      <c r="A100" s="5" t="s">
        <v>212</v>
      </c>
      <c r="B100" s="7" t="s">
        <v>142</v>
      </c>
      <c r="C100" s="55">
        <v>0.30084149999999998</v>
      </c>
      <c r="D100" s="55">
        <v>0.113634</v>
      </c>
      <c r="E100" s="55">
        <v>9.0589500000000003E-2</v>
      </c>
      <c r="F100" s="6" t="s">
        <v>14</v>
      </c>
      <c r="G100" s="52"/>
      <c r="H100" s="78"/>
      <c r="I100" s="78"/>
      <c r="J100" s="78"/>
      <c r="K100" s="52"/>
      <c r="L100" s="78"/>
      <c r="M100" s="78"/>
      <c r="N100" s="78"/>
      <c r="O100" s="73"/>
      <c r="P100" s="73"/>
      <c r="Q100" s="73"/>
    </row>
    <row r="101" spans="1:17" x14ac:dyDescent="0.35">
      <c r="A101" s="75" t="s">
        <v>216</v>
      </c>
      <c r="B101" s="76" t="s">
        <v>143</v>
      </c>
      <c r="C101" s="77">
        <v>0.29967850000000001</v>
      </c>
      <c r="D101" s="77">
        <v>0.26177600000000001</v>
      </c>
      <c r="E101" s="77">
        <v>0.41757499999999997</v>
      </c>
      <c r="F101" s="9" t="s">
        <v>14</v>
      </c>
      <c r="G101" s="52"/>
      <c r="H101" s="78"/>
      <c r="I101" s="78"/>
      <c r="J101" s="78"/>
      <c r="K101" s="52"/>
      <c r="L101" s="78"/>
      <c r="M101" s="78"/>
      <c r="N101" s="78"/>
      <c r="O101" s="73"/>
      <c r="P101" s="73"/>
      <c r="Q101" s="73"/>
    </row>
    <row r="102" spans="1:17" x14ac:dyDescent="0.35">
      <c r="A102" s="45"/>
      <c r="B102" s="10"/>
      <c r="C102" s="10"/>
      <c r="D102" s="10"/>
      <c r="E102" s="10"/>
      <c r="F102" s="46"/>
    </row>
    <row r="105" spans="1:17" x14ac:dyDescent="0.35">
      <c r="A105" s="11" t="s">
        <v>80</v>
      </c>
    </row>
    <row r="106" spans="1:17" x14ac:dyDescent="0.35">
      <c r="A106" s="11" t="s">
        <v>133</v>
      </c>
    </row>
    <row r="107" spans="1:17" x14ac:dyDescent="0.35">
      <c r="A107" s="11" t="s">
        <v>132</v>
      </c>
    </row>
    <row r="108" spans="1:17" x14ac:dyDescent="0.35">
      <c r="A108" s="11" t="s">
        <v>137</v>
      </c>
    </row>
    <row r="109" spans="1:17" x14ac:dyDescent="0.35">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3: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2025-01-06T03:45:32Z</dcterms:modified>
</cp:coreProperties>
</file>