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7F556474-2224-4A8C-8F3B-1B634A4C6548}" xr6:coauthVersionLast="47" xr6:coauthVersionMax="47" xr10:uidLastSave="{00000000-0000-0000-0000-000000000000}"/>
  <bookViews>
    <workbookView xWindow="53880" yWindow="-120" windowWidth="29040" windowHeight="15720" tabRatio="888" activeTab="2"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<sst xmlns="http://schemas.openxmlformats.org/spreadsheetml/2006/main" count="139" uniqueCount="95">
  <si>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</si>
  <si>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</si>
  <si>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</si>
  <si>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</si>
  <si>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</si>
  <si>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</si>
  <si>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</si>
  <si>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</si>
  <si>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</si>
  <si>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</si>
  <si>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</si>
  <si>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</si>
  <si>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</si>
  <si>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</si>
  <si>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</si>
  <si>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</si>
  <si>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</si>
  <si>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</si>
  <si>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</si>
  <si>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</si>
  <si>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</si>
  <si>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</si>
  <si>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U11</t>
  </si>
  <si>
    <t>DBS</t>
  </si>
  <si>
    <t>UOB</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</si>
  <si>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</si>
  <si>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</si>
  <si>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</si>
  <si>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</si>
  <si>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</si>
  <si>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</si>
  <si>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</si>
  <si>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</si>
  <si>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</si>
  <si>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</si>
  <si>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</si>
  <si>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OCBC</t>
  </si>
  <si>
    <t>O39</t>
  </si>
  <si>
    <t>ST Engineering</t>
  </si>
  <si>
    <t>S63</t>
  </si>
  <si>
    <t>Yangzijiang Shipbuilding</t>
  </si>
  <si>
    <t>BS6</t>
  </si>
  <si>
    <t>8YZ</t>
  </si>
  <si>
    <t>City Developments</t>
  </si>
  <si>
    <t>C09</t>
  </si>
  <si>
    <t>Yangzijiang Maritime</t>
  </si>
  <si>
    <t>Yangzijiang Financial</t>
  </si>
  <si>
    <t>YF8</t>
  </si>
  <si>
    <t>Singtel</t>
  </si>
  <si>
    <t>Z74</t>
  </si>
  <si>
    <t>Jardine Matheson</t>
  </si>
  <si>
    <t>J36</t>
  </si>
  <si>
    <t>SGX</t>
  </si>
  <si>
    <t>S68</t>
  </si>
  <si>
    <t>Thai Beverage</t>
  </si>
  <si>
    <t>Y92</t>
  </si>
  <si>
    <t>CapitaLand Investment</t>
  </si>
  <si>
    <t>9CI</t>
  </si>
  <si>
    <t>Sembcorp Industries</t>
  </si>
  <si>
    <t>U96</t>
  </si>
  <si>
    <t>Hongkong Land</t>
  </si>
  <si>
    <t>H78</t>
  </si>
  <si>
    <t>UOL</t>
  </si>
  <si>
    <t>U14</t>
  </si>
  <si>
    <t>Venture Corporation</t>
  </si>
  <si>
    <t>V03</t>
  </si>
  <si>
    <t>CapitaLand Integrated Commercial Trust</t>
  </si>
  <si>
    <t>C38U</t>
  </si>
  <si>
    <t xml:space="preserve">Frasers Centrepoint Trust </t>
  </si>
  <si>
    <t>J69U</t>
  </si>
  <si>
    <t>Low Keng Huat</t>
  </si>
  <si>
    <t>F1E</t>
  </si>
  <si>
    <t>Wilmar International</t>
  </si>
  <si>
    <t>F34</t>
  </si>
  <si>
    <t>SIA</t>
  </si>
  <si>
    <t>C6L</t>
  </si>
  <si>
    <t>Haw Par</t>
  </si>
  <si>
    <t>H02</t>
  </si>
  <si>
    <t>Genting Singapore</t>
  </si>
  <si>
    <t>G13</t>
  </si>
  <si>
    <t>SIA Engineering</t>
  </si>
  <si>
    <t>S59</t>
  </si>
  <si>
    <t>Olam Group</t>
  </si>
  <si>
    <t>VC2</t>
  </si>
  <si>
    <t>Mapletree Industrial Trust</t>
  </si>
  <si>
    <t>ME8U</t>
  </si>
  <si>
    <t>Keppel</t>
  </si>
  <si>
    <t>BN4</t>
  </si>
  <si>
    <t>iFast Corporation</t>
  </si>
  <si>
    <t>AIY</t>
  </si>
  <si>
    <t>SATS</t>
  </si>
  <si>
    <t>S58</t>
  </si>
  <si>
    <t>Week of 12 January 2026</t>
  </si>
  <si>
    <r>
      <t xml:space="preserve">Institutional investors net </t>
    </r>
    <r>
      <rPr>
        <b/>
        <sz val="11"/>
        <rFont val="Arial"/>
        <family val="2"/>
      </rPr>
      <t>buy</t>
    </r>
    <r>
      <rPr>
        <sz val="11"/>
        <rFont val="Arial"/>
        <family val="2"/>
      </rPr>
      <t xml:space="preserve"> (+S$194.5m) vs. (+S$53.8m) a week ago</t>
    </r>
  </si>
  <si>
    <r>
      <t xml:space="preserve">Retail investors net </t>
    </r>
    <r>
      <rPr>
        <b/>
        <sz val="11"/>
        <rFont val="Arial"/>
        <family val="2"/>
      </rPr>
      <t>sell</t>
    </r>
    <r>
      <rPr>
        <sz val="11"/>
        <rFont val="Arial"/>
        <family val="2"/>
      </rPr>
      <t xml:space="preserve"> (-S$181.2m) vs. (-S$66.5m)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</si>
</sst>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3">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34"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92</v>
      </c>
      <c r="C1" s="59"/>
    </row>
    <row r="2" spans="1:13" ht="15" x14ac:dyDescent="0.25">
      <c r="A2" s="52" t="s">
        <v>93</v>
      </c>
      <c r="I2" s="40"/>
    </row>
    <row r="3" spans="1:13" ht="15" x14ac:dyDescent="0.25">
      <c r="A3" s="52" t="s">
        <v>94</v>
      </c>
      <c r="I3" s="40"/>
    </row>
    <row r="5" spans="1:13" ht="29.25" customHeight="1" x14ac:dyDescent="0.2">
      <c r="A5" s="3" t="s">
        <v>0</v>
      </c>
      <c r="B5" s="3" t="s">
        <v>1</v>
      </c>
      <c r="C5" s="4" t="s">
        <v>92</v>
      </c>
      <c r="D5" s="43" t="s">
        <v>2</v>
      </c>
      <c r="E5" s="43" t="s">
        <v>1</v>
      </c>
      <c r="F5" s="44" t="str">
        <f>+C5</f>
        <v>Week of 12 January 2026</v>
      </c>
      <c r="I5" s="2"/>
    </row>
    <row r="6" spans="1:13" ht="15" x14ac:dyDescent="0.25">
      <c r="A6" s="28" t="s">
        <v>36</v>
      </c>
      <c r="B6" s="46" t="s">
        <v>37</v>
      </c>
      <c r="C6" s="5">
        <v>95.992153999999999</v>
      </c>
      <c r="D6" s="28" t="s">
        <v>23</v>
      </c>
      <c r="E6" s="46" t="s">
        <v>21</v>
      </c>
      <c r="F6" s="5">
        <v>-53.719379000000004</v>
      </c>
      <c r="G6" s="61"/>
      <c r="H6"/>
      <c r="I6" s="2"/>
      <c r="M6"/>
    </row>
    <row r="7" spans="1:13" ht="15" x14ac:dyDescent="0.25">
      <c r="A7" s="29" t="s">
        <v>38</v>
      </c>
      <c r="B7" s="9" t="s">
        <v>39</v>
      </c>
      <c r="C7" s="7">
        <v>37.542707999999998</v>
      </c>
      <c r="D7" s="29" t="s">
        <v>74</v>
      </c>
      <c r="E7" s="9" t="s">
        <v>75</v>
      </c>
      <c r="F7" s="7">
        <v>-22.272152999999999</v>
      </c>
      <c r="G7" s="61"/>
      <c r="H7"/>
      <c r="I7" s="2"/>
      <c r="L7"/>
      <c r="M7"/>
    </row>
    <row r="8" spans="1:13" ht="15" x14ac:dyDescent="0.25">
      <c r="A8" s="30" t="s">
        <v>60</v>
      </c>
      <c r="B8" s="46" t="s">
        <v>61</v>
      </c>
      <c r="C8" s="5">
        <v>36.173787015700007</v>
      </c>
      <c r="D8" s="30" t="s">
        <v>58</v>
      </c>
      <c r="E8" s="46" t="s">
        <v>59</v>
      </c>
      <c r="F8" s="5">
        <v>-18.397319</v>
      </c>
      <c r="G8" s="61"/>
      <c r="H8"/>
      <c r="I8" s="2"/>
      <c r="L8"/>
      <c r="M8"/>
    </row>
    <row r="9" spans="1:13" ht="15" x14ac:dyDescent="0.25">
      <c r="A9" s="29" t="s">
        <v>62</v>
      </c>
      <c r="B9" s="9" t="s">
        <v>63</v>
      </c>
      <c r="C9" s="7">
        <v>23.210657999999999</v>
      </c>
      <c r="D9" s="29" t="s">
        <v>50</v>
      </c>
      <c r="E9" s="9" t="s">
        <v>51</v>
      </c>
      <c r="F9" s="7">
        <v>-12.9699253021</v>
      </c>
      <c r="G9" s="61"/>
      <c r="H9"/>
      <c r="I9" s="2"/>
      <c r="L9"/>
      <c r="M9"/>
    </row>
    <row r="10" spans="1:13" ht="15" x14ac:dyDescent="0.25">
      <c r="A10" s="30" t="s">
        <v>43</v>
      </c>
      <c r="B10" s="46" t="s">
        <v>44</v>
      </c>
      <c r="C10" s="5">
        <v>21.243469999999999</v>
      </c>
      <c r="D10" s="30" t="s">
        <v>46</v>
      </c>
      <c r="E10" s="46" t="s">
        <v>47</v>
      </c>
      <c r="F10" s="5">
        <v>-11.9231245</v>
      </c>
      <c r="G10" s="61"/>
      <c r="H10"/>
      <c r="I10" s="2"/>
      <c r="L10"/>
      <c r="M10"/>
    </row>
    <row r="11" spans="1:13" ht="15" x14ac:dyDescent="0.25">
      <c r="A11" s="29" t="s">
        <v>70</v>
      </c>
      <c r="B11" s="9" t="s">
        <v>71</v>
      </c>
      <c r="C11" s="7">
        <v>19.745476499999999</v>
      </c>
      <c r="D11" s="29" t="s">
        <v>40</v>
      </c>
      <c r="E11" s="9" t="s">
        <v>41</v>
      </c>
      <c r="F11" s="7">
        <v>-8.3155090000000005</v>
      </c>
      <c r="G11" s="61"/>
      <c r="H11"/>
      <c r="I11" s="2"/>
      <c r="L11"/>
      <c r="M11"/>
    </row>
    <row r="12" spans="1:13" ht="15" x14ac:dyDescent="0.25">
      <c r="A12" s="30" t="s">
        <v>48</v>
      </c>
      <c r="B12" s="46" t="s">
        <v>49</v>
      </c>
      <c r="C12" s="5">
        <v>18.2867487</v>
      </c>
      <c r="D12" s="30" t="s">
        <v>66</v>
      </c>
      <c r="E12" s="46" t="s">
        <v>67</v>
      </c>
      <c r="F12" s="5">
        <v>-6.6197730000000004</v>
      </c>
      <c r="G12" s="61"/>
      <c r="H12"/>
      <c r="I12" s="2"/>
      <c r="L12"/>
      <c r="M12"/>
    </row>
    <row r="13" spans="1:13" ht="15" x14ac:dyDescent="0.25">
      <c r="A13" s="29" t="s">
        <v>52</v>
      </c>
      <c r="B13" s="9" t="s">
        <v>53</v>
      </c>
      <c r="C13" s="7">
        <v>17.515391000000001</v>
      </c>
      <c r="D13" s="29" t="s">
        <v>76</v>
      </c>
      <c r="E13" s="9" t="s">
        <v>77</v>
      </c>
      <c r="F13" s="7">
        <v>-6.383928</v>
      </c>
      <c r="G13" s="61"/>
      <c r="H13"/>
      <c r="I13" s="2"/>
      <c r="L13"/>
      <c r="M13"/>
    </row>
    <row r="14" spans="1:13" ht="15" x14ac:dyDescent="0.25">
      <c r="A14" s="30" t="s">
        <v>56</v>
      </c>
      <c r="B14" s="46" t="s">
        <v>57</v>
      </c>
      <c r="C14" s="5">
        <v>16.318556000000001</v>
      </c>
      <c r="D14" s="30" t="s">
        <v>68</v>
      </c>
      <c r="E14" s="46" t="s">
        <v>69</v>
      </c>
      <c r="F14" s="5">
        <v>-6.1150169999999999</v>
      </c>
      <c r="G14" s="61"/>
      <c r="H14"/>
      <c r="I14" s="2"/>
      <c r="L14"/>
      <c r="M14"/>
    </row>
    <row r="15" spans="1:13" ht="15" x14ac:dyDescent="0.25">
      <c r="A15" s="31" t="s">
        <v>72</v>
      </c>
      <c r="B15" s="27" t="s">
        <v>73</v>
      </c>
      <c r="C15" s="8">
        <v>15.66628</v>
      </c>
      <c r="D15" s="31" t="s">
        <v>24</v>
      </c>
      <c r="E15" s="27" t="s">
        <v>22</v>
      </c>
      <c r="F15" s="8">
        <v>-5.9748060000000001</v>
      </c>
      <c r="G15" s="61"/>
      <c r="H15"/>
      <c r="I15" s="2"/>
      <c r="L15"/>
      <c r="M15"/>
    </row>
    <row r="16" spans="1:13" ht="15" x14ac:dyDescent="0.2">
      <c r="A16" s="9"/>
      <c r="B16" s="9"/>
      <c r="C16" s="9"/>
      <c r="D16" s="26"/>
      <c r="E16" s="9"/>
      <c r="F16" s="9"/>
    </row>
    <row r="17" spans="1:9" x14ac:dyDescent="0.2">
      <c r="A17" s="9"/>
      <c r="B17" s="9"/>
      <c r="C17" s="9"/>
      <c r="D17" s="9"/>
      <c r="E17" s="9"/>
      <c r="F17" s="9"/>
    </row>
    <row r="18" spans="1:9" ht="28.5" customHeight="1" x14ac:dyDescent="0.2">
      <c r="A18" s="33" t="s">
        <v>3</v>
      </c>
      <c r="B18" s="3" t="s">
        <v>1</v>
      </c>
      <c r="C18" s="4" t="str">
        <f>C5</f>
        <v>Week of 12 January 2026</v>
      </c>
      <c r="D18" s="45" t="s">
        <v>4</v>
      </c>
      <c r="E18" s="43" t="s">
        <v>1</v>
      </c>
      <c r="F18" s="44" t="str">
        <f>+C18</f>
        <v>Week of 12 January 2026</v>
      </c>
    </row>
    <row r="19" spans="1:9" x14ac:dyDescent="0.2">
      <c r="A19" s="30" t="s">
        <v>23</v>
      </c>
      <c r="B19" s="46" t="s">
        <v>21</v>
      </c>
      <c r="C19" s="16">
        <v>38.126353000000002</v>
      </c>
      <c r="D19" s="30" t="s">
        <v>36</v>
      </c>
      <c r="E19" s="15" t="s">
        <v>37</v>
      </c>
      <c r="F19" s="5">
        <v>-44.359636000000002</v>
      </c>
      <c r="I19" s="2"/>
    </row>
    <row r="20" spans="1:9" ht="15" x14ac:dyDescent="0.25">
      <c r="A20" s="29" t="s">
        <v>40</v>
      </c>
      <c r="B20" s="9" t="s">
        <v>41</v>
      </c>
      <c r="C20" s="7">
        <v>30.908557999999999</v>
      </c>
      <c r="D20" s="29" t="s">
        <v>24</v>
      </c>
      <c r="E20" s="17" t="s">
        <v>22</v>
      </c>
      <c r="F20" s="7">
        <v>-43.712485000000001</v>
      </c>
      <c r="G20" s="61"/>
      <c r="I20" s="2"/>
    </row>
    <row r="21" spans="1:9" ht="15" x14ac:dyDescent="0.25">
      <c r="A21" s="30" t="s">
        <v>74</v>
      </c>
      <c r="B21" s="46" t="s">
        <v>75</v>
      </c>
      <c r="C21" s="5">
        <v>25.132884000000001</v>
      </c>
      <c r="D21" s="30" t="s">
        <v>38</v>
      </c>
      <c r="E21" s="6" t="s">
        <v>39</v>
      </c>
      <c r="F21" s="5">
        <v>-39.043083000000003</v>
      </c>
      <c r="G21" s="61"/>
      <c r="I21" s="2"/>
    </row>
    <row r="22" spans="1:9" ht="15" x14ac:dyDescent="0.25">
      <c r="A22" s="29" t="s">
        <v>46</v>
      </c>
      <c r="B22" s="9" t="s">
        <v>47</v>
      </c>
      <c r="C22" s="7">
        <v>11.528877</v>
      </c>
      <c r="D22" s="29" t="s">
        <v>86</v>
      </c>
      <c r="E22" s="17" t="s">
        <v>87</v>
      </c>
      <c r="F22" s="7">
        <v>-23.376231000000001</v>
      </c>
      <c r="G22" s="61"/>
      <c r="I22" s="2"/>
    </row>
    <row r="23" spans="1:9" ht="15" x14ac:dyDescent="0.25">
      <c r="A23" s="30" t="s">
        <v>78</v>
      </c>
      <c r="B23" s="46" t="s">
        <v>79</v>
      </c>
      <c r="C23" s="5">
        <v>8.1446570000000005</v>
      </c>
      <c r="D23" s="30" t="s">
        <v>88</v>
      </c>
      <c r="E23" s="6" t="s">
        <v>89</v>
      </c>
      <c r="F23" s="5">
        <v>-21.431473</v>
      </c>
      <c r="G23" s="61"/>
      <c r="I23" s="2"/>
    </row>
    <row r="24" spans="1:9" ht="15" x14ac:dyDescent="0.25">
      <c r="A24" s="29" t="s">
        <v>54</v>
      </c>
      <c r="B24" s="9" t="s">
        <v>55</v>
      </c>
      <c r="C24" s="7">
        <v>6.0905339999999999</v>
      </c>
      <c r="D24" s="29" t="s">
        <v>70</v>
      </c>
      <c r="E24" s="17" t="s">
        <v>71</v>
      </c>
      <c r="F24" s="7">
        <v>-19.579329999999999</v>
      </c>
      <c r="G24" s="61"/>
      <c r="I24" s="2"/>
    </row>
    <row r="25" spans="1:9" ht="15" x14ac:dyDescent="0.25">
      <c r="A25" s="30" t="s">
        <v>80</v>
      </c>
      <c r="B25" s="46" t="s">
        <v>81</v>
      </c>
      <c r="C25" s="5">
        <v>6.074039</v>
      </c>
      <c r="D25" s="30" t="s">
        <v>43</v>
      </c>
      <c r="E25" s="6" t="s">
        <v>44</v>
      </c>
      <c r="F25" s="5">
        <v>-15.406306000000001</v>
      </c>
      <c r="G25" s="61"/>
      <c r="I25" s="2"/>
    </row>
    <row r="26" spans="1:9" ht="15" x14ac:dyDescent="0.25">
      <c r="A26" s="29" t="s">
        <v>45</v>
      </c>
      <c r="B26" s="9" t="s">
        <v>42</v>
      </c>
      <c r="C26" s="7">
        <v>5.7745744999999999</v>
      </c>
      <c r="D26" s="29" t="s">
        <v>90</v>
      </c>
      <c r="E26" s="17" t="s">
        <v>91</v>
      </c>
      <c r="F26" s="7">
        <v>-14.470705000000001</v>
      </c>
      <c r="G26" s="61"/>
      <c r="I26" s="2"/>
    </row>
    <row r="27" spans="1:9" ht="15" x14ac:dyDescent="0.25">
      <c r="A27" s="30" t="s">
        <v>82</v>
      </c>
      <c r="B27" s="46" t="s">
        <v>83</v>
      </c>
      <c r="C27" s="5">
        <v>4.6343994999999998</v>
      </c>
      <c r="D27" s="30" t="s">
        <v>62</v>
      </c>
      <c r="E27" s="6" t="s">
        <v>63</v>
      </c>
      <c r="F27" s="5">
        <v>-12.646806</v>
      </c>
      <c r="G27" s="61"/>
      <c r="I27" s="2"/>
    </row>
    <row r="28" spans="1:9" ht="15" x14ac:dyDescent="0.25">
      <c r="A28" s="27" t="s">
        <v>84</v>
      </c>
      <c r="B28" s="56" t="s">
        <v>85</v>
      </c>
      <c r="C28" s="8">
        <v>3.862387</v>
      </c>
      <c r="D28" s="27" t="s">
        <v>64</v>
      </c>
      <c r="E28" s="56" t="s">
        <v>65</v>
      </c>
      <c r="F28" s="8">
        <v>-12.17853</v>
      </c>
      <c r="G28" s="61"/>
      <c r="I28" s="2"/>
    </row>
    <row r="29" spans="1:9" x14ac:dyDescent="0.2">
      <c r="A29" s="9"/>
      <c r="B29" s="9"/>
      <c r="C29" s="9"/>
      <c r="D29" s="9"/>
      <c r="E29" s="9"/>
      <c r="F29" s="9"/>
    </row>
    <row r="30" spans="1:9" x14ac:dyDescent="0.2">
      <c r="A30" s="10" t="s">
        <v>32</v>
      </c>
      <c r="B30" s="10"/>
      <c r="C30" s="9"/>
      <c r="D30" s="9"/>
      <c r="E30" s="9"/>
      <c r="F30" s="9"/>
    </row>
    <row r="31" spans="1:9" x14ac:dyDescent="0.2">
      <c r="A31" s="10" t="s">
        <v>29</v>
      </c>
      <c r="B31" s="10"/>
      <c r="C31" s="9"/>
      <c r="D31" s="9"/>
      <c r="E31" s="9"/>
      <c r="F31" s="9"/>
    </row>
    <row r="32" spans="1:9" x14ac:dyDescent="0.2">
      <c r="A32" s="10" t="s">
        <v>30</v>
      </c>
      <c r="B32" s="10"/>
      <c r="C32" s="9"/>
      <c r="D32" s="9"/>
      <c r="E32" s="9"/>
      <c r="F32" s="9"/>
    </row>
    <row r="33" spans="1:9" x14ac:dyDescent="0.2">
      <c r="A33" s="10" t="s">
        <v>6</v>
      </c>
      <c r="B33" s="10"/>
      <c r="C33" s="9"/>
      <c r="D33" s="9"/>
      <c r="E33" s="9"/>
      <c r="F33" s="9"/>
    </row>
    <row r="34" spans="1:9" x14ac:dyDescent="0.2">
      <c r="A34" s="57" t="s">
        <v>28</v>
      </c>
      <c r="B34" s="10"/>
      <c r="C34" s="9"/>
      <c r="D34" s="9"/>
      <c r="E34" s="9"/>
      <c r="F34" s="9"/>
      <c r="G34" s="49"/>
    </row>
    <row r="35" spans="1:9" x14ac:dyDescent="0.2">
      <c r="A35" s="10"/>
      <c r="B35" s="10"/>
      <c r="C35" s="9"/>
      <c r="D35" s="9"/>
      <c r="E35" s="9"/>
      <c r="F35" s="9"/>
    </row>
    <row r="36" spans="1:9" x14ac:dyDescent="0.2">
      <c r="A36" s="10"/>
      <c r="B36" s="10"/>
      <c r="C36" s="9"/>
      <c r="D36" s="9"/>
      <c r="E36" s="9"/>
      <c r="F36" s="9"/>
    </row>
    <row r="37" spans="1:9" customFormat="1" ht="15.75" x14ac:dyDescent="0.25">
      <c r="A37" s="18" t="s">
        <v>25</v>
      </c>
      <c r="B37" s="19"/>
      <c r="C37" s="20"/>
      <c r="D37" s="20"/>
      <c r="E37" s="19"/>
      <c r="F37" s="19"/>
      <c r="I37" s="32"/>
    </row>
    <row r="38" spans="1:9" customFormat="1" ht="15" x14ac:dyDescent="0.25">
      <c r="A38" s="21" t="s">
        <v>34</v>
      </c>
      <c r="B38" s="19"/>
      <c r="C38" s="20"/>
      <c r="D38" s="20"/>
      <c r="E38" s="19"/>
      <c r="F38" s="19"/>
      <c r="I38" s="32"/>
    </row>
    <row r="39" spans="1:9" s="25" customFormat="1" ht="19.350000000000001" customHeight="1" x14ac:dyDescent="0.25">
      <c r="A39" s="22" t="s">
        <v>33</v>
      </c>
      <c r="B39" s="23"/>
      <c r="C39" s="24"/>
      <c r="D39" s="24"/>
      <c r="E39" s="23"/>
      <c r="F39" s="23"/>
      <c r="I39" s="35"/>
    </row>
    <row r="40" spans="1:9" ht="169.35" customHeight="1" x14ac:dyDescent="0.2">
      <c r="A40" s="67" t="s">
        <v>35</v>
      </c>
      <c r="B40" s="67"/>
      <c r="C40" s="67"/>
      <c r="D40" s="67"/>
      <c r="E40" s="67"/>
      <c r="F40" s="67"/>
    </row>
    <row r="41" spans="1:9" x14ac:dyDescent="0.2">
      <c r="A41" s="9"/>
      <c r="B41" s="9"/>
      <c r="C41" s="9"/>
      <c r="D41" s="9"/>
      <c r="E41" s="9"/>
      <c r="F41" s="9"/>
    </row>
    <row r="42" spans="1:9" x14ac:dyDescent="0.2">
      <c r="A42" s="9"/>
      <c r="B42" s="9"/>
      <c r="C42" s="9"/>
      <c r="D42" s="9"/>
      <c r="E42" s="9"/>
      <c r="F42" s="9"/>
    </row>
    <row r="43" spans="1:9" x14ac:dyDescent="0.2">
      <c r="A43" s="9"/>
      <c r="B43" s="9"/>
      <c r="C43" s="9"/>
      <c r="D43" s="9"/>
      <c r="E43" s="9"/>
      <c r="F43" s="9"/>
    </row>
    <row r="44" spans="1:9" x14ac:dyDescent="0.2">
      <c r="A44" s="9"/>
      <c r="B44" s="9"/>
      <c r="C44" s="9"/>
      <c r="D44" s="9"/>
      <c r="E44" s="9"/>
      <c r="F44" s="9"/>
    </row>
    <row r="45" spans="1:9" x14ac:dyDescent="0.2">
      <c r="A45" s="9"/>
      <c r="B45" s="9"/>
      <c r="C45" s="9"/>
      <c r="D45" s="9"/>
      <c r="E45" s="9"/>
      <c r="F45" s="9"/>
    </row>
    <row r="46" spans="1:9" x14ac:dyDescent="0.2">
      <c r="A46" s="9"/>
      <c r="B46" s="9"/>
      <c r="C46" s="9"/>
      <c r="D46" s="9"/>
      <c r="E46" s="9"/>
      <c r="F46" s="9"/>
    </row>
    <row r="47" spans="1:9" x14ac:dyDescent="0.2">
      <c r="A47" s="9"/>
      <c r="B47" s="9"/>
      <c r="C47" s="9"/>
      <c r="D47" s="9"/>
      <c r="E47" s="9"/>
      <c r="F47" s="9"/>
    </row>
    <row r="48" spans="1:9" x14ac:dyDescent="0.2">
      <c r="A48" s="9"/>
      <c r="B48" s="9"/>
      <c r="C48" s="9"/>
      <c r="D48" s="9"/>
      <c r="E48" s="9"/>
      <c r="F48" s="9"/>
    </row>
    <row r="49" spans="1:6" x14ac:dyDescent="0.2">
      <c r="A49" s="9"/>
      <c r="B49" s="9"/>
      <c r="C49" s="9"/>
      <c r="D49" s="9"/>
      <c r="E49" s="9"/>
      <c r="F49" s="9"/>
    </row>
    <row r="50" spans="1:6" x14ac:dyDescent="0.2">
      <c r="A50" s="11"/>
      <c r="B50" s="11"/>
      <c r="C50" s="11"/>
      <c r="D50" s="11"/>
      <c r="E50" s="11"/>
      <c r="F50" s="11"/>
    </row>
    <row r="51" spans="1:6" x14ac:dyDescent="0.2">
      <c r="A51" s="11"/>
      <c r="B51" s="11"/>
      <c r="C51" s="11"/>
      <c r="D51" s="11"/>
      <c r="E51" s="11"/>
      <c r="F51" s="11"/>
    </row>
    <row r="52" spans="1:6" x14ac:dyDescent="0.2">
      <c r="A52" s="11"/>
      <c r="B52" s="11"/>
      <c r="C52" s="11"/>
      <c r="D52" s="11"/>
      <c r="E52" s="11"/>
      <c r="F52" s="11"/>
    </row>
    <row r="53" spans="1:6" x14ac:dyDescent="0.2">
      <c r="A53" s="11"/>
      <c r="B53" s="11"/>
      <c r="C53" s="11"/>
      <c r="D53" s="11"/>
      <c r="E53" s="11"/>
      <c r="F53" s="11"/>
    </row>
    <row r="54" spans="1:6" x14ac:dyDescent="0.2">
      <c r="A54" s="11"/>
      <c r="B54" s="11"/>
      <c r="C54" s="11"/>
      <c r="D54" s="11"/>
      <c r="E54" s="11"/>
      <c r="F54" s="11"/>
    </row>
    <row r="55" spans="1:6" x14ac:dyDescent="0.2">
      <c r="A55" s="11"/>
      <c r="B55" s="11"/>
      <c r="C55" s="11"/>
      <c r="D55" s="11"/>
      <c r="E55" s="11"/>
      <c r="F55" s="11"/>
    </row>
    <row r="56" spans="1:6" x14ac:dyDescent="0.2">
      <c r="A56" s="11"/>
      <c r="B56" s="11"/>
      <c r="C56" s="11"/>
      <c r="D56" s="11"/>
      <c r="E56" s="11"/>
      <c r="F56" s="11"/>
    </row>
    <row r="57" spans="1:6" x14ac:dyDescent="0.2">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9" style="2" bestFit="1" customWidth="1"/>
    <col min="15" max="16384" width="9.42578125" style="2"/>
  </cols>
  <sheetData>
    <row r="1" spans="1:15" ht="17.25" customHeight="1" x14ac:dyDescent="0.2">
      <c r="A1" s="68" t="s">
        <v>7</v>
      </c>
      <c r="B1" s="12"/>
      <c r="C1" s="70" t="s">
        <v>8</v>
      </c>
      <c r="D1" s="71"/>
      <c r="E1" s="71"/>
      <c r="F1" s="71"/>
      <c r="G1" s="71"/>
      <c r="H1" s="71"/>
      <c r="I1" s="71"/>
      <c r="J1" s="71"/>
      <c r="K1" s="71"/>
      <c r="L1" s="71"/>
      <c r="M1" s="71"/>
      <c r="N1" s="72"/>
    </row>
    <row r="2" spans="1:15" ht="75" x14ac:dyDescent="0.2">
      <c r="A2" s="69"/>
      <c r="B2" s="12" t="s">
        <v>9</v>
      </c>
      <c r="C2" s="12" t="s">
        <v>10</v>
      </c>
      <c r="D2" s="12" t="s">
        <v>11</v>
      </c>
      <c r="E2" s="12" t="s">
        <v>12</v>
      </c>
      <c r="F2" s="12" t="s">
        <v>13</v>
      </c>
      <c r="G2" s="12" t="s">
        <v>26</v>
      </c>
      <c r="H2" s="12" t="s">
        <v>14</v>
      </c>
      <c r="I2" s="12" t="s">
        <v>15</v>
      </c>
      <c r="J2" s="12" t="s">
        <v>16</v>
      </c>
      <c r="K2" s="12" t="s">
        <v>17</v>
      </c>
      <c r="L2" s="12" t="s">
        <v>18</v>
      </c>
      <c r="M2" s="12" t="s">
        <v>27</v>
      </c>
      <c r="N2" s="12" t="s">
        <v>19</v>
      </c>
    </row>
    <row r="3" spans="1:15" ht="15" x14ac:dyDescent="0.25">
      <c r="A3" s="38">
        <f>SUM(C3:N3)</f>
        <v>68.364206667440016</v>
      </c>
      <c r="B3" s="54">
        <v>46013</v>
      </c>
      <c r="C3" s="14">
        <v>5.012673952560001</v>
      </c>
      <c r="D3" s="14">
        <v>-1.9307551691000004</v>
      </c>
      <c r="E3" s="14">
        <v>1.5632354000000004</v>
      </c>
      <c r="F3" s="14">
        <v>-20.650618500000007</v>
      </c>
      <c r="G3" s="14">
        <v>-2.7525126352000013</v>
      </c>
      <c r="H3" s="14">
        <v>39.306779346300011</v>
      </c>
      <c r="I3" s="14">
        <v>0.75774159999999979</v>
      </c>
      <c r="J3" s="14">
        <v>27.554921094900006</v>
      </c>
      <c r="K3" s="14">
        <v>10.47402872798</v>
      </c>
      <c r="L3" s="14">
        <v>9.6467999499999983</v>
      </c>
      <c r="M3" s="14">
        <v>-10.9631554</v>
      </c>
      <c r="N3" s="14">
        <v>10.345068300000001</v>
      </c>
    </row>
    <row r="4" spans="1:15" ht="15" x14ac:dyDescent="0.25">
      <c r="A4" s="38">
        <f>SUM(C4:N4)</f>
        <v>-141.78875504295996</v>
      </c>
      <c r="B4" s="42">
        <v>46020</v>
      </c>
      <c r="C4" s="53">
        <v>13.383697533379996</v>
      </c>
      <c r="D4" s="53">
        <v>-22.520233248099998</v>
      </c>
      <c r="E4" s="53">
        <v>-1.4321908999999997</v>
      </c>
      <c r="F4" s="53">
        <v>-158.6777744</v>
      </c>
      <c r="G4" s="53">
        <v>0.26874417259999972</v>
      </c>
      <c r="H4" s="53">
        <v>26.757225991949984</v>
      </c>
      <c r="I4" s="53">
        <v>-0.96020559999999999</v>
      </c>
      <c r="J4" s="53">
        <v>12.3208614005</v>
      </c>
      <c r="K4" s="53">
        <v>0.96964930670999738</v>
      </c>
      <c r="L4" s="53">
        <v>7.137686399999998</v>
      </c>
      <c r="M4" s="53">
        <v>-17.131996299999997</v>
      </c>
      <c r="N4" s="53">
        <v>-1.9042194000000001</v>
      </c>
    </row>
    <row r="5" spans="1:15" ht="15" x14ac:dyDescent="0.25">
      <c r="A5" s="38">
        <f>SUM(C5:N5)</f>
        <v>53.793486723189964</v>
      </c>
      <c r="B5" s="66">
        <v>46027</v>
      </c>
      <c r="C5" s="14">
        <v>4.3421352563400006</v>
      </c>
      <c r="D5" s="14">
        <v>-1.0498704666000016</v>
      </c>
      <c r="E5" s="14">
        <v>-1.7228912000000005</v>
      </c>
      <c r="F5" s="14">
        <v>-16.9062062</v>
      </c>
      <c r="G5" s="14">
        <v>-5.7780664594999998</v>
      </c>
      <c r="H5" s="14">
        <v>102.7263018835</v>
      </c>
      <c r="I5" s="14">
        <v>-2.3826771000000009</v>
      </c>
      <c r="J5" s="14">
        <v>76.62179107229997</v>
      </c>
      <c r="K5" s="14">
        <v>-22.187972062850001</v>
      </c>
      <c r="L5" s="14">
        <v>17.670512500000001</v>
      </c>
      <c r="M5" s="14">
        <v>-73.191580200000004</v>
      </c>
      <c r="N5" s="14">
        <v>-24.347990299999999</v>
      </c>
    </row>
    <row r="6" spans="1:15" ht="15" x14ac:dyDescent="0.25">
      <c r="A6" s="38">
        <f>SUM(C6:N6)</f>
        <v>194.51919850204004</v>
      </c>
      <c r="B6" s="58">
        <v>46034</v>
      </c>
      <c r="C6" s="53">
        <v>-9.8803084481999992</v>
      </c>
      <c r="D6" s="53">
        <v>3.0039179550000021</v>
      </c>
      <c r="E6" s="53">
        <v>-0.88339430000000019</v>
      </c>
      <c r="F6" s="53">
        <v>55.696732499999996</v>
      </c>
      <c r="G6" s="53">
        <v>-7.4270488076000003</v>
      </c>
      <c r="H6" s="53">
        <v>59.027613692650029</v>
      </c>
      <c r="I6" s="53">
        <v>6.6343841999999995</v>
      </c>
      <c r="J6" s="53">
        <v>78.207925215700016</v>
      </c>
      <c r="K6" s="53">
        <v>-31.110458405509995</v>
      </c>
      <c r="L6" s="53">
        <v>42.281655599999986</v>
      </c>
      <c r="M6" s="53">
        <v>16.171721600000001</v>
      </c>
      <c r="N6" s="53">
        <v>-17.203542300000002</v>
      </c>
      <c r="O6"/>
    </row>
    <row r="7" spans="1:15" ht="15" x14ac:dyDescent="0.25">
      <c r="A7" s="51"/>
      <c r="B7" s="42"/>
      <c r="C7" s="50"/>
      <c r="D7" s="50"/>
      <c r="E7" s="50"/>
      <c r="F7" s="50"/>
      <c r="G7" s="50"/>
      <c r="H7" s="50"/>
      <c r="I7" s="50"/>
      <c r="J7" s="50"/>
      <c r="K7" s="50"/>
      <c r="L7" s="50"/>
      <c r="M7" s="50"/>
      <c r="N7" s="50"/>
    </row>
    <row r="8" spans="1:15" x14ac:dyDescent="0.2">
      <c r="B8" s="10" t="s">
        <v>5</v>
      </c>
      <c r="C8" s="10"/>
      <c r="D8" s="10"/>
    </row>
    <row r="9" spans="1:15" x14ac:dyDescent="0.2">
      <c r="B9" s="10" t="s">
        <v>29</v>
      </c>
      <c r="C9" s="10"/>
      <c r="D9" s="10"/>
    </row>
    <row r="10" spans="1:15" x14ac:dyDescent="0.2">
      <c r="B10" s="10" t="s">
        <v>6</v>
      </c>
      <c r="C10" s="10"/>
      <c r="D10" s="10"/>
    </row>
    <row r="11" spans="1:15" x14ac:dyDescent="0.2">
      <c r="B11" s="10" t="s">
        <v>28</v>
      </c>
      <c r="C11" s="11"/>
      <c r="D11" s="11"/>
    </row>
    <row r="12" spans="1:15" ht="15" x14ac:dyDescent="0.25">
      <c r="B12"/>
    </row>
    <row r="13" spans="1:15" ht="15" x14ac:dyDescent="0.25">
      <c r="C13" s="50"/>
      <c r="D13" s="50"/>
      <c r="E13" s="50"/>
      <c r="F13" s="50"/>
      <c r="G13" s="50"/>
      <c r="H13" s="50"/>
      <c r="I13" s="50"/>
      <c r="J13" s="50"/>
      <c r="K13" s="50"/>
      <c r="L13" s="50"/>
      <c r="M13" s="50"/>
      <c r="N13" s="50"/>
    </row>
    <row r="14" spans="1:15" ht="15" x14ac:dyDescent="0.25">
      <c r="B14" s="39"/>
      <c r="C14" s="39"/>
      <c r="D14" s="39"/>
      <c r="E14" s="39"/>
      <c r="F14" s="39"/>
      <c r="G14" s="39"/>
      <c r="H14" s="39"/>
      <c r="I14" s="39"/>
      <c r="J14" s="39"/>
      <c r="K14" s="39"/>
      <c r="L14" s="39"/>
      <c r="M14" s="39"/>
      <c r="N14"/>
      <c r="O14" s="37"/>
    </row>
    <row r="15" spans="1:15" ht="15" x14ac:dyDescent="0.25">
      <c r="B15" s="39"/>
      <c r="C15" s="39"/>
      <c r="D15" s="39"/>
      <c r="E15" s="39"/>
      <c r="F15" s="39"/>
      <c r="G15" s="39"/>
      <c r="H15" s="39"/>
      <c r="I15" s="39"/>
      <c r="J15" s="39"/>
      <c r="K15" s="39"/>
      <c r="L15" s="39"/>
      <c r="M15" s="39"/>
      <c r="N15" s="39"/>
      <c r="O15" s="39"/>
    </row>
    <row r="16" spans="1:15" ht="15" x14ac:dyDescent="0.25">
      <c r="C16" s="53"/>
      <c r="D16" s="53"/>
      <c r="E16" s="53"/>
      <c r="F16" s="53"/>
      <c r="G16" s="53"/>
      <c r="H16" s="53"/>
      <c r="I16" s="53"/>
      <c r="J16" s="53"/>
      <c r="K16" s="53"/>
      <c r="L16" s="53"/>
      <c r="M16" s="53"/>
      <c r="N16" s="53"/>
      <c r="O16" s="37"/>
    </row>
    <row r="17" spans="3:22" ht="15" x14ac:dyDescent="0.25">
      <c r="C17" s="36"/>
      <c r="D17" s="36"/>
      <c r="E17" s="36"/>
      <c r="F17" s="36"/>
      <c r="G17" s="36"/>
      <c r="H17" s="36"/>
      <c r="I17" s="36"/>
      <c r="J17" s="36"/>
      <c r="K17" s="36"/>
      <c r="L17" s="36"/>
      <c r="M17" s="36"/>
      <c r="N17" s="63"/>
      <c r="O17" s="36"/>
    </row>
    <row r="18" spans="3:22" ht="15" x14ac:dyDescent="0.25">
      <c r="C18"/>
      <c r="D18"/>
      <c r="K18" s="53"/>
      <c r="L18" s="53"/>
      <c r="M18" s="53"/>
      <c r="N18" s="53"/>
      <c r="O18" s="53"/>
      <c r="P18" s="53"/>
      <c r="Q18" s="53"/>
      <c r="R18" s="53"/>
      <c r="S18" s="53"/>
      <c r="T18" s="53"/>
      <c r="U18" s="53"/>
      <c r="V18" s="53"/>
    </row>
    <row r="19" spans="3:22" ht="15" x14ac:dyDescent="0.25">
      <c r="C19"/>
      <c r="D19"/>
    </row>
    <row r="20" spans="3:22" ht="15" x14ac:dyDescent="0.25">
      <c r="C20"/>
      <c r="D20"/>
      <c r="L20" s="64"/>
    </row>
    <row r="21" spans="3:22" ht="15" x14ac:dyDescent="0.25">
      <c r="C21"/>
      <c r="D21"/>
      <c r="O21" s="62"/>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7 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tabSelected="1" zoomScaleNormal="100" workbookViewId="0">
      <selection sqref="A1:A2"/>
    </sheetView>
  </sheetViews>
  <sheetFormatPr defaultColWidth="9.42578125" defaultRowHeight="14.25" x14ac:dyDescent="0.2"/>
  <cols>
    <col min="1" max="1" width="9.42578125" style="2" customWidth="1"/>
    <col min="2" max="2" width="16.42578125" style="2" customWidth="1"/>
    <col min="3" max="4" width="11.5703125" style="2" bestFit="1" customWidth="1"/>
    <col min="5" max="5" width="10.5703125" style="2" bestFit="1" customWidth="1"/>
    <col min="6" max="6" width="11.42578125" style="2" bestFit="1" customWidth="1"/>
    <col min="7" max="7" width="10.42578125" style="2" bestFit="1" customWidth="1"/>
    <col min="8" max="8" width="11.5703125" style="2" bestFit="1" customWidth="1"/>
    <col min="9" max="9" width="12.5703125" style="2" bestFit="1" customWidth="1"/>
    <col min="10" max="10" width="9.42578125" style="2" bestFit="1" customWidth="1"/>
    <col min="11" max="11" width="11" style="2" bestFit="1" customWidth="1"/>
    <col min="12" max="12" width="13.5703125" style="2" customWidth="1"/>
    <col min="13" max="13" width="10.42578125" style="2" bestFit="1" customWidth="1"/>
    <col min="14" max="14" width="10" style="2" bestFit="1" customWidth="1"/>
    <col min="15" max="16384" width="9.42578125" style="2"/>
  </cols>
  <sheetData>
    <row r="1" spans="1:20" ht="17.25" customHeight="1" x14ac:dyDescent="0.2">
      <c r="A1" s="68" t="s">
        <v>7</v>
      </c>
      <c r="B1" s="12"/>
      <c r="C1" s="70" t="s">
        <v>8</v>
      </c>
      <c r="D1" s="71"/>
      <c r="E1" s="71"/>
      <c r="F1" s="71"/>
      <c r="G1" s="71"/>
      <c r="H1" s="71"/>
      <c r="I1" s="71"/>
      <c r="J1" s="71"/>
      <c r="K1" s="71"/>
      <c r="L1" s="71"/>
      <c r="M1" s="71"/>
      <c r="N1" s="72"/>
    </row>
    <row r="2" spans="1:20" ht="60" x14ac:dyDescent="0.2">
      <c r="A2" s="69"/>
      <c r="B2" s="12" t="s">
        <v>20</v>
      </c>
      <c r="C2" s="12" t="s">
        <v>10</v>
      </c>
      <c r="D2" s="12" t="s">
        <v>11</v>
      </c>
      <c r="E2" s="12" t="s">
        <v>12</v>
      </c>
      <c r="F2" s="12" t="s">
        <v>13</v>
      </c>
      <c r="G2" s="12" t="s">
        <v>26</v>
      </c>
      <c r="H2" s="12" t="s">
        <v>14</v>
      </c>
      <c r="I2" s="12" t="s">
        <v>15</v>
      </c>
      <c r="J2" s="12" t="s">
        <v>16</v>
      </c>
      <c r="K2" s="12" t="s">
        <v>17</v>
      </c>
      <c r="L2" s="12" t="s">
        <v>18</v>
      </c>
      <c r="M2" s="12" t="s">
        <v>27</v>
      </c>
      <c r="N2" s="12" t="s">
        <v>19</v>
      </c>
    </row>
    <row r="3" spans="1:20" ht="15" x14ac:dyDescent="0.25">
      <c r="A3" s="48">
        <f>SUM(C3:N3)</f>
        <v>-205.42355299570002</v>
      </c>
      <c r="B3" s="47">
        <v>46013</v>
      </c>
      <c r="C3" s="60">
        <v>3.7406329769100006</v>
      </c>
      <c r="D3" s="60">
        <v>8.8712308262999997</v>
      </c>
      <c r="E3" s="60">
        <v>-2.9592982999999999</v>
      </c>
      <c r="F3" s="60">
        <v>-90.409852100000009</v>
      </c>
      <c r="G3" s="60">
        <v>-1.7135315347</v>
      </c>
      <c r="H3" s="60">
        <v>-84.28738826575001</v>
      </c>
      <c r="I3" s="60">
        <v>7.9622699999999921E-2</v>
      </c>
      <c r="J3" s="60">
        <v>-11.109719294899998</v>
      </c>
      <c r="K3" s="60">
        <v>4.7420081464400008</v>
      </c>
      <c r="L3" s="60">
        <v>-19.807351950000001</v>
      </c>
      <c r="M3" s="60">
        <v>-2.8543478999999987</v>
      </c>
      <c r="N3" s="60">
        <v>-9.7155583000000014</v>
      </c>
      <c r="P3" s="13"/>
    </row>
    <row r="4" spans="1:20" ht="15" x14ac:dyDescent="0.25">
      <c r="A4" s="48">
        <f>SUM(C4:N4)</f>
        <v>-32.51691532082998</v>
      </c>
      <c r="B4" s="58">
        <v>46020</v>
      </c>
      <c r="C4" s="55">
        <v>-0.7031996111799983</v>
      </c>
      <c r="D4" s="55">
        <v>12.723181487499998</v>
      </c>
      <c r="E4" s="55">
        <v>1.3563444999999994</v>
      </c>
      <c r="F4" s="55">
        <v>61.637652500000009</v>
      </c>
      <c r="G4" s="55">
        <v>-5.5940589804999981</v>
      </c>
      <c r="H4" s="55">
        <v>-60.05788248975</v>
      </c>
      <c r="I4" s="55">
        <v>1.4093089000000001</v>
      </c>
      <c r="J4" s="55">
        <v>-8.3465281342000015</v>
      </c>
      <c r="K4" s="55">
        <v>-14.441077642699998</v>
      </c>
      <c r="L4" s="55">
        <v>-13.862445449999999</v>
      </c>
      <c r="M4" s="55">
        <v>-2.5289871999999995</v>
      </c>
      <c r="N4" s="55">
        <v>-4.1092231999999997</v>
      </c>
      <c r="P4" s="13"/>
    </row>
    <row r="5" spans="1:20" ht="15" x14ac:dyDescent="0.25">
      <c r="A5" s="48">
        <f>SUM(C5:N5)</f>
        <v>-66.532882114539944</v>
      </c>
      <c r="B5" s="66">
        <v>46027</v>
      </c>
      <c r="C5" s="60">
        <v>-5.4404048049700036</v>
      </c>
      <c r="D5" s="60">
        <v>3.2295890425000002</v>
      </c>
      <c r="E5" s="60">
        <v>3.5519395</v>
      </c>
      <c r="F5" s="60">
        <v>87.238012100000006</v>
      </c>
      <c r="G5" s="60">
        <v>4.5942082493000003</v>
      </c>
      <c r="H5" s="60">
        <v>-175.65915684799992</v>
      </c>
      <c r="I5" s="60">
        <v>3.5376079000000002</v>
      </c>
      <c r="J5" s="60">
        <v>-79.807453686599999</v>
      </c>
      <c r="K5" s="60">
        <v>9.5523483230002787E-2</v>
      </c>
      <c r="L5" s="60">
        <v>-10.396080849999997</v>
      </c>
      <c r="M5" s="60">
        <v>72.71979979999999</v>
      </c>
      <c r="N5" s="60">
        <v>29.803533999999999</v>
      </c>
      <c r="P5" s="13"/>
    </row>
    <row r="6" spans="1:20" ht="15" x14ac:dyDescent="0.25">
      <c r="A6" s="48">
        <f>SUM(C6:N6)</f>
        <v>-181.18274108945002</v>
      </c>
      <c r="B6" s="58">
        <v>46034</v>
      </c>
      <c r="C6" s="55">
        <v>7.7568628276600027</v>
      </c>
      <c r="D6" s="55">
        <v>7.4948722727999986</v>
      </c>
      <c r="E6" s="55">
        <v>1.6438117000000001</v>
      </c>
      <c r="F6" s="55">
        <v>-50.635975700000003</v>
      </c>
      <c r="G6" s="55">
        <v>2.5529091522999998</v>
      </c>
      <c r="H6" s="55">
        <v>-44.729753597550001</v>
      </c>
      <c r="I6" s="55">
        <v>-10.882352999999998</v>
      </c>
      <c r="J6" s="55">
        <v>-33.725680040300006</v>
      </c>
      <c r="K6" s="55">
        <v>1.4934248456400001</v>
      </c>
      <c r="L6" s="55">
        <v>-58.463948650000006</v>
      </c>
      <c r="M6" s="55">
        <v>-6.9409706999999994</v>
      </c>
      <c r="N6" s="55">
        <v>3.2540597999999998</v>
      </c>
      <c r="P6" s="13"/>
    </row>
    <row r="7" spans="1:20" ht="15" x14ac:dyDescent="0.25">
      <c r="A7" s="51"/>
      <c r="B7" s="41"/>
      <c r="C7" s="50"/>
      <c r="D7" s="50"/>
      <c r="E7" s="50"/>
      <c r="F7" s="50"/>
      <c r="G7" s="50"/>
      <c r="H7" s="50"/>
      <c r="I7" s="50"/>
      <c r="J7" s="50"/>
      <c r="K7" s="50"/>
      <c r="L7" s="50"/>
      <c r="M7" s="50"/>
      <c r="N7" s="50"/>
      <c r="P7" s="13"/>
    </row>
    <row r="8" spans="1:20" x14ac:dyDescent="0.2">
      <c r="B8" s="10" t="s">
        <v>5</v>
      </c>
      <c r="C8" s="10"/>
      <c r="D8" s="10"/>
    </row>
    <row r="9" spans="1:20" x14ac:dyDescent="0.2">
      <c r="B9" s="10" t="s">
        <v>31</v>
      </c>
      <c r="C9" s="10"/>
      <c r="D9" s="10"/>
    </row>
    <row r="10" spans="1:20" x14ac:dyDescent="0.2">
      <c r="B10" s="10" t="s">
        <v>6</v>
      </c>
      <c r="C10" s="10"/>
      <c r="D10" s="10"/>
    </row>
    <row r="11" spans="1:20" x14ac:dyDescent="0.2">
      <c r="B11" s="10" t="s">
        <v>28</v>
      </c>
      <c r="C11" s="11"/>
      <c r="D11" s="11"/>
    </row>
    <row r="12" spans="1:20" ht="15" x14ac:dyDescent="0.25">
      <c r="C12" s="39"/>
      <c r="D12" s="39"/>
      <c r="E12" s="39"/>
      <c r="F12" s="39"/>
      <c r="G12" s="39"/>
      <c r="H12" s="39"/>
      <c r="I12" s="39"/>
      <c r="J12" s="39"/>
      <c r="K12" s="39"/>
      <c r="L12" s="39"/>
      <c r="M12" s="39"/>
      <c r="N12" s="39"/>
    </row>
    <row r="13" spans="1:20" ht="15" x14ac:dyDescent="0.25">
      <c r="B13"/>
      <c r="C13" s="39"/>
      <c r="D13" s="39"/>
      <c r="E13" s="39"/>
      <c r="F13" s="39"/>
      <c r="G13" s="39"/>
      <c r="H13" s="39"/>
      <c r="I13" s="39"/>
      <c r="J13" s="39"/>
      <c r="K13" s="39"/>
      <c r="L13" s="39"/>
      <c r="M13" s="39"/>
      <c r="N13" s="39"/>
      <c r="O13" s="37"/>
      <c r="P13"/>
      <c r="Q13"/>
      <c r="R13"/>
    </row>
    <row r="14" spans="1:20" ht="15" x14ac:dyDescent="0.25">
      <c r="C14"/>
      <c r="D14"/>
      <c r="E14"/>
      <c r="F14"/>
      <c r="G14"/>
      <c r="H14"/>
      <c r="I14"/>
      <c r="J14"/>
      <c r="K14"/>
      <c r="L14"/>
      <c r="M14"/>
      <c r="N14"/>
      <c r="O14"/>
      <c r="P14"/>
      <c r="Q14"/>
      <c r="R14"/>
    </row>
    <row r="15" spans="1:20" ht="15" x14ac:dyDescent="0.25">
      <c r="C15"/>
      <c r="D15"/>
      <c r="E15"/>
      <c r="F15"/>
      <c r="G15"/>
      <c r="H15"/>
      <c r="I15" s="55"/>
      <c r="J15" s="55"/>
      <c r="K15" s="55"/>
      <c r="L15" s="55"/>
      <c r="M15" s="55"/>
      <c r="N15" s="55"/>
      <c r="O15" s="55"/>
      <c r="P15" s="55"/>
      <c r="Q15" s="55"/>
      <c r="R15" s="55"/>
      <c r="S15" s="55"/>
      <c r="T15" s="55"/>
    </row>
    <row r="16" spans="1:20" ht="15" x14ac:dyDescent="0.25">
      <c r="C16" s="36"/>
      <c r="D16" s="36"/>
      <c r="E16" s="36"/>
      <c r="F16" s="36"/>
      <c r="G16" s="36"/>
      <c r="H16" s="36"/>
      <c r="I16" s="36"/>
      <c r="J16" s="36"/>
      <c r="K16" s="36"/>
      <c r="L16" s="36"/>
      <c r="M16" s="36"/>
      <c r="N16" s="36"/>
    </row>
    <row r="17" spans="3:14" ht="15" x14ac:dyDescent="0.25">
      <c r="C17"/>
      <c r="D17"/>
      <c r="E17"/>
      <c r="F17"/>
      <c r="G17"/>
      <c r="H17"/>
      <c r="I17"/>
      <c r="J17"/>
      <c r="K17"/>
      <c r="L17"/>
      <c r="M17"/>
      <c r="N17"/>
    </row>
    <row r="18" spans="3:14" ht="15" x14ac:dyDescent="0.25">
      <c r="C18" s="37"/>
      <c r="D18" s="37"/>
      <c r="E18" s="37"/>
      <c r="F18" s="37"/>
      <c r="G18" s="37"/>
      <c r="H18" s="37"/>
      <c r="I18" s="37"/>
      <c r="J18" s="37"/>
      <c r="K18" s="37"/>
      <c r="L18" s="37"/>
      <c r="M18" s="37"/>
      <c r="N18" s="37"/>
    </row>
    <row r="19" spans="3:14" ht="15" x14ac:dyDescent="0.25">
      <c r="C19"/>
      <c r="D19"/>
      <c r="M19" s="65"/>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7 A3:A6"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Kalifah Tan</cp:lastModifiedBy>
  <cp:lastPrinted>2024-07-01T01:26:22Z</cp:lastPrinted>
  <dcterms:created xsi:type="dcterms:W3CDTF">2020-01-13T01:31:10Z</dcterms:created>
  <dcterms:modified xsi:type="dcterms:W3CDTF">2026-01-19T01:43:18Z</dcterms:modified>
</cp:coreProperties>
</file>