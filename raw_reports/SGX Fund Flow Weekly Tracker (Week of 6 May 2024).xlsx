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FB99C278-AC2B-4E28-8E1A-4CFD22966949}" xr6:coauthVersionLast="47" xr6:coauthVersionMax="47" xr10:uidLastSave="{00000000-0000-0000-0000-000000000000}"/>
  <bookViews>
    <workbookView xWindow="-57720" yWindow="-843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2" l="1"/>
  <c r="A5" i="2"/>
  <c r="A4" i="2"/>
  <c r="A3" i="2"/>
  <c r="A3" i="3"/>
  <c r="A4" i="3"/>
  <c r="A5" i="3"/>
  <c r="A6" i="3" l="1"/>
  <c r="A1" i="5"/>
  <c r="A1" i="4" l="1"/>
  <c r="D32" i="4" l="1"/>
  <c r="C18" i="1" l="1"/>
  <c r="F18" i="1" s="1"/>
  <c r="F5" i="1"/>
</calcChain>
</file>

<file path=xl/sharedStrings.xml><?xml version="1.0" encoding="utf-8"?>
<sst xmlns="http://schemas.openxmlformats.org/spreadsheetml/2006/main" count="518" uniqueCount="280">
  <si>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</si>
  <si>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</si>
  <si>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</si>
  <si>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</si>
  <si>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</si>
  <si>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</si>
  <si>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</si>
  <si>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</si>
  <si>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</si>
  <si>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</si>
  <si>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</si>
  <si>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</si>
  <si>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</si>
  <si>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</si>
  <si>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</si>
  <si>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</si>
  <si>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</si>
  <si>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</si>
  <si>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</si>
  <si>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</si>
  <si>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</si>
  <si>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</si>
  <si>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</si>
  <si>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</si>
  <si>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</si>
  <si>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</si>
  <si>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</si>
  <si>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</si>
  <si>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</si>
  <si>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</si>
  <si>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</si>
  <si>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</si>
  <si>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</si>
  <si>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</si>
  <si>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</si>
  <si>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</si>
  <si>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</si>
  <si>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</si>
  <si>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</si>
  <si>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</si>
  <si>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</si>
  <si>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</si>
  <si>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</si>
  <si>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</si>
  <si>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</si>
  <si>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</si>
  <si>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</si>
  <si>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</si>
  <si>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</si>
  <si>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</si>
  <si>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</si>
  <si>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</si>
  <si>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</si>
  <si>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</si>
  <si>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</si>
  <si>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</si>
  <si>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</si>
  <si>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</si>
  <si>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</si>
  <si>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</si>
  <si>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</si>
  <si>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</si>
  <si>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</si>
  <si>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</si>
  <si>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</si>
  <si>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</si>
  <si>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</si>
  <si>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</si>
  <si>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</si>
  <si>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</si>
  <si>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</si>
  <si>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</si>
  <si>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</si>
  <si>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</si>
  <si>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</si>
  <si>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</si>
  <si>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</si>
  <si>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</si>
  <si>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</si>
  <si>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</si>
  <si>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</si>
  <si>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</si>
  <si>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</si>
  <si>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</si>
  <si>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</si>
  <si>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</si>
  <si>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</si>
  <si>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</si>
  <si>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</si>
  <si>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</si>
  <si>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</si>
  <si>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</si>
  <si>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</si>
  <si>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</si>
  <si>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</si>
  <si>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</si>
  <si>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</si>
  <si>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</si>
  <si>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</si>
  <si>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</si>
  <si>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</si>
  <si>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</si>
  <si>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</si>
  <si>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</si>
  <si>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</si>
  <si>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</si>
  <si>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</si>
  <si>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</si>
  <si>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</si>
  <si>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</si>
  <si>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</si>
  <si>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</si>
  <si>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</si>
  <si>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</si>
  <si>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</si>
  <si>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</si>
  <si>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</si>
  <si>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</si>
  <si>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</si>
  <si>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</si>
  <si>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</si>
  <si>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</si>
  <si>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</si>
  <si>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</si>
  <si>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</si>
  <si>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</si>
  <si>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</si>
  <si>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</si>
  <si>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</si>
  <si>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</si>
  <si>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</si>
  <si>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</si>
  <si>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</si>
  <si>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</si>
  <si>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</si>
  <si>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</si>
  <si>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</si>
  <si>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</si>
  <si>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</si>
  <si>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</si>
  <si>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</si>
  <si>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</si>
  <si>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</si>
  <si>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</si>
  <si>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</si>
  <si>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</si>
  <si>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</si>
  <si>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</si>
  <si>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</si>
  <si>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</si>
  <si>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</si>
  <si>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</si>
  <si>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</si>
  <si>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</si>
  <si>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</si>
  <si>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</si>
  <si>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</si>
  <si>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</si>
  <si>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</si>
  <si>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</si>
  <si>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</si>
  <si>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</si>
  <si>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</si>
  <si>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</si>
  <si>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</si>
  <si>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</si>
  <si>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</si>
  <si>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</si>
  <si>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</si>
  <si>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</si>
  <si>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</si>
  <si>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</si>
  <si>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</si>
  <si>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</si>
  <si>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</si>
  <si>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</si>
  <si>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</si>
  <si>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</si>
  <si>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</si>
  <si>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</si>
  <si>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</si>
  <si>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</si>
  <si>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</si>
  <si>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</si>
  <si>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</si>
  <si>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</si>
  <si>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</si>
  <si>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</si>
  <si>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</si>
  <si>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</si>
  <si>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</si>
  <si>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</si>
  <si>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</si>
  <si>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</si>
  <si>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</si>
  <si>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</si>
  <si>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</si>
  <si>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</si>
  <si>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</si>
  <si>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</si>
  <si>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</si>
  <si>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</si>
  <si>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</si>
  <si>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</si>
  <si>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</si>
  <si>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</si>
  <si>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</si>
  <si>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</si>
  <si>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</si>
  <si>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</si>
  <si>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</si>
  <si>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</si>
  <si>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</si>
  <si>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</si>
  <si>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</si>
  <si>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</si>
  <si>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</si>
  <si>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</si>
  <si>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</si>
  <si>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</si>
  <si>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</si>
  <si>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</si>
  <si>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</si>
  <si>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</si>
  <si>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</si>
  <si>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</si>
  <si>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</si>
  <si>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</si>
  <si>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</si>
  <si>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</si>
  <si>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</si>
  <si>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</si>
  <si>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</si>
  <si>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</si>
  <si>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</si>
  <si>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</si>
  <si>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</si>
  <si>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</si>
  <si>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</si>
  <si>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</si>
  <si>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</si>
  <si>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</si>
  <si>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</si>
  <si>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</si>
  <si>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</si>
  <si>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</si>
  <si>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</si>
  <si>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</si>
  <si>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</si>
  <si>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</si>
  <si>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</si>
  <si>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</si>
  <si>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</si>
  <si>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</si>
  <si>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</si>
  <si>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</si>
  <si>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</si>
  <si>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</si>
  <si>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</si>
  <si>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</si>
  <si>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Mermaid Maritime</t>
  </si>
  <si>
    <t>DU4</t>
  </si>
  <si>
    <t>Bumitama Agri</t>
  </si>
  <si>
    <t>P8Z</t>
  </si>
  <si>
    <t>Great Eastern</t>
  </si>
  <si>
    <t>G07</t>
  </si>
  <si>
    <t>Week of 6 May 2024</t>
  </si>
  <si>
    <t>5E2</t>
  </si>
  <si>
    <r>
      <t xml:space="preserve">Institutional investors net </t>
    </r>
    <r>
      <rPr>
        <b/>
        <sz val="11"/>
        <rFont val="Arial"/>
        <family val="2"/>
      </rPr>
      <t>buy</t>
    </r>
    <r>
      <rPr>
        <sz val="11"/>
        <rFont val="Arial"/>
        <family val="2"/>
      </rPr>
      <t xml:space="preserve"> (+S$124.7m) vs. (+S$5.8m) a week ago</t>
    </r>
  </si>
  <si>
    <r>
      <t xml:space="preserve">Retail investors net </t>
    </r>
    <r>
      <rPr>
        <b/>
        <sz val="11"/>
        <rFont val="Arial"/>
        <family val="2"/>
      </rPr>
      <t>buy</t>
    </r>
    <r>
      <rPr>
        <sz val="11"/>
        <rFont val="Arial"/>
        <family val="2"/>
      </rPr>
      <t xml:space="preserve"> (+S$63.3m) vs. (+S$22.8m) a week ago</t>
    </r>
  </si>
  <si>
    <t>Jardine Matheson Holdings</t>
  </si>
  <si>
    <t>Golden Agri-Resources</t>
  </si>
  <si>
    <t>Riverstone Holdings</t>
  </si>
  <si>
    <t>AEM Holdings</t>
  </si>
  <si>
    <t>Keppel DC REIT</t>
  </si>
  <si>
    <t>Great Eastern Holdings</t>
  </si>
  <si>
    <t>iFast Corporation</t>
  </si>
  <si>
    <t>Seatrium Ltd</t>
  </si>
  <si>
    <t>Daiwa Hse Log Tr</t>
  </si>
  <si>
    <t>DHLU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</si>
</sst>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 numFmtId="172" formatCode="0.0"/>
    <numFmt numFmtId="173"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2"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73" fontId="0" fillId="0" borderId="0" xfId="0" applyNumberFormat="1"/>
    <xf numFmtId="165" fontId="3" fillId="7" borderId="5" xfId="0" applyNumberFormat="1" applyFont="1" applyFill="1" applyBorder="1" applyAlignment="1">
      <alignment horizontal="left"/>
    </xf>
    <xf numFmtId="0" fontId="3" fillId="7" borderId="5" xfId="0" applyFont="1" applyFill="1" applyBorder="1" applyAlignment="1">
      <alignment horizontal="left"/>
    </xf>
    <xf numFmtId="169" fontId="3" fillId="7" borderId="5" xfId="1" applyNumberFormat="1" applyFont="1" applyFill="1" applyBorder="1" applyAlignment="1">
      <alignment horizontal="right"/>
    </xf>
    <xf numFmtId="165" fontId="3" fillId="7" borderId="5" xfId="0" applyNumberFormat="1" applyFont="1" applyFill="1" applyBorder="1" applyAlignment="1">
      <alignment horizontal="right"/>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266</v>
      </c>
    </row>
    <row r="2" spans="1:13" x14ac:dyDescent="0.3">
      <c r="A2" s="76" t="s">
        <v>268</v>
      </c>
      <c r="I2" s="54"/>
    </row>
    <row r="3" spans="1:13" x14ac:dyDescent="0.3">
      <c r="A3" s="76" t="s">
        <v>269</v>
      </c>
      <c r="I3" s="54"/>
    </row>
    <row r="5" spans="1:13" ht="29.25" customHeight="1" x14ac:dyDescent="0.3">
      <c r="A5" s="3" t="s">
        <v>0</v>
      </c>
      <c r="B5" s="3" t="s">
        <v>1</v>
      </c>
      <c r="C5" s="4" t="s">
        <v>266</v>
      </c>
      <c r="D5" s="66" t="s">
        <v>2</v>
      </c>
      <c r="E5" s="66" t="s">
        <v>1</v>
      </c>
      <c r="F5" s="67" t="str">
        <f>+C5</f>
        <v>Week of 6 May 2024</v>
      </c>
    </row>
    <row r="6" spans="1:13" ht="14.5" x14ac:dyDescent="0.35">
      <c r="A6" s="34" t="s">
        <v>26</v>
      </c>
      <c r="B6" s="69" t="s">
        <v>21</v>
      </c>
      <c r="C6" s="6">
        <v>87.548387000000005</v>
      </c>
      <c r="D6" s="34" t="s">
        <v>145</v>
      </c>
      <c r="E6" s="69" t="s">
        <v>267</v>
      </c>
      <c r="F6" s="6">
        <v>-20.080566699999999</v>
      </c>
      <c r="K6" s="45"/>
      <c r="L6"/>
      <c r="M6"/>
    </row>
    <row r="7" spans="1:13" ht="14.5" x14ac:dyDescent="0.35">
      <c r="A7" s="35" t="s">
        <v>28</v>
      </c>
      <c r="B7" s="10" t="s">
        <v>23</v>
      </c>
      <c r="C7" s="8">
        <v>23.510083000000002</v>
      </c>
      <c r="D7" s="35" t="s">
        <v>36</v>
      </c>
      <c r="E7" s="10" t="s">
        <v>35</v>
      </c>
      <c r="F7" s="8">
        <v>-18.905887</v>
      </c>
      <c r="K7" s="45"/>
      <c r="L7"/>
      <c r="M7"/>
    </row>
    <row r="8" spans="1:13" ht="14.5" x14ac:dyDescent="0.35">
      <c r="A8" s="36" t="s">
        <v>40</v>
      </c>
      <c r="B8" s="69" t="s">
        <v>38</v>
      </c>
      <c r="C8" s="6">
        <v>15.344547</v>
      </c>
      <c r="D8" s="36" t="s">
        <v>152</v>
      </c>
      <c r="E8" s="69" t="s">
        <v>32</v>
      </c>
      <c r="F8" s="6">
        <v>-17.031282999999998</v>
      </c>
      <c r="K8" s="45"/>
      <c r="L8"/>
      <c r="M8"/>
    </row>
    <row r="9" spans="1:13" ht="14.5" x14ac:dyDescent="0.35">
      <c r="A9" s="35" t="s">
        <v>270</v>
      </c>
      <c r="B9" s="10" t="s">
        <v>52</v>
      </c>
      <c r="C9" s="8">
        <v>13.058296264100001</v>
      </c>
      <c r="D9" s="35" t="s">
        <v>27</v>
      </c>
      <c r="E9" s="10" t="s">
        <v>22</v>
      </c>
      <c r="F9" s="8">
        <v>-12.198134</v>
      </c>
      <c r="K9" s="45"/>
      <c r="L9"/>
      <c r="M9"/>
    </row>
    <row r="10" spans="1:13" ht="14.5" x14ac:dyDescent="0.35">
      <c r="A10" s="36" t="s">
        <v>86</v>
      </c>
      <c r="B10" s="69" t="s">
        <v>85</v>
      </c>
      <c r="C10" s="6">
        <v>11.087676999999999</v>
      </c>
      <c r="D10" s="36" t="s">
        <v>273</v>
      </c>
      <c r="E10" s="69" t="s">
        <v>91</v>
      </c>
      <c r="F10" s="6">
        <v>-11.829912</v>
      </c>
      <c r="K10" s="45"/>
      <c r="L10"/>
      <c r="M10"/>
    </row>
    <row r="11" spans="1:13" ht="14.5" x14ac:dyDescent="0.35">
      <c r="A11" s="35" t="s">
        <v>79</v>
      </c>
      <c r="B11" s="10" t="s">
        <v>56</v>
      </c>
      <c r="C11" s="8">
        <v>10.229547</v>
      </c>
      <c r="D11" s="35" t="s">
        <v>77</v>
      </c>
      <c r="E11" s="10" t="s">
        <v>76</v>
      </c>
      <c r="F11" s="8">
        <v>-7.9337340000000003</v>
      </c>
      <c r="K11" s="45"/>
      <c r="L11"/>
      <c r="M11"/>
    </row>
    <row r="12" spans="1:13" ht="14.5" x14ac:dyDescent="0.35">
      <c r="A12" s="36" t="s">
        <v>275</v>
      </c>
      <c r="B12" s="69" t="s">
        <v>265</v>
      </c>
      <c r="C12" s="6">
        <v>9.3541430000000005</v>
      </c>
      <c r="D12" s="36" t="s">
        <v>252</v>
      </c>
      <c r="E12" s="69" t="s">
        <v>58</v>
      </c>
      <c r="F12" s="6">
        <v>-7.8754770000000001</v>
      </c>
      <c r="K12" s="45"/>
      <c r="L12"/>
      <c r="M12"/>
    </row>
    <row r="13" spans="1:13" ht="14.5" x14ac:dyDescent="0.35">
      <c r="A13" s="35" t="s">
        <v>29</v>
      </c>
      <c r="B13" s="10" t="s">
        <v>24</v>
      </c>
      <c r="C13" s="8">
        <v>8.6611379999999993</v>
      </c>
      <c r="D13" s="35" t="s">
        <v>44</v>
      </c>
      <c r="E13" s="10" t="s">
        <v>41</v>
      </c>
      <c r="F13" s="8">
        <v>-5.0741420000000002</v>
      </c>
      <c r="K13" s="45"/>
      <c r="L13"/>
      <c r="M13"/>
    </row>
    <row r="14" spans="1:13" ht="14.5" x14ac:dyDescent="0.35">
      <c r="A14" s="36" t="s">
        <v>33</v>
      </c>
      <c r="B14" s="69" t="s">
        <v>31</v>
      </c>
      <c r="C14" s="6">
        <v>8.318308</v>
      </c>
      <c r="D14" s="36" t="s">
        <v>271</v>
      </c>
      <c r="E14" s="69" t="s">
        <v>109</v>
      </c>
      <c r="F14" s="6">
        <v>-4.8819470000000003</v>
      </c>
      <c r="K14" s="45"/>
      <c r="L14"/>
      <c r="M14"/>
    </row>
    <row r="15" spans="1:13" ht="14.5" x14ac:dyDescent="0.35">
      <c r="A15" s="37" t="s">
        <v>274</v>
      </c>
      <c r="B15" s="33" t="s">
        <v>78</v>
      </c>
      <c r="C15" s="9">
        <v>7.3686629999999997</v>
      </c>
      <c r="D15" s="37" t="s">
        <v>60</v>
      </c>
      <c r="E15" s="33" t="s">
        <v>51</v>
      </c>
      <c r="F15" s="9">
        <v>-4.3725750000000003</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6 May 2024</v>
      </c>
      <c r="D18" s="68" t="s">
        <v>4</v>
      </c>
      <c r="E18" s="66" t="s">
        <v>1</v>
      </c>
      <c r="F18" s="67" t="str">
        <f>+C18</f>
        <v>Week of 6 May 2024</v>
      </c>
    </row>
    <row r="19" spans="1:13" ht="14.5" x14ac:dyDescent="0.35">
      <c r="A19" s="63" t="s">
        <v>27</v>
      </c>
      <c r="B19" s="69" t="s">
        <v>22</v>
      </c>
      <c r="C19" s="6">
        <v>26.252675</v>
      </c>
      <c r="D19" s="34" t="s">
        <v>275</v>
      </c>
      <c r="E19" s="69" t="s">
        <v>265</v>
      </c>
      <c r="F19" s="6">
        <v>-9.1149529999999999</v>
      </c>
      <c r="I19" s="38"/>
      <c r="K19" s="45"/>
      <c r="L19"/>
      <c r="M19"/>
    </row>
    <row r="20" spans="1:13" ht="14.5" x14ac:dyDescent="0.35">
      <c r="A20" s="35" t="s">
        <v>152</v>
      </c>
      <c r="B20" s="10" t="s">
        <v>32</v>
      </c>
      <c r="C20" s="8">
        <v>18.344124000000001</v>
      </c>
      <c r="D20" s="35" t="s">
        <v>33</v>
      </c>
      <c r="E20" s="10" t="s">
        <v>31</v>
      </c>
      <c r="F20" s="8">
        <v>-7.02658</v>
      </c>
      <c r="I20" s="38"/>
      <c r="K20" s="45"/>
      <c r="L20"/>
      <c r="M20"/>
    </row>
    <row r="21" spans="1:13" ht="14.5" x14ac:dyDescent="0.35">
      <c r="A21" s="36" t="s">
        <v>273</v>
      </c>
      <c r="B21" s="69" t="s">
        <v>91</v>
      </c>
      <c r="C21" s="6">
        <v>14.464786999999999</v>
      </c>
      <c r="D21" s="36" t="s">
        <v>28</v>
      </c>
      <c r="E21" s="69" t="s">
        <v>23</v>
      </c>
      <c r="F21" s="6">
        <v>-5.9362159999999999</v>
      </c>
      <c r="I21" s="38"/>
      <c r="K21" s="45"/>
      <c r="L21"/>
      <c r="M21"/>
    </row>
    <row r="22" spans="1:13" ht="14.5" x14ac:dyDescent="0.35">
      <c r="A22" s="35" t="s">
        <v>36</v>
      </c>
      <c r="B22" s="10" t="s">
        <v>35</v>
      </c>
      <c r="C22" s="8">
        <v>14.024245000000001</v>
      </c>
      <c r="D22" s="35" t="s">
        <v>274</v>
      </c>
      <c r="E22" s="10" t="s">
        <v>78</v>
      </c>
      <c r="F22" s="8">
        <v>-5.8620939999999999</v>
      </c>
      <c r="I22" s="38"/>
      <c r="K22" s="45"/>
      <c r="L22"/>
      <c r="M22"/>
    </row>
    <row r="23" spans="1:13" ht="14.5" x14ac:dyDescent="0.35">
      <c r="A23" s="36" t="s">
        <v>61</v>
      </c>
      <c r="B23" s="69" t="s">
        <v>53</v>
      </c>
      <c r="C23" s="6">
        <v>13.357571</v>
      </c>
      <c r="D23" s="36" t="s">
        <v>272</v>
      </c>
      <c r="E23" s="69" t="s">
        <v>132</v>
      </c>
      <c r="F23" s="6">
        <v>-5.1871559999999999</v>
      </c>
      <c r="I23" s="48"/>
      <c r="K23" s="45"/>
      <c r="L23"/>
      <c r="M23"/>
    </row>
    <row r="24" spans="1:13" ht="14.5" x14ac:dyDescent="0.35">
      <c r="A24" s="35" t="s">
        <v>145</v>
      </c>
      <c r="B24" s="10" t="s">
        <v>267</v>
      </c>
      <c r="C24" s="8">
        <v>9.1826404999999998</v>
      </c>
      <c r="D24" s="35" t="s">
        <v>29</v>
      </c>
      <c r="E24" s="10" t="s">
        <v>24</v>
      </c>
      <c r="F24" s="8">
        <v>-4.8776960000000003</v>
      </c>
      <c r="I24" s="38"/>
      <c r="K24" s="45"/>
      <c r="L24"/>
      <c r="M24"/>
    </row>
    <row r="25" spans="1:13" ht="14.5" x14ac:dyDescent="0.35">
      <c r="A25" s="36" t="s">
        <v>44</v>
      </c>
      <c r="B25" s="69" t="s">
        <v>41</v>
      </c>
      <c r="C25" s="6">
        <v>9.0596770000000006</v>
      </c>
      <c r="D25" s="36" t="s">
        <v>276</v>
      </c>
      <c r="E25" s="69" t="s">
        <v>125</v>
      </c>
      <c r="F25" s="6">
        <v>-4.0794430000000004</v>
      </c>
      <c r="I25" s="38"/>
      <c r="K25" s="45"/>
      <c r="L25"/>
      <c r="M25"/>
    </row>
    <row r="26" spans="1:13" ht="14.5" x14ac:dyDescent="0.35">
      <c r="A26" s="35" t="s">
        <v>252</v>
      </c>
      <c r="B26" s="10" t="s">
        <v>58</v>
      </c>
      <c r="C26" s="8">
        <v>5.4053870000000002</v>
      </c>
      <c r="D26" s="35" t="s">
        <v>49</v>
      </c>
      <c r="E26" s="10" t="s">
        <v>47</v>
      </c>
      <c r="F26" s="8">
        <v>-4.0327671000000009</v>
      </c>
      <c r="I26" s="38"/>
      <c r="K26" s="45"/>
      <c r="L26"/>
      <c r="M26"/>
    </row>
    <row r="27" spans="1:13" ht="14.5" x14ac:dyDescent="0.35">
      <c r="A27" s="36" t="s">
        <v>271</v>
      </c>
      <c r="B27" s="69" t="s">
        <v>109</v>
      </c>
      <c r="C27" s="6">
        <v>4.3189814999999996</v>
      </c>
      <c r="D27" s="36" t="s">
        <v>79</v>
      </c>
      <c r="E27" s="69" t="s">
        <v>56</v>
      </c>
      <c r="F27" s="6">
        <v>-3.1629649999999998</v>
      </c>
      <c r="I27" s="38"/>
      <c r="K27" s="45"/>
      <c r="L27"/>
      <c r="M27"/>
    </row>
    <row r="28" spans="1:13" ht="14.5" x14ac:dyDescent="0.35">
      <c r="A28" s="37" t="s">
        <v>81</v>
      </c>
      <c r="B28" s="33" t="s">
        <v>80</v>
      </c>
      <c r="C28" s="9">
        <v>3.6504460000000001</v>
      </c>
      <c r="D28" s="37" t="s">
        <v>26</v>
      </c>
      <c r="E28" s="33" t="s">
        <v>21</v>
      </c>
      <c r="F28" s="9">
        <v>-2.9</v>
      </c>
      <c r="I28" s="38"/>
      <c r="K28" s="45"/>
      <c r="L28"/>
      <c r="M28"/>
    </row>
    <row r="29" spans="1:13" x14ac:dyDescent="0.3">
      <c r="A29" s="10"/>
      <c r="B29" s="10"/>
      <c r="C29" s="10"/>
      <c r="D29" s="10"/>
      <c r="E29" s="10"/>
      <c r="F29" s="10"/>
    </row>
    <row r="30" spans="1:13" ht="14.5" x14ac:dyDescent="0.35">
      <c r="A30" s="11" t="s">
        <v>251</v>
      </c>
      <c r="B30" s="11"/>
      <c r="C30" s="10"/>
      <c r="D30" s="10"/>
      <c r="E30" s="10"/>
      <c r="F30" s="10"/>
    </row>
    <row r="31" spans="1:13" ht="14.5" x14ac:dyDescent="0.35">
      <c r="A31" s="11" t="s">
        <v>82</v>
      </c>
      <c r="B31" s="11"/>
      <c r="C31" s="10"/>
      <c r="D31" s="10"/>
      <c r="E31" s="10"/>
      <c r="F31" s="10"/>
    </row>
    <row r="32" spans="1:13" ht="14.5" x14ac:dyDescent="0.35">
      <c r="A32" s="11" t="s">
        <v>257</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73"/>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69</v>
      </c>
      <c r="B38" s="24"/>
      <c r="C38" s="25"/>
      <c r="D38" s="25"/>
      <c r="E38" s="24"/>
      <c r="F38" s="24"/>
      <c r="I38" s="38"/>
    </row>
    <row r="39" spans="1:9" s="30" customFormat="1" ht="19.399999999999999" customHeight="1" x14ac:dyDescent="0.35">
      <c r="A39" s="27" t="s">
        <v>70</v>
      </c>
      <c r="B39" s="28"/>
      <c r="C39" s="29"/>
      <c r="D39" s="29"/>
      <c r="E39" s="28"/>
      <c r="F39" s="28"/>
      <c r="I39" s="41"/>
    </row>
    <row r="40" spans="1:9" ht="169.4" customHeight="1" x14ac:dyDescent="0.3">
      <c r="A40" s="79" t="s">
        <v>258</v>
      </c>
      <c r="B40" s="79"/>
      <c r="C40" s="79"/>
      <c r="D40" s="79"/>
      <c r="E40" s="79"/>
      <c r="F40" s="79"/>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6 B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0" t="s">
        <v>7</v>
      </c>
      <c r="B1" s="13"/>
      <c r="C1" s="82" t="s">
        <v>8</v>
      </c>
      <c r="D1" s="83"/>
      <c r="E1" s="83"/>
      <c r="F1" s="83"/>
      <c r="G1" s="83"/>
      <c r="H1" s="83"/>
      <c r="I1" s="83"/>
      <c r="J1" s="83"/>
      <c r="K1" s="83"/>
      <c r="L1" s="83"/>
      <c r="M1" s="83"/>
      <c r="N1" s="84"/>
    </row>
    <row r="2" spans="1:15" ht="60" customHeight="1" x14ac:dyDescent="0.3">
      <c r="A2" s="8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7">
        <f>SUM(C3:N3)</f>
        <v>-5.0376182973199608</v>
      </c>
      <c r="B3" s="12">
        <v>45397</v>
      </c>
      <c r="C3" s="77">
        <v>46.077448764629999</v>
      </c>
      <c r="D3" s="77">
        <v>-3.9079434110000002</v>
      </c>
      <c r="E3" s="77">
        <v>6.0619226999999993</v>
      </c>
      <c r="F3" s="77">
        <v>101.39426280000001</v>
      </c>
      <c r="G3" s="77">
        <v>2.8919260505999995</v>
      </c>
      <c r="H3" s="77">
        <v>-15.739626112210001</v>
      </c>
      <c r="I3" s="77">
        <v>1.2714581999999996</v>
      </c>
      <c r="J3" s="77">
        <v>-2.1720417300000006</v>
      </c>
      <c r="K3" s="77">
        <v>-129.03211305933999</v>
      </c>
      <c r="L3" s="77">
        <v>-4.8809306000000001</v>
      </c>
      <c r="M3" s="77">
        <v>-17.5289146</v>
      </c>
      <c r="N3" s="77">
        <v>10.526932700000001</v>
      </c>
    </row>
    <row r="4" spans="1:15" x14ac:dyDescent="0.3">
      <c r="A4" s="47">
        <f t="shared" ref="A4:A6" si="0">SUM(C4:N4)</f>
        <v>221.66095697690002</v>
      </c>
      <c r="B4" s="78">
        <v>45404</v>
      </c>
      <c r="C4" s="15">
        <v>-16.68281765839</v>
      </c>
      <c r="D4" s="15">
        <v>-5.0980385177000009</v>
      </c>
      <c r="E4" s="15">
        <v>1.0744531999999998</v>
      </c>
      <c r="F4" s="15">
        <v>182.7422924</v>
      </c>
      <c r="G4" s="15">
        <v>-0.9671196406</v>
      </c>
      <c r="H4" s="15">
        <v>59.939859165410041</v>
      </c>
      <c r="I4" s="15">
        <v>-2.0454790999999997</v>
      </c>
      <c r="J4" s="15">
        <v>29.373109492799998</v>
      </c>
      <c r="K4" s="15">
        <v>-30.993932064619997</v>
      </c>
      <c r="L4" s="15">
        <v>-10.116025299999995</v>
      </c>
      <c r="M4" s="15">
        <v>10.763677599999999</v>
      </c>
      <c r="N4" s="15">
        <v>3.6709773999999999</v>
      </c>
    </row>
    <row r="5" spans="1:15" x14ac:dyDescent="0.3">
      <c r="A5" s="47">
        <f t="shared" si="0"/>
        <v>5.7797650799399962</v>
      </c>
      <c r="B5" s="12">
        <v>45411</v>
      </c>
      <c r="C5" s="77">
        <v>-9.9219873852500022</v>
      </c>
      <c r="D5" s="77">
        <v>0.13432668060000008</v>
      </c>
      <c r="E5" s="77">
        <v>-0.70773909999999995</v>
      </c>
      <c r="F5" s="77">
        <v>100.8236144</v>
      </c>
      <c r="G5" s="77">
        <v>-2.8782525862999999</v>
      </c>
      <c r="H5" s="77">
        <v>-23.178207947709986</v>
      </c>
      <c r="I5" s="77">
        <v>-3.8624369999999999</v>
      </c>
      <c r="J5" s="77">
        <v>13.844569146400003</v>
      </c>
      <c r="K5" s="77">
        <v>-55.424454327800014</v>
      </c>
      <c r="L5" s="77">
        <v>1.4932069999999986</v>
      </c>
      <c r="M5" s="77">
        <v>-10.310987999999998</v>
      </c>
      <c r="N5" s="77">
        <v>-4.2318857999999997</v>
      </c>
    </row>
    <row r="6" spans="1:15" x14ac:dyDescent="0.3">
      <c r="A6" s="47">
        <f t="shared" si="0"/>
        <v>124.70649665725998</v>
      </c>
      <c r="B6" s="78">
        <v>45418</v>
      </c>
      <c r="C6" s="15">
        <v>-17.911718757929993</v>
      </c>
      <c r="D6" s="15">
        <v>-15.4012514303</v>
      </c>
      <c r="E6" s="15">
        <v>-0.40725060000000013</v>
      </c>
      <c r="F6" s="15">
        <v>128.7305897</v>
      </c>
      <c r="G6" s="15">
        <v>2.7845384587000002</v>
      </c>
      <c r="H6" s="15">
        <v>-10.609760772119991</v>
      </c>
      <c r="I6" s="15">
        <v>-6.0727683000000017</v>
      </c>
      <c r="J6" s="15">
        <v>2.9949091475999996</v>
      </c>
      <c r="K6" s="15">
        <v>33.551183911309991</v>
      </c>
      <c r="L6" s="15">
        <v>-2.9943274999999994</v>
      </c>
      <c r="M6" s="15">
        <v>6.2730607999999997</v>
      </c>
      <c r="N6" s="15">
        <v>3.7692920000000001</v>
      </c>
    </row>
    <row r="7" spans="1:15" ht="14.5" x14ac:dyDescent="0.35">
      <c r="A7" s="75"/>
      <c r="B7" s="62"/>
      <c r="C7" s="87"/>
      <c r="D7" s="87"/>
      <c r="E7" s="87"/>
      <c r="F7" s="87"/>
      <c r="G7" s="87"/>
      <c r="H7" s="87"/>
      <c r="I7" s="87"/>
      <c r="J7" s="87"/>
      <c r="K7" s="87"/>
      <c r="L7" s="87"/>
      <c r="M7" s="87"/>
      <c r="N7" s="87"/>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74"/>
      <c r="D13" s="74"/>
      <c r="E13" s="74"/>
      <c r="F13" s="74"/>
      <c r="G13" s="74"/>
      <c r="H13" s="74"/>
      <c r="I13" s="74"/>
      <c r="J13" s="74"/>
      <c r="K13" s="74"/>
      <c r="L13" s="74"/>
      <c r="M13" s="74"/>
      <c r="N13" s="74"/>
    </row>
    <row r="14" spans="1:15" ht="14.5" x14ac:dyDescent="0.35">
      <c r="B14" s="53"/>
      <c r="C14" s="53"/>
      <c r="D14" s="53"/>
      <c r="E14" s="53"/>
      <c r="F14" s="53"/>
      <c r="G14" s="53"/>
      <c r="H14" s="53"/>
      <c r="I14" s="53"/>
      <c r="J14" s="53"/>
      <c r="K14" s="53"/>
      <c r="L14" s="53"/>
      <c r="M14" s="53"/>
      <c r="N14"/>
      <c r="O14" s="44"/>
    </row>
    <row r="15" spans="1:15" ht="14.5" x14ac:dyDescent="0.35">
      <c r="C15" s="53"/>
      <c r="D15" s="53"/>
      <c r="E15" s="53"/>
      <c r="F15" s="53"/>
      <c r="G15" s="53"/>
      <c r="H15" s="53"/>
      <c r="I15" s="53"/>
      <c r="J15" s="53"/>
      <c r="K15" s="53"/>
      <c r="L15" s="53"/>
      <c r="M15" s="53"/>
      <c r="N15" s="53"/>
      <c r="O15" s="53"/>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0" t="s">
        <v>7</v>
      </c>
      <c r="B1" s="13"/>
      <c r="C1" s="82" t="s">
        <v>8</v>
      </c>
      <c r="D1" s="83"/>
      <c r="E1" s="83"/>
      <c r="F1" s="83"/>
      <c r="G1" s="83"/>
      <c r="H1" s="83"/>
      <c r="I1" s="83"/>
      <c r="J1" s="83"/>
      <c r="K1" s="83"/>
      <c r="L1" s="83"/>
      <c r="M1" s="83"/>
      <c r="N1" s="84"/>
    </row>
    <row r="2" spans="1:18" ht="56" x14ac:dyDescent="0.3">
      <c r="A2" s="8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71">
        <f t="shared" ref="A3:A5" si="0">SUM(C3:N3)</f>
        <v>208.39259162056999</v>
      </c>
      <c r="B3" s="56">
        <v>45397</v>
      </c>
      <c r="C3" s="55">
        <v>-32.193060971349993</v>
      </c>
      <c r="D3" s="55">
        <v>12.701653668100002</v>
      </c>
      <c r="E3" s="55">
        <v>-3.1347222999999995</v>
      </c>
      <c r="F3" s="55">
        <v>-32.667133100000008</v>
      </c>
      <c r="G3" s="55">
        <v>-1.4297625983999995</v>
      </c>
      <c r="H3" s="55">
        <v>53.225762103779999</v>
      </c>
      <c r="I3" s="55">
        <v>9.6463499999999897E-2</v>
      </c>
      <c r="J3" s="55">
        <v>15.129824188500002</v>
      </c>
      <c r="K3" s="55">
        <v>161.64891662994</v>
      </c>
      <c r="L3" s="55">
        <v>10.495849099999997</v>
      </c>
      <c r="M3" s="55">
        <v>29.863687300000002</v>
      </c>
      <c r="N3" s="55">
        <v>-5.3448859000000004</v>
      </c>
      <c r="P3" s="14"/>
    </row>
    <row r="4" spans="1:18" x14ac:dyDescent="0.3">
      <c r="A4" s="71">
        <f t="shared" si="0"/>
        <v>-478.5735977536101</v>
      </c>
      <c r="B4" s="70">
        <v>45404</v>
      </c>
      <c r="C4" s="61">
        <v>7.7413377640100007</v>
      </c>
      <c r="D4" s="61">
        <v>-3.3282318231000003</v>
      </c>
      <c r="E4" s="61">
        <v>-0.29860449999999999</v>
      </c>
      <c r="F4" s="61">
        <v>-321.2190544</v>
      </c>
      <c r="G4" s="61">
        <v>-0.53487191989999994</v>
      </c>
      <c r="H4" s="61">
        <v>-138.22392243493005</v>
      </c>
      <c r="I4" s="61">
        <v>2.5471967999999996</v>
      </c>
      <c r="J4" s="61">
        <v>-27.143736713899994</v>
      </c>
      <c r="K4" s="61">
        <v>21.050791874209999</v>
      </c>
      <c r="L4" s="61">
        <v>3.5948875000000009</v>
      </c>
      <c r="M4" s="61">
        <v>-17.053743799999999</v>
      </c>
      <c r="N4" s="61">
        <v>-5.7056461000000001</v>
      </c>
      <c r="P4" s="14"/>
    </row>
    <row r="5" spans="1:18" x14ac:dyDescent="0.3">
      <c r="A5" s="71">
        <f t="shared" si="0"/>
        <v>22.835948687369989</v>
      </c>
      <c r="B5" s="72">
        <v>45411</v>
      </c>
      <c r="C5" s="55">
        <v>6.983574892860001</v>
      </c>
      <c r="D5" s="55">
        <v>4.2816565323999978</v>
      </c>
      <c r="E5" s="55">
        <v>1.3419205000000001</v>
      </c>
      <c r="F5" s="55">
        <v>-39.299470100000008</v>
      </c>
      <c r="G5" s="55">
        <v>3.4734114390999999</v>
      </c>
      <c r="H5" s="55">
        <v>0.16755413236999425</v>
      </c>
      <c r="I5" s="55">
        <v>3.4996883999999993</v>
      </c>
      <c r="J5" s="55">
        <v>-8.0012266107999999</v>
      </c>
      <c r="K5" s="55">
        <v>45.606899801440001</v>
      </c>
      <c r="L5" s="55">
        <v>-3.2915907999999989</v>
      </c>
      <c r="M5" s="55">
        <v>4.8919192000000002</v>
      </c>
      <c r="N5" s="55">
        <v>3.1816113000000001</v>
      </c>
      <c r="P5" s="14"/>
    </row>
    <row r="6" spans="1:18" x14ac:dyDescent="0.3">
      <c r="A6" s="71">
        <f t="shared" ref="A6" si="1">SUM(C6:N6)</f>
        <v>63.31067978027</v>
      </c>
      <c r="B6" s="70">
        <v>45418</v>
      </c>
      <c r="C6" s="61">
        <v>15.372235274060007</v>
      </c>
      <c r="D6" s="61">
        <v>16.382064420900004</v>
      </c>
      <c r="E6" s="61">
        <v>1.5295723000000001</v>
      </c>
      <c r="F6" s="61">
        <v>1.4069826000000003</v>
      </c>
      <c r="G6" s="61">
        <v>-5.0418600209000006</v>
      </c>
      <c r="H6" s="61">
        <v>31.741800637429993</v>
      </c>
      <c r="I6" s="61">
        <v>5.6613613999999997</v>
      </c>
      <c r="J6" s="61">
        <v>-1.6617374810999992</v>
      </c>
      <c r="K6" s="61">
        <v>-4.2441917501199988</v>
      </c>
      <c r="L6" s="61">
        <v>7.020941399999999</v>
      </c>
      <c r="M6" s="61">
        <v>-4.7274271000000008</v>
      </c>
      <c r="N6" s="61">
        <v>-0.12906190000000001</v>
      </c>
      <c r="P6" s="14"/>
    </row>
    <row r="7" spans="1:18" ht="14.5" x14ac:dyDescent="0.35">
      <c r="A7" s="75"/>
      <c r="B7" s="56"/>
      <c r="C7" s="87"/>
      <c r="D7" s="87"/>
      <c r="E7" s="87"/>
      <c r="F7" s="87"/>
      <c r="G7" s="87"/>
      <c r="H7" s="87"/>
      <c r="I7" s="87"/>
      <c r="J7" s="87"/>
      <c r="K7" s="87"/>
      <c r="L7" s="87"/>
      <c r="M7" s="87"/>
      <c r="N7" s="87"/>
      <c r="P7" s="14"/>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3"/>
      <c r="D12" s="53"/>
      <c r="E12" s="53"/>
      <c r="F12" s="53"/>
      <c r="G12" s="53"/>
      <c r="H12" s="53"/>
      <c r="I12" s="53"/>
      <c r="J12" s="53"/>
      <c r="K12" s="53"/>
      <c r="L12" s="53"/>
      <c r="M12" s="53"/>
      <c r="N12" s="53"/>
    </row>
    <row r="13" spans="1:18" ht="14.5" x14ac:dyDescent="0.35">
      <c r="B13"/>
      <c r="C13" s="53"/>
      <c r="D13" s="53"/>
      <c r="E13" s="53"/>
      <c r="F13" s="53"/>
      <c r="G13" s="53"/>
      <c r="H13" s="53"/>
      <c r="I13" s="53"/>
      <c r="J13" s="53"/>
      <c r="K13" s="53"/>
      <c r="L13" s="53"/>
      <c r="M13" s="53"/>
      <c r="N13" s="53"/>
      <c r="O13" s="44"/>
      <c r="P13"/>
      <c r="Q13"/>
      <c r="R13"/>
    </row>
    <row r="14" spans="1:18" ht="14.5" x14ac:dyDescent="0.35">
      <c r="B14"/>
      <c r="C14"/>
      <c r="D14"/>
      <c r="E14"/>
      <c r="F14"/>
      <c r="G14"/>
      <c r="H14"/>
      <c r="I14"/>
      <c r="J14"/>
      <c r="K14"/>
      <c r="L14"/>
      <c r="M14"/>
      <c r="N14"/>
      <c r="O14"/>
      <c r="P14"/>
      <c r="Q14"/>
      <c r="R14"/>
    </row>
    <row r="15" spans="1:18" ht="14.5" x14ac:dyDescent="0.35">
      <c r="C15" s="53"/>
      <c r="D15" s="53"/>
      <c r="E15" s="53"/>
      <c r="F15" s="53"/>
      <c r="G15" s="53"/>
      <c r="H15" s="53"/>
      <c r="I15" s="53"/>
      <c r="J15" s="53"/>
      <c r="K15" s="53"/>
      <c r="L15" s="53"/>
      <c r="M15" s="53"/>
      <c r="N15" s="53"/>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5" ht="56" x14ac:dyDescent="0.35">
      <c r="A1" s="32" t="str">
        <f>CONCATENATE("STI Constituents - ",'Weekly Top 10'!$C$5)</f>
        <v>STI Constituents - Week of 6 May 2024</v>
      </c>
      <c r="B1" s="16" t="s">
        <v>1</v>
      </c>
      <c r="C1" s="17" t="s">
        <v>73</v>
      </c>
      <c r="D1" s="17" t="s">
        <v>74</v>
      </c>
    </row>
    <row r="2" spans="1:5" x14ac:dyDescent="0.35">
      <c r="A2" s="18" t="s">
        <v>89</v>
      </c>
      <c r="B2" s="19" t="s">
        <v>25</v>
      </c>
      <c r="C2" s="20">
        <v>-1.5880620000000001</v>
      </c>
      <c r="D2" s="20">
        <v>6.8062999999999999E-2</v>
      </c>
      <c r="E2" s="38"/>
    </row>
    <row r="3" spans="1:5" x14ac:dyDescent="0.35">
      <c r="A3" s="21" t="s">
        <v>79</v>
      </c>
      <c r="B3" s="22" t="s">
        <v>56</v>
      </c>
      <c r="C3" s="8">
        <v>10.229547</v>
      </c>
      <c r="D3" s="8">
        <v>-3.1629649999999998</v>
      </c>
      <c r="E3" s="38"/>
    </row>
    <row r="4" spans="1:5" x14ac:dyDescent="0.35">
      <c r="A4" s="5" t="s">
        <v>86</v>
      </c>
      <c r="B4" s="7" t="s">
        <v>85</v>
      </c>
      <c r="C4" s="6">
        <v>11.087676999999999</v>
      </c>
      <c r="D4" s="6">
        <v>-1.1215250000000001</v>
      </c>
      <c r="E4" s="38"/>
    </row>
    <row r="5" spans="1:5" x14ac:dyDescent="0.35">
      <c r="A5" s="21" t="s">
        <v>63</v>
      </c>
      <c r="B5" s="22" t="s">
        <v>54</v>
      </c>
      <c r="C5" s="8">
        <v>-1.7407029999999999</v>
      </c>
      <c r="D5" s="8">
        <v>-0.79910800000000004</v>
      </c>
      <c r="E5" s="38"/>
    </row>
    <row r="6" spans="1:5" x14ac:dyDescent="0.35">
      <c r="A6" s="5" t="s">
        <v>26</v>
      </c>
      <c r="B6" s="7" t="s">
        <v>21</v>
      </c>
      <c r="C6" s="6">
        <v>87.548387000000005</v>
      </c>
      <c r="D6" s="6">
        <v>-2.8717329999999999</v>
      </c>
      <c r="E6" s="38"/>
    </row>
    <row r="7" spans="1:5" x14ac:dyDescent="0.35">
      <c r="A7" s="21" t="s">
        <v>87</v>
      </c>
      <c r="B7" s="22" t="s">
        <v>57</v>
      </c>
      <c r="C7" s="8">
        <v>-1.4372149302999999</v>
      </c>
      <c r="D7" s="8">
        <v>1.4491403209</v>
      </c>
      <c r="E7" s="38"/>
    </row>
    <row r="8" spans="1:5" x14ac:dyDescent="0.35">
      <c r="A8" s="5" t="s">
        <v>259</v>
      </c>
      <c r="B8" s="7" t="s">
        <v>110</v>
      </c>
      <c r="C8" s="6">
        <v>3.2790189999999999</v>
      </c>
      <c r="D8" s="6">
        <v>-0.166766</v>
      </c>
      <c r="E8" s="38"/>
    </row>
    <row r="9" spans="1:5" x14ac:dyDescent="0.35">
      <c r="A9" s="21" t="s">
        <v>81</v>
      </c>
      <c r="B9" s="22" t="s">
        <v>80</v>
      </c>
      <c r="C9" s="8">
        <v>1.968127</v>
      </c>
      <c r="D9" s="8">
        <v>3.6504460000000001</v>
      </c>
      <c r="E9" s="38"/>
    </row>
    <row r="10" spans="1:5" x14ac:dyDescent="0.35">
      <c r="A10" s="5" t="s">
        <v>36</v>
      </c>
      <c r="B10" s="7" t="s">
        <v>35</v>
      </c>
      <c r="C10" s="6">
        <v>-18.905887</v>
      </c>
      <c r="D10" s="6">
        <v>14.024245000000001</v>
      </c>
      <c r="E10" s="38"/>
    </row>
    <row r="11" spans="1:5" x14ac:dyDescent="0.35">
      <c r="A11" s="21" t="s">
        <v>64</v>
      </c>
      <c r="B11" s="22" t="s">
        <v>55</v>
      </c>
      <c r="C11" s="8">
        <v>3.5295275475999999</v>
      </c>
      <c r="D11" s="8">
        <v>-2.5360307811</v>
      </c>
      <c r="E11" s="38"/>
    </row>
    <row r="12" spans="1:5" x14ac:dyDescent="0.35">
      <c r="A12" s="5" t="s">
        <v>50</v>
      </c>
      <c r="B12" s="7" t="s">
        <v>48</v>
      </c>
      <c r="C12" s="6">
        <v>0.27266299999999999</v>
      </c>
      <c r="D12" s="6">
        <v>1.320722</v>
      </c>
      <c r="E12" s="38"/>
    </row>
    <row r="13" spans="1:5" x14ac:dyDescent="0.35">
      <c r="A13" s="21" t="s">
        <v>62</v>
      </c>
      <c r="B13" s="22" t="s">
        <v>52</v>
      </c>
      <c r="C13" s="8">
        <v>13.058296264100001</v>
      </c>
      <c r="D13" s="8">
        <v>-1.4928620613000001</v>
      </c>
      <c r="E13" s="38"/>
    </row>
    <row r="14" spans="1:5" x14ac:dyDescent="0.35">
      <c r="A14" s="5" t="s">
        <v>152</v>
      </c>
      <c r="B14" s="7" t="s">
        <v>32</v>
      </c>
      <c r="C14" s="6">
        <v>-17.031282999999998</v>
      </c>
      <c r="D14" s="6">
        <v>18.344124000000001</v>
      </c>
      <c r="E14" s="38"/>
    </row>
    <row r="15" spans="1:5" x14ac:dyDescent="0.35">
      <c r="A15" s="21" t="s">
        <v>77</v>
      </c>
      <c r="B15" s="22" t="s">
        <v>76</v>
      </c>
      <c r="C15" s="8">
        <v>-7.9337340000000003</v>
      </c>
      <c r="D15" s="8">
        <v>2.1334550000000001</v>
      </c>
      <c r="E15" s="38"/>
    </row>
    <row r="16" spans="1:5" x14ac:dyDescent="0.35">
      <c r="A16" s="5" t="s">
        <v>40</v>
      </c>
      <c r="B16" s="7" t="s">
        <v>38</v>
      </c>
      <c r="C16" s="6">
        <v>15.344547</v>
      </c>
      <c r="D16" s="6">
        <v>-2.5435289999999999</v>
      </c>
      <c r="E16" s="38"/>
    </row>
    <row r="17" spans="1:5" x14ac:dyDescent="0.35">
      <c r="A17" s="21" t="s">
        <v>252</v>
      </c>
      <c r="B17" s="22" t="s">
        <v>58</v>
      </c>
      <c r="C17" s="8">
        <v>-7.8754770000000001</v>
      </c>
      <c r="D17" s="8">
        <v>5.4053870000000002</v>
      </c>
      <c r="E17" s="38"/>
    </row>
    <row r="18" spans="1:5" x14ac:dyDescent="0.35">
      <c r="A18" s="5" t="s">
        <v>27</v>
      </c>
      <c r="B18" s="7" t="s">
        <v>22</v>
      </c>
      <c r="C18" s="6">
        <v>-12.198134</v>
      </c>
      <c r="D18" s="6">
        <v>26.252675</v>
      </c>
      <c r="E18" s="38"/>
    </row>
    <row r="19" spans="1:5" x14ac:dyDescent="0.35">
      <c r="A19" s="21" t="s">
        <v>34</v>
      </c>
      <c r="B19" s="22" t="s">
        <v>30</v>
      </c>
      <c r="C19" s="8">
        <v>-0.41847899999999999</v>
      </c>
      <c r="D19" s="8">
        <v>0.51484399999999997</v>
      </c>
      <c r="E19" s="38"/>
    </row>
    <row r="20" spans="1:5" x14ac:dyDescent="0.35">
      <c r="A20" s="5" t="s">
        <v>145</v>
      </c>
      <c r="B20" s="7" t="s">
        <v>267</v>
      </c>
      <c r="C20" s="6">
        <v>-20.080566699999999</v>
      </c>
      <c r="D20" s="6">
        <v>9.1826404999999998</v>
      </c>
      <c r="E20" s="38"/>
    </row>
    <row r="21" spans="1:5" x14ac:dyDescent="0.35">
      <c r="A21" s="21" t="s">
        <v>45</v>
      </c>
      <c r="B21" s="22" t="s">
        <v>42</v>
      </c>
      <c r="C21" s="8">
        <v>3.4257</v>
      </c>
      <c r="D21" s="8">
        <v>0.251193</v>
      </c>
      <c r="E21" s="38"/>
    </row>
    <row r="22" spans="1:5" x14ac:dyDescent="0.35">
      <c r="A22" s="5" t="s">
        <v>33</v>
      </c>
      <c r="B22" s="7" t="s">
        <v>31</v>
      </c>
      <c r="C22" s="6">
        <v>8.318308</v>
      </c>
      <c r="D22" s="6">
        <v>-7.02658</v>
      </c>
      <c r="E22" s="38"/>
    </row>
    <row r="23" spans="1:5" x14ac:dyDescent="0.35">
      <c r="A23" s="21" t="s">
        <v>29</v>
      </c>
      <c r="B23" s="22" t="s">
        <v>24</v>
      </c>
      <c r="C23" s="8">
        <v>8.6611379999999993</v>
      </c>
      <c r="D23" s="8">
        <v>-4.8776960000000003</v>
      </c>
      <c r="E23" s="38"/>
    </row>
    <row r="24" spans="1:5" x14ac:dyDescent="0.35">
      <c r="A24" s="5" t="s">
        <v>39</v>
      </c>
      <c r="B24" s="7" t="s">
        <v>37</v>
      </c>
      <c r="C24" s="6">
        <v>2.9311859999999998</v>
      </c>
      <c r="D24" s="6">
        <v>1.9380459999999999</v>
      </c>
      <c r="E24" s="38"/>
    </row>
    <row r="25" spans="1:5" x14ac:dyDescent="0.35">
      <c r="A25" s="21" t="s">
        <v>49</v>
      </c>
      <c r="B25" s="22" t="s">
        <v>47</v>
      </c>
      <c r="C25" s="8">
        <v>4.9325618000000002</v>
      </c>
      <c r="D25" s="8">
        <v>-4.0327671000000009</v>
      </c>
      <c r="E25" s="38"/>
    </row>
    <row r="26" spans="1:5" x14ac:dyDescent="0.35">
      <c r="A26" s="5" t="s">
        <v>60</v>
      </c>
      <c r="B26" s="7" t="s">
        <v>51</v>
      </c>
      <c r="C26" s="6">
        <v>-4.3725750000000003</v>
      </c>
      <c r="D26" s="6">
        <v>0.22876350000000001</v>
      </c>
      <c r="E26" s="38"/>
    </row>
    <row r="27" spans="1:5" x14ac:dyDescent="0.35">
      <c r="A27" s="21" t="s">
        <v>28</v>
      </c>
      <c r="B27" s="22" t="s">
        <v>23</v>
      </c>
      <c r="C27" s="8">
        <v>23.510083000000002</v>
      </c>
      <c r="D27" s="8">
        <v>-5.9362159999999999</v>
      </c>
      <c r="E27" s="38"/>
    </row>
    <row r="28" spans="1:5" x14ac:dyDescent="0.35">
      <c r="A28" s="5" t="s">
        <v>65</v>
      </c>
      <c r="B28" s="7" t="s">
        <v>59</v>
      </c>
      <c r="C28" s="6">
        <v>1.1123879999999999</v>
      </c>
      <c r="D28" s="6">
        <v>2.1630280000000002</v>
      </c>
      <c r="E28" s="38"/>
    </row>
    <row r="29" spans="1:5" x14ac:dyDescent="0.35">
      <c r="A29" s="21" t="s">
        <v>46</v>
      </c>
      <c r="B29" s="22" t="s">
        <v>43</v>
      </c>
      <c r="C29" s="8">
        <v>-1.985679</v>
      </c>
      <c r="D29" s="8">
        <v>3.212475</v>
      </c>
      <c r="E29" s="38"/>
    </row>
    <row r="30" spans="1:5" x14ac:dyDescent="0.35">
      <c r="A30" s="5" t="s">
        <v>44</v>
      </c>
      <c r="B30" s="7" t="s">
        <v>41</v>
      </c>
      <c r="C30" s="6">
        <v>-5.0741420000000002</v>
      </c>
      <c r="D30" s="6">
        <v>9.0596770000000006</v>
      </c>
      <c r="E30" s="38"/>
    </row>
    <row r="31" spans="1:5" ht="15" thickBot="1" x14ac:dyDescent="0.4">
      <c r="A31" s="21" t="s">
        <v>61</v>
      </c>
      <c r="B31" s="22" t="s">
        <v>53</v>
      </c>
      <c r="C31" s="8">
        <v>0.49444900000000003</v>
      </c>
      <c r="D31" s="8">
        <v>13.357571</v>
      </c>
      <c r="E31" s="38"/>
    </row>
    <row r="32" spans="1:5" ht="21" customHeight="1" thickBot="1" x14ac:dyDescent="0.4">
      <c r="A32" s="85" t="s">
        <v>66</v>
      </c>
      <c r="B32" s="86"/>
      <c r="C32" s="64">
        <f>SUM(C2:C31)</f>
        <v>99.061667981399992</v>
      </c>
      <c r="D32" s="65">
        <f>SUM(D2:D31)</f>
        <v>75.988717378499985</v>
      </c>
    </row>
    <row r="34" spans="1:5" x14ac:dyDescent="0.35">
      <c r="A34" s="11" t="s">
        <v>67</v>
      </c>
      <c r="B34" s="52"/>
      <c r="C34" s="52"/>
      <c r="D34" s="52"/>
      <c r="E34" s="52"/>
    </row>
    <row r="35" spans="1:5" x14ac:dyDescent="0.35">
      <c r="A35" s="11" t="s">
        <v>82</v>
      </c>
    </row>
    <row r="36" spans="1:5" x14ac:dyDescent="0.35">
      <c r="A36" s="11" t="s">
        <v>83</v>
      </c>
    </row>
    <row r="37" spans="1:5" x14ac:dyDescent="0.3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9" ht="42" x14ac:dyDescent="0.35">
      <c r="A1" s="32" t="str">
        <f>CONCATENATE("100 Most Traded Stocks YTD - ",'Weekly Top 10'!$C$5)</f>
        <v>100 Most Traded Stocks YTD - Week of 6 May 2024</v>
      </c>
      <c r="B1" s="16" t="s">
        <v>1</v>
      </c>
      <c r="C1" s="51" t="s">
        <v>100</v>
      </c>
      <c r="D1" s="17" t="s">
        <v>99</v>
      </c>
      <c r="E1" s="17" t="s">
        <v>101</v>
      </c>
      <c r="F1" s="17" t="s">
        <v>102</v>
      </c>
    </row>
    <row r="2" spans="1:9" x14ac:dyDescent="0.35">
      <c r="A2" s="18" t="s">
        <v>26</v>
      </c>
      <c r="B2" s="19" t="s">
        <v>21</v>
      </c>
      <c r="C2" s="58">
        <v>146.56270065008891</v>
      </c>
      <c r="D2" s="58">
        <v>24.1576995</v>
      </c>
      <c r="E2" s="58">
        <v>87.548387000000005</v>
      </c>
      <c r="F2" s="20" t="s">
        <v>13</v>
      </c>
      <c r="G2" s="57"/>
      <c r="H2" s="57"/>
      <c r="I2" s="57"/>
    </row>
    <row r="3" spans="1:9" x14ac:dyDescent="0.35">
      <c r="A3" s="21" t="s">
        <v>28</v>
      </c>
      <c r="B3" s="22" t="s">
        <v>23</v>
      </c>
      <c r="C3" s="59">
        <v>89.289779847944445</v>
      </c>
      <c r="D3" s="59">
        <v>211.05084600000001</v>
      </c>
      <c r="E3" s="59">
        <v>23.510083000000002</v>
      </c>
      <c r="F3" s="8" t="s">
        <v>13</v>
      </c>
      <c r="G3" s="57"/>
      <c r="H3" s="57"/>
      <c r="I3" s="57"/>
    </row>
    <row r="4" spans="1:9" x14ac:dyDescent="0.35">
      <c r="A4" s="5" t="s">
        <v>167</v>
      </c>
      <c r="B4" s="7" t="s">
        <v>22</v>
      </c>
      <c r="C4" s="60">
        <v>72.689773442300009</v>
      </c>
      <c r="D4" s="60">
        <v>171.2353616</v>
      </c>
      <c r="E4" s="60">
        <v>-12.198134</v>
      </c>
      <c r="F4" s="6" t="s">
        <v>13</v>
      </c>
      <c r="G4" s="57"/>
      <c r="H4" s="57"/>
      <c r="I4" s="57"/>
    </row>
    <row r="5" spans="1:9" x14ac:dyDescent="0.35">
      <c r="A5" s="21" t="s">
        <v>49</v>
      </c>
      <c r="B5" s="22" t="s">
        <v>47</v>
      </c>
      <c r="C5" s="59">
        <v>70.980239598200015</v>
      </c>
      <c r="D5" s="59">
        <v>-0.16551150000000231</v>
      </c>
      <c r="E5" s="59">
        <v>4.9325618000000002</v>
      </c>
      <c r="F5" s="8" t="s">
        <v>163</v>
      </c>
      <c r="G5" s="57"/>
      <c r="H5" s="57"/>
      <c r="I5" s="57"/>
    </row>
    <row r="6" spans="1:9" x14ac:dyDescent="0.35">
      <c r="A6" s="5" t="s">
        <v>277</v>
      </c>
      <c r="B6" s="7" t="s">
        <v>267</v>
      </c>
      <c r="C6" s="60">
        <v>46.889227590101122</v>
      </c>
      <c r="D6" s="60">
        <v>-89.698408299999997</v>
      </c>
      <c r="E6" s="60">
        <v>-20.080566699999999</v>
      </c>
      <c r="F6" s="46" t="s">
        <v>14</v>
      </c>
      <c r="G6" s="57"/>
      <c r="H6" s="57"/>
      <c r="I6" s="57"/>
    </row>
    <row r="7" spans="1:9" x14ac:dyDescent="0.35">
      <c r="A7" s="21" t="s">
        <v>168</v>
      </c>
      <c r="B7" s="22" t="s">
        <v>56</v>
      </c>
      <c r="C7" s="59">
        <v>44.306785439888884</v>
      </c>
      <c r="D7" s="59">
        <v>-18.840506999999999</v>
      </c>
      <c r="E7" s="59">
        <v>10.229547</v>
      </c>
      <c r="F7" s="8" t="s">
        <v>17</v>
      </c>
      <c r="G7" s="57"/>
      <c r="H7" s="57"/>
      <c r="I7" s="57"/>
    </row>
    <row r="8" spans="1:9" x14ac:dyDescent="0.35">
      <c r="A8" s="5" t="s">
        <v>33</v>
      </c>
      <c r="B8" s="7" t="s">
        <v>31</v>
      </c>
      <c r="C8" s="60">
        <v>37.791754791222225</v>
      </c>
      <c r="D8" s="60">
        <v>-155.79414700000001</v>
      </c>
      <c r="E8" s="60">
        <v>8.318308</v>
      </c>
      <c r="F8" s="46" t="s">
        <v>14</v>
      </c>
      <c r="G8" s="57"/>
      <c r="H8" s="57"/>
      <c r="I8" s="57"/>
    </row>
    <row r="9" spans="1:9" x14ac:dyDescent="0.35">
      <c r="A9" s="21" t="s">
        <v>170</v>
      </c>
      <c r="B9" s="22" t="s">
        <v>53</v>
      </c>
      <c r="C9" s="59">
        <v>37.408494437777783</v>
      </c>
      <c r="D9" s="59">
        <v>111.391398</v>
      </c>
      <c r="E9" s="59">
        <v>0.49444900000000003</v>
      </c>
      <c r="F9" s="8" t="s">
        <v>14</v>
      </c>
      <c r="G9" s="57"/>
      <c r="H9" s="57"/>
      <c r="I9" s="57"/>
    </row>
    <row r="10" spans="1:9" x14ac:dyDescent="0.35">
      <c r="A10" s="5" t="s">
        <v>169</v>
      </c>
      <c r="B10" s="7" t="s">
        <v>25</v>
      </c>
      <c r="C10" s="60">
        <v>35.843520182999995</v>
      </c>
      <c r="D10" s="60">
        <v>-116.76975899999999</v>
      </c>
      <c r="E10" s="60">
        <v>-1.5880620000000001</v>
      </c>
      <c r="F10" s="46" t="s">
        <v>17</v>
      </c>
      <c r="G10" s="57"/>
      <c r="H10" s="57"/>
      <c r="I10" s="57"/>
    </row>
    <row r="11" spans="1:9" x14ac:dyDescent="0.35">
      <c r="A11" s="21" t="s">
        <v>172</v>
      </c>
      <c r="B11" s="22" t="s">
        <v>38</v>
      </c>
      <c r="C11" s="59">
        <v>29.115931635555551</v>
      </c>
      <c r="D11" s="59">
        <v>-147.298338</v>
      </c>
      <c r="E11" s="59">
        <v>15.344547</v>
      </c>
      <c r="F11" s="8" t="s">
        <v>17</v>
      </c>
      <c r="G11" s="57"/>
      <c r="H11" s="57"/>
      <c r="I11" s="57"/>
    </row>
    <row r="12" spans="1:9" x14ac:dyDescent="0.35">
      <c r="A12" s="5" t="s">
        <v>173</v>
      </c>
      <c r="B12" s="7" t="s">
        <v>35</v>
      </c>
      <c r="C12" s="60">
        <v>28.362496463444447</v>
      </c>
      <c r="D12" s="60">
        <v>-48.014972499999999</v>
      </c>
      <c r="E12" s="60">
        <v>-18.905887</v>
      </c>
      <c r="F12" s="46" t="s">
        <v>10</v>
      </c>
      <c r="G12" s="57"/>
      <c r="H12" s="57"/>
      <c r="I12" s="57"/>
    </row>
    <row r="13" spans="1:9" x14ac:dyDescent="0.35">
      <c r="A13" s="21" t="s">
        <v>171</v>
      </c>
      <c r="B13" s="22" t="s">
        <v>85</v>
      </c>
      <c r="C13" s="59">
        <v>28.17246189476667</v>
      </c>
      <c r="D13" s="59">
        <v>-163.80047099999999</v>
      </c>
      <c r="E13" s="59">
        <v>11.087676999999999</v>
      </c>
      <c r="F13" s="8" t="s">
        <v>13</v>
      </c>
      <c r="G13" s="57"/>
      <c r="H13" s="57"/>
      <c r="I13" s="57"/>
    </row>
    <row r="14" spans="1:9" x14ac:dyDescent="0.35">
      <c r="A14" s="5" t="s">
        <v>152</v>
      </c>
      <c r="B14" s="7" t="s">
        <v>32</v>
      </c>
      <c r="C14" s="60">
        <v>24.77142388923334</v>
      </c>
      <c r="D14" s="60">
        <v>43.130504999999999</v>
      </c>
      <c r="E14" s="60">
        <v>-17.031282999999998</v>
      </c>
      <c r="F14" s="46" t="s">
        <v>14</v>
      </c>
      <c r="G14" s="57"/>
      <c r="H14" s="57"/>
      <c r="I14" s="57"/>
    </row>
    <row r="15" spans="1:9" x14ac:dyDescent="0.35">
      <c r="A15" s="21" t="s">
        <v>179</v>
      </c>
      <c r="B15" s="22" t="s">
        <v>58</v>
      </c>
      <c r="C15" s="59">
        <v>19.949567580555552</v>
      </c>
      <c r="D15" s="59">
        <v>-91.143359000000004</v>
      </c>
      <c r="E15" s="59">
        <v>-7.8754770000000001</v>
      </c>
      <c r="F15" s="8" t="s">
        <v>17</v>
      </c>
      <c r="G15" s="57"/>
      <c r="H15" s="57"/>
      <c r="I15" s="57"/>
    </row>
    <row r="16" spans="1:9" x14ac:dyDescent="0.35">
      <c r="A16" s="5" t="s">
        <v>181</v>
      </c>
      <c r="B16" s="7" t="s">
        <v>48</v>
      </c>
      <c r="C16" s="60">
        <v>18.491037417111109</v>
      </c>
      <c r="D16" s="60">
        <v>-52.063096000000002</v>
      </c>
      <c r="E16" s="60">
        <v>0.27266299999999999</v>
      </c>
      <c r="F16" s="46" t="s">
        <v>10</v>
      </c>
      <c r="G16" s="57"/>
      <c r="H16" s="57"/>
      <c r="I16" s="57"/>
    </row>
    <row r="17" spans="1:11" x14ac:dyDescent="0.35">
      <c r="A17" s="21" t="s">
        <v>177</v>
      </c>
      <c r="B17" s="22" t="s">
        <v>42</v>
      </c>
      <c r="C17" s="59">
        <v>18.344932604666671</v>
      </c>
      <c r="D17" s="59">
        <v>18.7031642</v>
      </c>
      <c r="E17" s="59">
        <v>3.4257</v>
      </c>
      <c r="F17" s="8" t="s">
        <v>19</v>
      </c>
      <c r="G17" s="57"/>
      <c r="H17" s="57"/>
      <c r="I17" s="57"/>
      <c r="J17" s="57"/>
      <c r="K17" s="57"/>
    </row>
    <row r="18" spans="1:11" x14ac:dyDescent="0.35">
      <c r="A18" s="5" t="s">
        <v>180</v>
      </c>
      <c r="B18" s="7" t="s">
        <v>51</v>
      </c>
      <c r="C18" s="60">
        <v>18.170507058888891</v>
      </c>
      <c r="D18" s="60">
        <v>39.655724500000005</v>
      </c>
      <c r="E18" s="60">
        <v>-4.3725750000000003</v>
      </c>
      <c r="F18" s="46" t="s">
        <v>11</v>
      </c>
      <c r="G18" s="57"/>
      <c r="H18" s="57"/>
      <c r="I18" s="57"/>
      <c r="J18" s="57"/>
      <c r="K18" s="57"/>
    </row>
    <row r="19" spans="1:11" x14ac:dyDescent="0.35">
      <c r="A19" s="21" t="s">
        <v>176</v>
      </c>
      <c r="B19" s="22" t="s">
        <v>41</v>
      </c>
      <c r="C19" s="59">
        <v>17.571585072677781</v>
      </c>
      <c r="D19" s="59">
        <v>-15.235371000000001</v>
      </c>
      <c r="E19" s="59">
        <v>-5.0741420000000002</v>
      </c>
      <c r="F19" s="8" t="s">
        <v>11</v>
      </c>
      <c r="G19" s="57"/>
      <c r="H19" s="57"/>
      <c r="I19" s="57"/>
      <c r="J19" s="57"/>
      <c r="K19" s="57"/>
    </row>
    <row r="20" spans="1:11" x14ac:dyDescent="0.35">
      <c r="A20" s="5" t="s">
        <v>29</v>
      </c>
      <c r="B20" s="7" t="s">
        <v>24</v>
      </c>
      <c r="C20" s="60">
        <v>17.012150131111113</v>
      </c>
      <c r="D20" s="60">
        <v>-116.156862</v>
      </c>
      <c r="E20" s="60">
        <v>8.6611379999999993</v>
      </c>
      <c r="F20" s="46" t="s">
        <v>13</v>
      </c>
      <c r="G20" s="57"/>
      <c r="H20" s="57"/>
      <c r="I20" s="57"/>
      <c r="J20" s="57"/>
      <c r="K20" s="57"/>
    </row>
    <row r="21" spans="1:11" x14ac:dyDescent="0.35">
      <c r="A21" s="21" t="s">
        <v>182</v>
      </c>
      <c r="B21" s="22" t="s">
        <v>59</v>
      </c>
      <c r="C21" s="59">
        <v>16.989326498777782</v>
      </c>
      <c r="D21" s="59">
        <v>-103.35378300000001</v>
      </c>
      <c r="E21" s="59">
        <v>1.1123879999999999</v>
      </c>
      <c r="F21" s="8" t="s">
        <v>16</v>
      </c>
      <c r="G21" s="57"/>
      <c r="H21" s="57"/>
      <c r="I21" s="57"/>
      <c r="J21" s="57"/>
      <c r="K21" s="57"/>
    </row>
    <row r="22" spans="1:11" x14ac:dyDescent="0.35">
      <c r="A22" s="5" t="s">
        <v>175</v>
      </c>
      <c r="B22" s="7" t="s">
        <v>52</v>
      </c>
      <c r="C22" s="60">
        <v>16.574575543941311</v>
      </c>
      <c r="D22" s="60">
        <v>43.576153313299997</v>
      </c>
      <c r="E22" s="60">
        <v>13.058296264100001</v>
      </c>
      <c r="F22" s="46" t="s">
        <v>14</v>
      </c>
      <c r="G22" s="57"/>
      <c r="H22" s="57"/>
      <c r="I22" s="57"/>
      <c r="J22" s="57"/>
      <c r="K22" s="57"/>
    </row>
    <row r="23" spans="1:11" x14ac:dyDescent="0.35">
      <c r="A23" s="21" t="s">
        <v>183</v>
      </c>
      <c r="B23" s="22" t="s">
        <v>54</v>
      </c>
      <c r="C23" s="59">
        <v>16.37054794555555</v>
      </c>
      <c r="D23" s="59">
        <v>-46.953460999999997</v>
      </c>
      <c r="E23" s="59">
        <v>-1.7407029999999999</v>
      </c>
      <c r="F23" s="8" t="s">
        <v>16</v>
      </c>
      <c r="G23" s="57"/>
      <c r="H23" s="57"/>
      <c r="I23" s="57"/>
      <c r="J23" s="57"/>
      <c r="K23" s="57"/>
    </row>
    <row r="24" spans="1:11" x14ac:dyDescent="0.35">
      <c r="A24" s="5" t="s">
        <v>39</v>
      </c>
      <c r="B24" s="7" t="s">
        <v>37</v>
      </c>
      <c r="C24" s="60">
        <v>15.825441751111111</v>
      </c>
      <c r="D24" s="60">
        <v>55.838405999999999</v>
      </c>
      <c r="E24" s="60">
        <v>2.9311859999999998</v>
      </c>
      <c r="F24" s="46" t="s">
        <v>14</v>
      </c>
      <c r="G24" s="57"/>
      <c r="H24" s="57"/>
      <c r="I24" s="57"/>
      <c r="J24" s="57"/>
      <c r="K24" s="57"/>
    </row>
    <row r="25" spans="1:11" x14ac:dyDescent="0.35">
      <c r="A25" s="21" t="s">
        <v>178</v>
      </c>
      <c r="B25" s="22" t="s">
        <v>76</v>
      </c>
      <c r="C25" s="59">
        <v>13.585897947111109</v>
      </c>
      <c r="D25" s="59">
        <v>-52.713639000000001</v>
      </c>
      <c r="E25" s="59">
        <v>-7.9337340000000003</v>
      </c>
      <c r="F25" s="8" t="s">
        <v>17</v>
      </c>
      <c r="G25" s="57"/>
      <c r="H25" s="57"/>
      <c r="I25" s="57"/>
      <c r="J25" s="57"/>
      <c r="K25" s="57"/>
    </row>
    <row r="26" spans="1:11" x14ac:dyDescent="0.35">
      <c r="A26" s="5" t="s">
        <v>187</v>
      </c>
      <c r="B26" s="7" t="s">
        <v>80</v>
      </c>
      <c r="C26" s="60">
        <v>11.78075455166667</v>
      </c>
      <c r="D26" s="60">
        <v>-64.658305999999996</v>
      </c>
      <c r="E26" s="60">
        <v>1.968127</v>
      </c>
      <c r="F26" s="46" t="s">
        <v>17</v>
      </c>
      <c r="G26" s="57"/>
      <c r="H26" s="57"/>
      <c r="I26" s="57"/>
      <c r="J26" s="57"/>
      <c r="K26" s="57"/>
    </row>
    <row r="27" spans="1:11" x14ac:dyDescent="0.35">
      <c r="A27" s="21" t="s">
        <v>174</v>
      </c>
      <c r="B27" s="22" t="s">
        <v>78</v>
      </c>
      <c r="C27" s="59">
        <v>11.75072253022222</v>
      </c>
      <c r="D27" s="59">
        <v>-58.956716</v>
      </c>
      <c r="E27" s="59">
        <v>7.3686629999999997</v>
      </c>
      <c r="F27" s="8" t="s">
        <v>17</v>
      </c>
      <c r="G27" s="57"/>
      <c r="H27" s="57"/>
      <c r="I27" s="57"/>
      <c r="J27" s="57"/>
      <c r="K27" s="57"/>
    </row>
    <row r="28" spans="1:11" x14ac:dyDescent="0.35">
      <c r="A28" s="5" t="s">
        <v>34</v>
      </c>
      <c r="B28" s="7" t="s">
        <v>30</v>
      </c>
      <c r="C28" s="60">
        <v>11.05494820555556</v>
      </c>
      <c r="D28" s="60">
        <v>-27.230354999999999</v>
      </c>
      <c r="E28" s="60">
        <v>-0.41847899999999999</v>
      </c>
      <c r="F28" s="46" t="s">
        <v>14</v>
      </c>
      <c r="G28" s="57"/>
      <c r="H28" s="57"/>
      <c r="I28" s="57"/>
      <c r="J28" s="57"/>
      <c r="K28" s="57"/>
    </row>
    <row r="29" spans="1:11" x14ac:dyDescent="0.35">
      <c r="A29" s="21" t="s">
        <v>184</v>
      </c>
      <c r="B29" s="22" t="s">
        <v>43</v>
      </c>
      <c r="C29" s="59">
        <v>10.758309329999999</v>
      </c>
      <c r="D29" s="59">
        <v>56.384165000000003</v>
      </c>
      <c r="E29" s="59">
        <v>-1.985679</v>
      </c>
      <c r="F29" s="8" t="s">
        <v>164</v>
      </c>
      <c r="G29" s="57"/>
      <c r="H29" s="57"/>
      <c r="I29" s="57"/>
      <c r="J29" s="57"/>
      <c r="K29" s="57"/>
    </row>
    <row r="30" spans="1:11" x14ac:dyDescent="0.35">
      <c r="A30" s="5" t="s">
        <v>188</v>
      </c>
      <c r="B30" s="7" t="s">
        <v>55</v>
      </c>
      <c r="C30" s="60">
        <v>8.8647304783434446</v>
      </c>
      <c r="D30" s="60">
        <v>5.119697582499998</v>
      </c>
      <c r="E30" s="60">
        <v>3.529527547599999</v>
      </c>
      <c r="F30" s="46" t="s">
        <v>16</v>
      </c>
      <c r="G30" s="57"/>
      <c r="H30" s="57"/>
      <c r="I30" s="57"/>
      <c r="J30" s="57"/>
      <c r="K30" s="57"/>
    </row>
    <row r="31" spans="1:11" x14ac:dyDescent="0.35">
      <c r="A31" s="21" t="s">
        <v>189</v>
      </c>
      <c r="B31" s="22" t="s">
        <v>90</v>
      </c>
      <c r="C31" s="59">
        <v>8.8632733166666657</v>
      </c>
      <c r="D31" s="59">
        <v>-29.768830999999999</v>
      </c>
      <c r="E31" s="59">
        <v>4.5235859999999999</v>
      </c>
      <c r="F31" s="8" t="s">
        <v>17</v>
      </c>
      <c r="G31" s="57"/>
      <c r="H31" s="57"/>
      <c r="I31" s="57"/>
      <c r="J31" s="57"/>
      <c r="K31" s="57"/>
    </row>
    <row r="32" spans="1:11" x14ac:dyDescent="0.35">
      <c r="A32" s="5" t="s">
        <v>142</v>
      </c>
      <c r="B32" s="7" t="s">
        <v>107</v>
      </c>
      <c r="C32" s="60">
        <v>7.6303309811111104</v>
      </c>
      <c r="D32" s="60">
        <v>60.210464000000002</v>
      </c>
      <c r="E32" s="60">
        <v>0.70585100000000001</v>
      </c>
      <c r="F32" s="46" t="s">
        <v>14</v>
      </c>
      <c r="G32" s="57"/>
      <c r="H32" s="57"/>
      <c r="I32" s="57"/>
      <c r="J32" s="57"/>
      <c r="K32" s="57"/>
    </row>
    <row r="33" spans="1:11" x14ac:dyDescent="0.35">
      <c r="A33" s="21" t="s">
        <v>186</v>
      </c>
      <c r="B33" s="22" t="s">
        <v>110</v>
      </c>
      <c r="C33" s="59">
        <v>7.4553679655555554</v>
      </c>
      <c r="D33" s="59">
        <v>1.794835</v>
      </c>
      <c r="E33" s="59">
        <v>3.2790189999999999</v>
      </c>
      <c r="F33" s="8" t="s">
        <v>17</v>
      </c>
      <c r="G33" s="57"/>
      <c r="H33" s="57"/>
      <c r="I33" s="57"/>
      <c r="J33" s="57"/>
      <c r="K33" s="57"/>
    </row>
    <row r="34" spans="1:11" x14ac:dyDescent="0.35">
      <c r="A34" s="5" t="s">
        <v>185</v>
      </c>
      <c r="B34" s="7" t="s">
        <v>103</v>
      </c>
      <c r="C34" s="60">
        <v>7.1307625465777775</v>
      </c>
      <c r="D34" s="60">
        <v>-4.7960240000000001</v>
      </c>
      <c r="E34" s="60">
        <v>2.6179774999999998</v>
      </c>
      <c r="F34" s="46" t="s">
        <v>17</v>
      </c>
      <c r="G34" s="57"/>
      <c r="H34" s="57"/>
      <c r="I34" s="57"/>
      <c r="J34" s="57"/>
      <c r="K34" s="57"/>
    </row>
    <row r="35" spans="1:11" x14ac:dyDescent="0.35">
      <c r="A35" s="21" t="s">
        <v>190</v>
      </c>
      <c r="B35" s="22" t="s">
        <v>91</v>
      </c>
      <c r="C35" s="59">
        <v>5.9563043091555556</v>
      </c>
      <c r="D35" s="59">
        <v>-66.412422223999997</v>
      </c>
      <c r="E35" s="59">
        <v>-11.829912</v>
      </c>
      <c r="F35" s="8" t="s">
        <v>164</v>
      </c>
      <c r="G35" s="57"/>
      <c r="H35" s="57"/>
      <c r="I35" s="57"/>
      <c r="J35" s="57"/>
      <c r="K35" s="57"/>
    </row>
    <row r="36" spans="1:11" x14ac:dyDescent="0.35">
      <c r="A36" s="5" t="s">
        <v>192</v>
      </c>
      <c r="B36" s="7" t="s">
        <v>111</v>
      </c>
      <c r="C36" s="60">
        <v>5.4979025433333328</v>
      </c>
      <c r="D36" s="60">
        <v>23.525428999999999</v>
      </c>
      <c r="E36" s="60">
        <v>2.0104510000000002</v>
      </c>
      <c r="F36" s="46" t="s">
        <v>164</v>
      </c>
      <c r="G36" s="57"/>
      <c r="H36" s="57"/>
      <c r="I36" s="57"/>
      <c r="J36" s="57"/>
      <c r="K36" s="57"/>
    </row>
    <row r="37" spans="1:11" x14ac:dyDescent="0.35">
      <c r="A37" s="21" t="s">
        <v>193</v>
      </c>
      <c r="B37" s="22" t="s">
        <v>146</v>
      </c>
      <c r="C37" s="59">
        <v>5.4825055911111118</v>
      </c>
      <c r="D37" s="59">
        <v>6.165165</v>
      </c>
      <c r="E37" s="59">
        <v>1.3061879999999999</v>
      </c>
      <c r="F37" s="8" t="s">
        <v>164</v>
      </c>
      <c r="G37" s="57"/>
      <c r="H37" s="57"/>
      <c r="I37" s="57"/>
      <c r="J37" s="57"/>
      <c r="K37" s="57"/>
    </row>
    <row r="38" spans="1:11" x14ac:dyDescent="0.35">
      <c r="A38" s="5" t="s">
        <v>191</v>
      </c>
      <c r="B38" s="7" t="s">
        <v>93</v>
      </c>
      <c r="C38" s="60">
        <v>5.0083087436111109</v>
      </c>
      <c r="D38" s="60">
        <v>-34.560887999999998</v>
      </c>
      <c r="E38" s="60">
        <v>1.2737229999999999</v>
      </c>
      <c r="F38" s="46" t="s">
        <v>17</v>
      </c>
      <c r="G38" s="57"/>
      <c r="H38" s="57"/>
      <c r="I38" s="57"/>
      <c r="J38" s="57"/>
      <c r="K38" s="57"/>
    </row>
    <row r="39" spans="1:11" x14ac:dyDescent="0.35">
      <c r="A39" s="21" t="s">
        <v>196</v>
      </c>
      <c r="B39" s="22" t="s">
        <v>125</v>
      </c>
      <c r="C39" s="59">
        <v>4.5604070050000001</v>
      </c>
      <c r="D39" s="59">
        <v>1.8680369999999999</v>
      </c>
      <c r="E39" s="59">
        <v>4.3502980000000004</v>
      </c>
      <c r="F39" s="8" t="s">
        <v>164</v>
      </c>
      <c r="G39" s="57"/>
      <c r="H39" s="57"/>
      <c r="I39" s="57"/>
      <c r="J39" s="57"/>
      <c r="K39" s="57"/>
    </row>
    <row r="40" spans="1:11" x14ac:dyDescent="0.35">
      <c r="A40" s="5" t="s">
        <v>194</v>
      </c>
      <c r="B40" s="7" t="s">
        <v>122</v>
      </c>
      <c r="C40" s="60">
        <v>4.3958779222222226</v>
      </c>
      <c r="D40" s="60">
        <v>11.571490000000001</v>
      </c>
      <c r="E40" s="60">
        <v>-0.28414</v>
      </c>
      <c r="F40" s="46" t="s">
        <v>165</v>
      </c>
      <c r="G40" s="57"/>
      <c r="H40" s="57"/>
      <c r="I40" s="57"/>
      <c r="J40" s="57"/>
      <c r="K40" s="57"/>
    </row>
    <row r="41" spans="1:11" x14ac:dyDescent="0.35">
      <c r="A41" s="21" t="s">
        <v>215</v>
      </c>
      <c r="B41" s="22" t="s">
        <v>130</v>
      </c>
      <c r="C41" s="59">
        <v>3.9383274111111106</v>
      </c>
      <c r="D41" s="59">
        <v>17.044204499999999</v>
      </c>
      <c r="E41" s="59">
        <v>0.56953149999999997</v>
      </c>
      <c r="F41" s="8" t="s">
        <v>165</v>
      </c>
      <c r="G41" s="57"/>
      <c r="H41" s="57"/>
      <c r="I41" s="57"/>
      <c r="J41" s="57"/>
      <c r="K41" s="57"/>
    </row>
    <row r="42" spans="1:11" x14ac:dyDescent="0.35">
      <c r="A42" s="5" t="s">
        <v>210</v>
      </c>
      <c r="B42" s="7" t="s">
        <v>109</v>
      </c>
      <c r="C42" s="60">
        <v>3.8039027693333329</v>
      </c>
      <c r="D42" s="60">
        <v>-19.085565500000001</v>
      </c>
      <c r="E42" s="60">
        <v>-4.8819470000000003</v>
      </c>
      <c r="F42" s="46" t="s">
        <v>11</v>
      </c>
      <c r="G42" s="57"/>
      <c r="H42" s="57"/>
      <c r="I42" s="57"/>
      <c r="J42" s="57"/>
      <c r="K42" s="57"/>
    </row>
    <row r="43" spans="1:11" x14ac:dyDescent="0.35">
      <c r="A43" s="21" t="s">
        <v>198</v>
      </c>
      <c r="B43" s="22" t="s">
        <v>104</v>
      </c>
      <c r="C43" s="59">
        <v>3.5422463084444451</v>
      </c>
      <c r="D43" s="59">
        <v>3.9376915000000001</v>
      </c>
      <c r="E43" s="59">
        <v>1.5644454999999999</v>
      </c>
      <c r="F43" s="8" t="s">
        <v>17</v>
      </c>
      <c r="G43" s="57"/>
      <c r="H43" s="57"/>
      <c r="I43" s="57"/>
      <c r="J43" s="57"/>
      <c r="K43" s="57"/>
    </row>
    <row r="44" spans="1:11" x14ac:dyDescent="0.35">
      <c r="A44" s="5" t="s">
        <v>197</v>
      </c>
      <c r="B44" s="7" t="s">
        <v>112</v>
      </c>
      <c r="C44" s="60">
        <v>3.3005847666666672</v>
      </c>
      <c r="D44" s="60">
        <v>-18.307759999999998</v>
      </c>
      <c r="E44" s="60">
        <v>0.75782000000000005</v>
      </c>
      <c r="F44" s="46" t="s">
        <v>164</v>
      </c>
      <c r="G44" s="57"/>
      <c r="H44" s="57"/>
      <c r="I44" s="57"/>
      <c r="J44" s="57"/>
      <c r="K44" s="57"/>
    </row>
    <row r="45" spans="1:11" x14ac:dyDescent="0.35">
      <c r="A45" s="21" t="s">
        <v>195</v>
      </c>
      <c r="B45" s="22" t="s">
        <v>96</v>
      </c>
      <c r="C45" s="59">
        <v>2.9939150777777779</v>
      </c>
      <c r="D45" s="59">
        <v>1.4819385</v>
      </c>
      <c r="E45" s="59">
        <v>1.1319094999999999</v>
      </c>
      <c r="F45" s="8" t="s">
        <v>14</v>
      </c>
      <c r="G45" s="57"/>
      <c r="H45" s="57"/>
      <c r="I45" s="57"/>
      <c r="J45" s="57"/>
      <c r="K45" s="57"/>
    </row>
    <row r="46" spans="1:11" x14ac:dyDescent="0.35">
      <c r="A46" s="5" t="s">
        <v>203</v>
      </c>
      <c r="B46" s="7" t="s">
        <v>108</v>
      </c>
      <c r="C46" s="60">
        <v>2.6970452722222218</v>
      </c>
      <c r="D46" s="60">
        <v>-18.802280499999998</v>
      </c>
      <c r="E46" s="60">
        <v>0.76815449999999985</v>
      </c>
      <c r="F46" s="46" t="s">
        <v>17</v>
      </c>
      <c r="G46" s="57"/>
      <c r="H46" s="57"/>
      <c r="I46" s="57"/>
      <c r="J46" s="57"/>
      <c r="K46" s="57"/>
    </row>
    <row r="47" spans="1:11" x14ac:dyDescent="0.35">
      <c r="A47" s="21" t="s">
        <v>202</v>
      </c>
      <c r="B47" s="22" t="s">
        <v>119</v>
      </c>
      <c r="C47" s="59">
        <v>2.6691466420333327</v>
      </c>
      <c r="D47" s="59">
        <v>-3.6913310000000008</v>
      </c>
      <c r="E47" s="59">
        <v>1.547971</v>
      </c>
      <c r="F47" s="8" t="s">
        <v>17</v>
      </c>
      <c r="G47" s="57"/>
      <c r="H47" s="57"/>
      <c r="I47" s="57"/>
      <c r="J47" s="57"/>
      <c r="K47" s="57"/>
    </row>
    <row r="48" spans="1:11" x14ac:dyDescent="0.35">
      <c r="A48" s="5" t="s">
        <v>219</v>
      </c>
      <c r="B48" s="7" t="s">
        <v>132</v>
      </c>
      <c r="C48" s="60">
        <v>2.6487742735555551</v>
      </c>
      <c r="D48" s="60">
        <v>2.8735005</v>
      </c>
      <c r="E48" s="60">
        <v>4.6254039999999996</v>
      </c>
      <c r="F48" s="46" t="s">
        <v>166</v>
      </c>
      <c r="G48" s="57"/>
      <c r="H48" s="57"/>
      <c r="I48" s="57"/>
      <c r="J48" s="57"/>
      <c r="K48" s="57"/>
    </row>
    <row r="49" spans="1:11" x14ac:dyDescent="0.35">
      <c r="A49" s="21" t="s">
        <v>199</v>
      </c>
      <c r="B49" s="22" t="s">
        <v>117</v>
      </c>
      <c r="C49" s="59">
        <v>2.5878033459999998</v>
      </c>
      <c r="D49" s="59">
        <v>-6.1492884999999999</v>
      </c>
      <c r="E49" s="59">
        <v>-0.24357100000000001</v>
      </c>
      <c r="F49" s="8" t="s">
        <v>163</v>
      </c>
      <c r="G49" s="57"/>
      <c r="H49" s="57"/>
      <c r="I49" s="57"/>
      <c r="J49" s="57"/>
      <c r="K49" s="57"/>
    </row>
    <row r="50" spans="1:11" x14ac:dyDescent="0.35">
      <c r="A50" s="5" t="s">
        <v>209</v>
      </c>
      <c r="B50" s="7" t="s">
        <v>105</v>
      </c>
      <c r="C50" s="60">
        <v>2.5042262000000002</v>
      </c>
      <c r="D50" s="60">
        <v>-14.810145500000001</v>
      </c>
      <c r="E50" s="60">
        <v>-2.4264975</v>
      </c>
      <c r="F50" s="46" t="s">
        <v>15</v>
      </c>
      <c r="G50" s="57"/>
      <c r="H50" s="57"/>
      <c r="I50" s="57"/>
      <c r="J50" s="57"/>
      <c r="K50" s="57"/>
    </row>
    <row r="51" spans="1:11" x14ac:dyDescent="0.35">
      <c r="A51" s="21" t="s">
        <v>200</v>
      </c>
      <c r="B51" s="22" t="s">
        <v>97</v>
      </c>
      <c r="C51" s="59">
        <v>2.4990145340000001</v>
      </c>
      <c r="D51" s="59">
        <v>-38.677512499999999</v>
      </c>
      <c r="E51" s="59">
        <v>-0.51596350000000013</v>
      </c>
      <c r="F51" s="8" t="s">
        <v>17</v>
      </c>
      <c r="G51" s="57"/>
      <c r="H51" s="57"/>
      <c r="I51" s="57"/>
      <c r="J51" s="57"/>
      <c r="K51" s="57"/>
    </row>
    <row r="52" spans="1:11" x14ac:dyDescent="0.35">
      <c r="A52" s="5" t="s">
        <v>211</v>
      </c>
      <c r="B52" s="7" t="s">
        <v>120</v>
      </c>
      <c r="C52" s="60">
        <v>2.4694786130521109</v>
      </c>
      <c r="D52" s="60">
        <v>7.4682771626500015</v>
      </c>
      <c r="E52" s="60">
        <v>-7.1847187049999831E-2</v>
      </c>
      <c r="F52" s="46" t="s">
        <v>17</v>
      </c>
      <c r="G52" s="57"/>
      <c r="H52" s="57"/>
      <c r="I52" s="57"/>
      <c r="J52" s="57"/>
      <c r="K52" s="57"/>
    </row>
    <row r="53" spans="1:11" x14ac:dyDescent="0.35">
      <c r="A53" s="21" t="s">
        <v>201</v>
      </c>
      <c r="B53" s="22" t="s">
        <v>106</v>
      </c>
      <c r="C53" s="59">
        <v>2.4357673333333332</v>
      </c>
      <c r="D53" s="59">
        <v>-3.0443537000000003</v>
      </c>
      <c r="E53" s="59">
        <v>-0.80971180000000009</v>
      </c>
      <c r="F53" s="8" t="s">
        <v>165</v>
      </c>
      <c r="G53" s="57"/>
      <c r="H53" s="57"/>
      <c r="I53" s="57"/>
      <c r="J53" s="57"/>
      <c r="K53" s="57"/>
    </row>
    <row r="54" spans="1:11" x14ac:dyDescent="0.35">
      <c r="A54" s="5" t="s">
        <v>208</v>
      </c>
      <c r="B54" s="7" t="s">
        <v>57</v>
      </c>
      <c r="C54" s="60">
        <v>2.3408298967604453</v>
      </c>
      <c r="D54" s="60">
        <v>-8.2590573864999985</v>
      </c>
      <c r="E54" s="60">
        <v>-1.4372149302999999</v>
      </c>
      <c r="F54" s="46" t="s">
        <v>11</v>
      </c>
      <c r="G54" s="57"/>
      <c r="H54" s="57"/>
      <c r="I54" s="57"/>
      <c r="J54" s="57"/>
      <c r="K54" s="57"/>
    </row>
    <row r="55" spans="1:11" x14ac:dyDescent="0.35">
      <c r="A55" s="21" t="s">
        <v>207</v>
      </c>
      <c r="B55" s="22" t="s">
        <v>123</v>
      </c>
      <c r="C55" s="59">
        <v>2.2568749088888889</v>
      </c>
      <c r="D55" s="59">
        <v>-19.606036</v>
      </c>
      <c r="E55" s="59">
        <v>1.524184</v>
      </c>
      <c r="F55" s="8" t="s">
        <v>17</v>
      </c>
      <c r="G55" s="57"/>
      <c r="H55" s="57"/>
      <c r="I55" s="57"/>
      <c r="J55" s="57"/>
      <c r="K55" s="57"/>
    </row>
    <row r="56" spans="1:11" x14ac:dyDescent="0.35">
      <c r="A56" s="5" t="s">
        <v>228</v>
      </c>
      <c r="B56" s="7" t="s">
        <v>98</v>
      </c>
      <c r="C56" s="60">
        <v>2.1493917022222222</v>
      </c>
      <c r="D56" s="60">
        <v>4.5761044999999996</v>
      </c>
      <c r="E56" s="60">
        <v>1.966879</v>
      </c>
      <c r="F56" s="46" t="s">
        <v>11</v>
      </c>
      <c r="G56" s="57"/>
      <c r="H56" s="57"/>
      <c r="I56" s="57"/>
      <c r="J56" s="57"/>
      <c r="K56" s="57"/>
    </row>
    <row r="57" spans="1:11" x14ac:dyDescent="0.35">
      <c r="A57" s="21" t="s">
        <v>212</v>
      </c>
      <c r="B57" s="22" t="s">
        <v>92</v>
      </c>
      <c r="C57" s="59">
        <v>2.0933403422222221</v>
      </c>
      <c r="D57" s="59">
        <v>-22.003420999999999</v>
      </c>
      <c r="E57" s="59">
        <v>-2.4170449999999999</v>
      </c>
      <c r="F57" s="8" t="s">
        <v>11</v>
      </c>
      <c r="G57" s="57"/>
      <c r="H57" s="57"/>
      <c r="I57" s="57"/>
      <c r="J57" s="57"/>
      <c r="K57" s="57"/>
    </row>
    <row r="58" spans="1:11" x14ac:dyDescent="0.35">
      <c r="A58" s="5" t="s">
        <v>205</v>
      </c>
      <c r="B58" s="7" t="s">
        <v>121</v>
      </c>
      <c r="C58" s="60">
        <v>1.9572111128888889</v>
      </c>
      <c r="D58" s="60">
        <v>-12.4996025</v>
      </c>
      <c r="E58" s="60">
        <v>-0.76747050000000006</v>
      </c>
      <c r="F58" s="46" t="s">
        <v>17</v>
      </c>
      <c r="G58" s="57"/>
      <c r="H58" s="57"/>
      <c r="I58" s="57"/>
      <c r="J58" s="57"/>
      <c r="K58" s="57"/>
    </row>
    <row r="59" spans="1:11" x14ac:dyDescent="0.35">
      <c r="A59" s="21" t="s">
        <v>217</v>
      </c>
      <c r="B59" s="22" t="s">
        <v>114</v>
      </c>
      <c r="C59" s="59">
        <v>1.921932032222222</v>
      </c>
      <c r="D59" s="59">
        <v>3.0545580000000001</v>
      </c>
      <c r="E59" s="59">
        <v>0.45621299999999987</v>
      </c>
      <c r="F59" s="8" t="s">
        <v>11</v>
      </c>
      <c r="G59" s="57"/>
      <c r="H59" s="57"/>
      <c r="I59" s="57"/>
      <c r="J59" s="57"/>
      <c r="K59" s="57"/>
    </row>
    <row r="60" spans="1:11" x14ac:dyDescent="0.35">
      <c r="A60" s="5" t="s">
        <v>214</v>
      </c>
      <c r="B60" s="7" t="s">
        <v>113</v>
      </c>
      <c r="C60" s="60">
        <v>1.8323311444444439</v>
      </c>
      <c r="D60" s="60">
        <v>3.8846775</v>
      </c>
      <c r="E60" s="60">
        <v>1.1305894999999999</v>
      </c>
      <c r="F60" s="46" t="s">
        <v>13</v>
      </c>
      <c r="G60" s="57"/>
      <c r="H60" s="57"/>
      <c r="I60" s="57"/>
      <c r="J60" s="57"/>
      <c r="K60" s="57"/>
    </row>
    <row r="61" spans="1:11" x14ac:dyDescent="0.35">
      <c r="A61" s="21" t="s">
        <v>206</v>
      </c>
      <c r="B61" s="22" t="s">
        <v>118</v>
      </c>
      <c r="C61" s="59">
        <v>1.6253644739698891</v>
      </c>
      <c r="D61" s="59">
        <v>-3.7374922747700001</v>
      </c>
      <c r="E61" s="59">
        <v>0.11286284147</v>
      </c>
      <c r="F61" s="8" t="s">
        <v>10</v>
      </c>
      <c r="G61" s="57"/>
      <c r="H61" s="57"/>
      <c r="I61" s="57"/>
      <c r="J61" s="57"/>
      <c r="K61" s="57"/>
    </row>
    <row r="62" spans="1:11" x14ac:dyDescent="0.35">
      <c r="A62" s="5" t="s">
        <v>204</v>
      </c>
      <c r="B62" s="7" t="s">
        <v>153</v>
      </c>
      <c r="C62" s="60">
        <v>1.5966745800000002</v>
      </c>
      <c r="D62" s="60">
        <v>-1.8310878000000002</v>
      </c>
      <c r="E62" s="60">
        <v>0.49747779999999997</v>
      </c>
      <c r="F62" s="46" t="s">
        <v>14</v>
      </c>
      <c r="G62" s="57"/>
      <c r="H62" s="57"/>
      <c r="I62" s="57"/>
      <c r="J62" s="57"/>
      <c r="K62" s="57"/>
    </row>
    <row r="63" spans="1:11" x14ac:dyDescent="0.35">
      <c r="A63" s="21" t="s">
        <v>227</v>
      </c>
      <c r="B63" s="22" t="s">
        <v>115</v>
      </c>
      <c r="C63" s="59">
        <v>1.4309665688888888</v>
      </c>
      <c r="D63" s="59">
        <v>-27.460460000000001</v>
      </c>
      <c r="E63" s="59">
        <v>-1.50461</v>
      </c>
      <c r="F63" s="8" t="s">
        <v>166</v>
      </c>
      <c r="G63" s="57"/>
      <c r="H63" s="57"/>
      <c r="I63" s="57"/>
      <c r="J63" s="57"/>
      <c r="K63" s="57"/>
    </row>
    <row r="64" spans="1:11" x14ac:dyDescent="0.35">
      <c r="A64" s="5" t="s">
        <v>225</v>
      </c>
      <c r="B64" s="7" t="s">
        <v>95</v>
      </c>
      <c r="C64" s="60">
        <v>1.3733626846312219</v>
      </c>
      <c r="D64" s="60">
        <v>-15.432233900089999</v>
      </c>
      <c r="E64" s="60">
        <v>0.25471880079000003</v>
      </c>
      <c r="F64" s="46" t="s">
        <v>17</v>
      </c>
      <c r="G64" s="57"/>
      <c r="H64" s="57"/>
      <c r="I64" s="57"/>
      <c r="J64" s="57"/>
      <c r="K64" s="57"/>
    </row>
    <row r="65" spans="1:11" x14ac:dyDescent="0.35">
      <c r="A65" s="21" t="s">
        <v>218</v>
      </c>
      <c r="B65" s="22" t="s">
        <v>131</v>
      </c>
      <c r="C65" s="59">
        <v>1.3653223777777781</v>
      </c>
      <c r="D65" s="59">
        <v>10.481980999999999</v>
      </c>
      <c r="E65" s="59">
        <v>1.5252019999999999</v>
      </c>
      <c r="F65" s="8" t="s">
        <v>163</v>
      </c>
      <c r="G65" s="57"/>
      <c r="H65" s="57"/>
      <c r="I65" s="57"/>
      <c r="J65" s="57"/>
      <c r="K65" s="57"/>
    </row>
    <row r="66" spans="1:11" x14ac:dyDescent="0.35">
      <c r="A66" s="5" t="s">
        <v>244</v>
      </c>
      <c r="B66" s="7" t="s">
        <v>116</v>
      </c>
      <c r="C66" s="60">
        <v>1.3174616000000001</v>
      </c>
      <c r="D66" s="60">
        <v>5.6337539999999997</v>
      </c>
      <c r="E66" s="60">
        <v>0.20547799999999999</v>
      </c>
      <c r="F66" s="46" t="s">
        <v>10</v>
      </c>
      <c r="G66" s="57"/>
      <c r="H66" s="57"/>
      <c r="I66" s="57"/>
      <c r="J66" s="57"/>
      <c r="K66" s="57"/>
    </row>
    <row r="67" spans="1:11" x14ac:dyDescent="0.35">
      <c r="A67" s="21" t="s">
        <v>221</v>
      </c>
      <c r="B67" s="22" t="s">
        <v>154</v>
      </c>
      <c r="C67" s="59">
        <v>1.2672845377777779</v>
      </c>
      <c r="D67" s="59">
        <v>-0.84977740000000002</v>
      </c>
      <c r="E67" s="59">
        <v>2.81456E-2</v>
      </c>
      <c r="F67" s="8" t="s">
        <v>14</v>
      </c>
      <c r="G67" s="57"/>
      <c r="H67" s="57"/>
      <c r="I67" s="57"/>
      <c r="J67" s="57"/>
      <c r="K67" s="57"/>
    </row>
    <row r="68" spans="1:11" x14ac:dyDescent="0.35">
      <c r="A68" s="5" t="s">
        <v>230</v>
      </c>
      <c r="B68" s="7" t="s">
        <v>136</v>
      </c>
      <c r="C68" s="60">
        <v>1.2453003944444441</v>
      </c>
      <c r="D68" s="60">
        <v>-2.7891935000000001</v>
      </c>
      <c r="E68" s="60">
        <v>-8.29955E-2</v>
      </c>
      <c r="F68" s="46" t="s">
        <v>14</v>
      </c>
      <c r="G68" s="57"/>
      <c r="H68" s="57"/>
      <c r="I68" s="57"/>
      <c r="J68" s="57"/>
      <c r="K68" s="57"/>
    </row>
    <row r="69" spans="1:11" x14ac:dyDescent="0.35">
      <c r="A69" s="21" t="s">
        <v>223</v>
      </c>
      <c r="B69" s="22" t="s">
        <v>129</v>
      </c>
      <c r="C69" s="59">
        <v>1.2369398844444439</v>
      </c>
      <c r="D69" s="59">
        <v>-0.860232</v>
      </c>
      <c r="E69" s="59">
        <v>2.3333740000000001</v>
      </c>
      <c r="F69" s="8" t="s">
        <v>17</v>
      </c>
      <c r="G69" s="57"/>
      <c r="H69" s="57"/>
      <c r="I69" s="57"/>
      <c r="J69" s="57"/>
      <c r="K69" s="57"/>
    </row>
    <row r="70" spans="1:11" x14ac:dyDescent="0.35">
      <c r="A70" s="5" t="s">
        <v>216</v>
      </c>
      <c r="B70" s="7" t="s">
        <v>139</v>
      </c>
      <c r="C70" s="60">
        <v>1.159933718888889</v>
      </c>
      <c r="D70" s="60">
        <v>3.63443</v>
      </c>
      <c r="E70" s="60">
        <v>0.38316199999999989</v>
      </c>
      <c r="F70" s="46" t="s">
        <v>11</v>
      </c>
      <c r="G70" s="57"/>
      <c r="H70" s="57"/>
      <c r="I70" s="57"/>
      <c r="J70" s="57"/>
      <c r="K70" s="57"/>
    </row>
    <row r="71" spans="1:11" x14ac:dyDescent="0.35">
      <c r="A71" s="21" t="s">
        <v>237</v>
      </c>
      <c r="B71" s="22" t="s">
        <v>149</v>
      </c>
      <c r="C71" s="59">
        <v>1.0313465155555561</v>
      </c>
      <c r="D71" s="59">
        <v>5.2818509999999996</v>
      </c>
      <c r="E71" s="59">
        <v>0.85588850000000005</v>
      </c>
      <c r="F71" s="8" t="s">
        <v>164</v>
      </c>
      <c r="G71" s="57"/>
      <c r="H71" s="57"/>
      <c r="I71" s="57"/>
      <c r="J71" s="57"/>
      <c r="K71" s="57"/>
    </row>
    <row r="72" spans="1:11" x14ac:dyDescent="0.35">
      <c r="A72" s="5" t="s">
        <v>233</v>
      </c>
      <c r="B72" s="7" t="s">
        <v>133</v>
      </c>
      <c r="C72" s="60">
        <v>1.0084610498662219</v>
      </c>
      <c r="D72" s="60">
        <v>-2.2107122056900002</v>
      </c>
      <c r="E72" s="60">
        <v>-5.3403059829999995E-2</v>
      </c>
      <c r="F72" s="46" t="s">
        <v>17</v>
      </c>
      <c r="G72" s="57"/>
      <c r="H72" s="57"/>
      <c r="I72" s="57"/>
      <c r="J72" s="57"/>
      <c r="K72" s="57"/>
    </row>
    <row r="73" spans="1:11" x14ac:dyDescent="0.35">
      <c r="A73" s="21" t="s">
        <v>226</v>
      </c>
      <c r="B73" s="22" t="s">
        <v>141</v>
      </c>
      <c r="C73" s="59">
        <v>0.98650614671428893</v>
      </c>
      <c r="D73" s="59">
        <v>-2.2447438546999998</v>
      </c>
      <c r="E73" s="59">
        <v>-0.72959844159999998</v>
      </c>
      <c r="F73" s="8" t="s">
        <v>17</v>
      </c>
      <c r="G73" s="57"/>
      <c r="H73" s="57"/>
      <c r="I73" s="57"/>
      <c r="J73" s="57"/>
      <c r="K73" s="57"/>
    </row>
    <row r="74" spans="1:11" x14ac:dyDescent="0.35">
      <c r="A74" s="5" t="s">
        <v>213</v>
      </c>
      <c r="B74" s="7" t="s">
        <v>147</v>
      </c>
      <c r="C74" s="60">
        <v>0.9854846244444444</v>
      </c>
      <c r="D74" s="60">
        <v>0.58004630000000001</v>
      </c>
      <c r="E74" s="60">
        <v>0.40003179999999999</v>
      </c>
      <c r="F74" s="46" t="s">
        <v>166</v>
      </c>
      <c r="G74" s="57"/>
      <c r="H74" s="57"/>
      <c r="I74" s="57"/>
      <c r="J74" s="57"/>
      <c r="K74" s="57"/>
    </row>
    <row r="75" spans="1:11" x14ac:dyDescent="0.35">
      <c r="A75" s="21" t="s">
        <v>222</v>
      </c>
      <c r="B75" s="22" t="s">
        <v>94</v>
      </c>
      <c r="C75" s="59">
        <v>0.94625683271166672</v>
      </c>
      <c r="D75" s="59">
        <v>-4.4029245833299999</v>
      </c>
      <c r="E75" s="59">
        <v>0.34820866377999987</v>
      </c>
      <c r="F75" s="8" t="s">
        <v>14</v>
      </c>
      <c r="G75" s="57"/>
      <c r="H75" s="57"/>
      <c r="I75" s="57"/>
      <c r="J75" s="57"/>
      <c r="K75" s="57"/>
    </row>
    <row r="76" spans="1:11" x14ac:dyDescent="0.35">
      <c r="A76" s="5" t="s">
        <v>220</v>
      </c>
      <c r="B76" s="7" t="s">
        <v>135</v>
      </c>
      <c r="C76" s="60">
        <v>0.93620093444444441</v>
      </c>
      <c r="D76" s="60">
        <v>-4.2528604999999997</v>
      </c>
      <c r="E76" s="60">
        <v>-0.44369950000000002</v>
      </c>
      <c r="F76" s="46" t="s">
        <v>16</v>
      </c>
      <c r="G76" s="57"/>
      <c r="H76" s="57"/>
      <c r="I76" s="57"/>
      <c r="J76" s="57"/>
      <c r="K76" s="57"/>
    </row>
    <row r="77" spans="1:11" x14ac:dyDescent="0.35">
      <c r="A77" s="21" t="s">
        <v>243</v>
      </c>
      <c r="B77" s="22" t="s">
        <v>156</v>
      </c>
      <c r="C77" s="59">
        <v>0.90461503666666665</v>
      </c>
      <c r="D77" s="59">
        <v>0.37320590000000003</v>
      </c>
      <c r="E77" s="59">
        <v>-0.66647089999999998</v>
      </c>
      <c r="F77" s="8" t="s">
        <v>14</v>
      </c>
      <c r="G77" s="57"/>
      <c r="H77" s="57"/>
      <c r="I77" s="57"/>
      <c r="J77" s="57"/>
      <c r="K77" s="57"/>
    </row>
    <row r="78" spans="1:11" x14ac:dyDescent="0.35">
      <c r="A78" s="5" t="s">
        <v>242</v>
      </c>
      <c r="B78" s="7" t="s">
        <v>151</v>
      </c>
      <c r="C78" s="60">
        <v>0.85160090916666664</v>
      </c>
      <c r="D78" s="60">
        <v>-8.7644145000000009</v>
      </c>
      <c r="E78" s="60">
        <v>0.69703199999999998</v>
      </c>
      <c r="F78" s="46" t="s">
        <v>164</v>
      </c>
      <c r="G78" s="57"/>
      <c r="H78" s="57"/>
      <c r="I78" s="57"/>
      <c r="J78" s="57"/>
      <c r="K78" s="57"/>
    </row>
    <row r="79" spans="1:11" x14ac:dyDescent="0.35">
      <c r="A79" s="21" t="s">
        <v>224</v>
      </c>
      <c r="B79" s="22" t="s">
        <v>137</v>
      </c>
      <c r="C79" s="59">
        <v>0.84884711666666668</v>
      </c>
      <c r="D79" s="59">
        <v>-6.2194894999999999</v>
      </c>
      <c r="E79" s="59">
        <v>-0.39529999999999998</v>
      </c>
      <c r="F79" s="8" t="s">
        <v>17</v>
      </c>
      <c r="G79" s="57"/>
      <c r="H79" s="57"/>
      <c r="I79" s="57"/>
      <c r="J79" s="57"/>
      <c r="K79" s="57"/>
    </row>
    <row r="80" spans="1:11" x14ac:dyDescent="0.35">
      <c r="A80" s="5" t="s">
        <v>241</v>
      </c>
      <c r="B80" s="7" t="s">
        <v>161</v>
      </c>
      <c r="C80" s="60">
        <v>0.8210570588888888</v>
      </c>
      <c r="D80" s="60">
        <v>5.2660834000000003</v>
      </c>
      <c r="E80" s="60">
        <v>0.27282760000000011</v>
      </c>
      <c r="F80" s="46" t="s">
        <v>14</v>
      </c>
      <c r="G80" s="57"/>
      <c r="H80" s="57"/>
      <c r="I80" s="57"/>
      <c r="J80" s="57"/>
      <c r="K80" s="57"/>
    </row>
    <row r="81" spans="1:11" x14ac:dyDescent="0.35">
      <c r="A81" s="21" t="s">
        <v>236</v>
      </c>
      <c r="B81" s="22" t="s">
        <v>88</v>
      </c>
      <c r="C81" s="59">
        <v>0.72227919444444455</v>
      </c>
      <c r="D81" s="59">
        <v>-2.6135994999999999</v>
      </c>
      <c r="E81" s="59">
        <v>-0.73634299999999997</v>
      </c>
      <c r="F81" s="8" t="s">
        <v>11</v>
      </c>
      <c r="G81" s="57"/>
      <c r="H81" s="57"/>
      <c r="I81" s="57"/>
      <c r="J81" s="57"/>
      <c r="K81" s="57"/>
    </row>
    <row r="82" spans="1:11" x14ac:dyDescent="0.35">
      <c r="A82" s="5" t="s">
        <v>234</v>
      </c>
      <c r="B82" s="7" t="s">
        <v>138</v>
      </c>
      <c r="C82" s="60">
        <v>0.70033355111111117</v>
      </c>
      <c r="D82" s="60">
        <v>-4.5863234999999998</v>
      </c>
      <c r="E82" s="60">
        <v>-7.8529500000000002E-2</v>
      </c>
      <c r="F82" s="46" t="s">
        <v>17</v>
      </c>
      <c r="G82" s="57"/>
      <c r="H82" s="57"/>
      <c r="I82" s="57"/>
      <c r="J82" s="57"/>
      <c r="K82" s="57"/>
    </row>
    <row r="83" spans="1:11" x14ac:dyDescent="0.35">
      <c r="A83" s="21" t="s">
        <v>235</v>
      </c>
      <c r="B83" s="22" t="s">
        <v>128</v>
      </c>
      <c r="C83" s="59">
        <v>0.67455832111111114</v>
      </c>
      <c r="D83" s="59">
        <v>0.68092900000000001</v>
      </c>
      <c r="E83" s="59">
        <v>4.1265499999999997E-2</v>
      </c>
      <c r="F83" s="8" t="s">
        <v>17</v>
      </c>
      <c r="G83" s="57"/>
      <c r="H83" s="57"/>
      <c r="I83" s="57"/>
      <c r="J83" s="57"/>
      <c r="K83" s="57"/>
    </row>
    <row r="84" spans="1:11" x14ac:dyDescent="0.35">
      <c r="A84" s="5" t="s">
        <v>248</v>
      </c>
      <c r="B84" s="7" t="s">
        <v>140</v>
      </c>
      <c r="C84" s="60">
        <v>0.65741833555555551</v>
      </c>
      <c r="D84" s="60">
        <v>-5.1721430000000002</v>
      </c>
      <c r="E84" s="60">
        <v>-2.9347499999999999E-2</v>
      </c>
      <c r="F84" s="46" t="s">
        <v>11</v>
      </c>
      <c r="G84" s="57"/>
      <c r="H84" s="57"/>
      <c r="I84" s="57"/>
      <c r="J84" s="57"/>
      <c r="K84" s="57"/>
    </row>
    <row r="85" spans="1:11" x14ac:dyDescent="0.35">
      <c r="A85" s="21" t="s">
        <v>239</v>
      </c>
      <c r="B85" s="22" t="s">
        <v>124</v>
      </c>
      <c r="C85" s="59">
        <v>0.65492778111111105</v>
      </c>
      <c r="D85" s="59">
        <v>-0.88913850000000005</v>
      </c>
      <c r="E85" s="59">
        <v>-0.13448750000000001</v>
      </c>
      <c r="F85" s="8" t="s">
        <v>165</v>
      </c>
      <c r="G85" s="57"/>
      <c r="H85" s="57"/>
      <c r="I85" s="57"/>
      <c r="J85" s="57"/>
      <c r="K85" s="57"/>
    </row>
    <row r="86" spans="1:11" x14ac:dyDescent="0.35">
      <c r="A86" s="5" t="s">
        <v>264</v>
      </c>
      <c r="B86" s="7" t="s">
        <v>265</v>
      </c>
      <c r="C86" s="60">
        <v>0.63276571111111113</v>
      </c>
      <c r="D86" s="60">
        <v>3.1296219999999999</v>
      </c>
      <c r="E86" s="60">
        <v>9.3541430000000005</v>
      </c>
      <c r="F86" s="46" t="s">
        <v>13</v>
      </c>
      <c r="G86" s="57"/>
      <c r="H86" s="57"/>
      <c r="I86" s="57"/>
      <c r="J86" s="57"/>
      <c r="K86" s="57"/>
    </row>
    <row r="87" spans="1:11" x14ac:dyDescent="0.35">
      <c r="A87" s="21" t="s">
        <v>245</v>
      </c>
      <c r="B87" s="22" t="s">
        <v>159</v>
      </c>
      <c r="C87" s="59">
        <v>0.62785865555555564</v>
      </c>
      <c r="D87" s="59">
        <v>-7.0365659999999997</v>
      </c>
      <c r="E87" s="59">
        <v>-0.72112100000000001</v>
      </c>
      <c r="F87" s="8" t="s">
        <v>166</v>
      </c>
      <c r="G87" s="57"/>
      <c r="H87" s="57"/>
      <c r="I87" s="57"/>
      <c r="J87" s="57"/>
      <c r="K87" s="57"/>
    </row>
    <row r="88" spans="1:11" x14ac:dyDescent="0.35">
      <c r="A88" s="5" t="s">
        <v>232</v>
      </c>
      <c r="B88" s="7" t="s">
        <v>148</v>
      </c>
      <c r="C88" s="60">
        <v>0.58946466000000008</v>
      </c>
      <c r="D88" s="60">
        <v>-0.47243049999999998</v>
      </c>
      <c r="E88" s="60">
        <v>0.353383</v>
      </c>
      <c r="F88" s="46" t="s">
        <v>17</v>
      </c>
      <c r="G88" s="57"/>
      <c r="H88" s="57"/>
      <c r="I88" s="57"/>
      <c r="J88" s="57"/>
      <c r="K88" s="57"/>
    </row>
    <row r="89" spans="1:11" x14ac:dyDescent="0.35">
      <c r="A89" s="21" t="s">
        <v>240</v>
      </c>
      <c r="B89" s="22" t="s">
        <v>157</v>
      </c>
      <c r="C89" s="59">
        <v>0.57792082</v>
      </c>
      <c r="D89" s="59">
        <v>-1.7890345000000001</v>
      </c>
      <c r="E89" s="59">
        <v>-2.1347000000000001E-2</v>
      </c>
      <c r="F89" s="8" t="s">
        <v>14</v>
      </c>
      <c r="G89" s="57"/>
      <c r="H89" s="57"/>
      <c r="I89" s="57"/>
      <c r="J89" s="57"/>
      <c r="K89" s="57"/>
    </row>
    <row r="90" spans="1:11" x14ac:dyDescent="0.35">
      <c r="A90" s="5" t="s">
        <v>231</v>
      </c>
      <c r="B90" s="7" t="s">
        <v>126</v>
      </c>
      <c r="C90" s="60">
        <v>0.54537163018599999</v>
      </c>
      <c r="D90" s="60">
        <v>0.51534787893000022</v>
      </c>
      <c r="E90" s="60">
        <v>-4.0722362050000002E-2</v>
      </c>
      <c r="F90" s="46" t="s">
        <v>17</v>
      </c>
      <c r="G90" s="57"/>
      <c r="H90" s="57"/>
      <c r="I90" s="57"/>
      <c r="J90" s="57"/>
      <c r="K90" s="57"/>
    </row>
    <row r="91" spans="1:11" x14ac:dyDescent="0.35">
      <c r="A91" s="21" t="s">
        <v>229</v>
      </c>
      <c r="B91" s="22" t="s">
        <v>127</v>
      </c>
      <c r="C91" s="59">
        <v>0.52310151111111114</v>
      </c>
      <c r="D91" s="59">
        <v>0.468472</v>
      </c>
      <c r="E91" s="59">
        <v>0.1064915</v>
      </c>
      <c r="F91" s="8" t="s">
        <v>166</v>
      </c>
      <c r="G91" s="57"/>
      <c r="H91" s="57"/>
      <c r="I91" s="57"/>
      <c r="J91" s="57"/>
      <c r="K91" s="57"/>
    </row>
    <row r="92" spans="1:11" x14ac:dyDescent="0.35">
      <c r="A92" s="5" t="s">
        <v>255</v>
      </c>
      <c r="B92" s="7" t="s">
        <v>256</v>
      </c>
      <c r="C92" s="60">
        <v>0.51681313966666664</v>
      </c>
      <c r="D92" s="60">
        <v>-13.946688</v>
      </c>
      <c r="E92" s="60">
        <v>-3.6962220000000001</v>
      </c>
      <c r="F92" s="46" t="s">
        <v>15</v>
      </c>
      <c r="G92" s="57"/>
      <c r="H92" s="57"/>
      <c r="I92" s="57"/>
      <c r="J92" s="57"/>
      <c r="K92" s="57"/>
    </row>
    <row r="93" spans="1:11" x14ac:dyDescent="0.35">
      <c r="A93" s="21" t="s">
        <v>246</v>
      </c>
      <c r="B93" s="22" t="s">
        <v>162</v>
      </c>
      <c r="C93" s="59">
        <v>0.48881284999999997</v>
      </c>
      <c r="D93" s="59">
        <v>-5.6238989999999998</v>
      </c>
      <c r="E93" s="59">
        <v>4.5959E-2</v>
      </c>
      <c r="F93" s="8" t="s">
        <v>10</v>
      </c>
      <c r="G93" s="57"/>
      <c r="H93" s="57"/>
      <c r="I93" s="57"/>
      <c r="J93" s="57"/>
      <c r="K93" s="57"/>
    </row>
    <row r="94" spans="1:11" x14ac:dyDescent="0.35">
      <c r="A94" s="5" t="s">
        <v>250</v>
      </c>
      <c r="B94" s="7" t="s">
        <v>160</v>
      </c>
      <c r="C94" s="60">
        <v>0.45273017444444447</v>
      </c>
      <c r="D94" s="60">
        <v>-0.3597229999999999</v>
      </c>
      <c r="E94" s="60">
        <v>0.16054499999999999</v>
      </c>
      <c r="F94" s="46" t="s">
        <v>14</v>
      </c>
      <c r="G94" s="57"/>
      <c r="H94" s="57"/>
      <c r="I94" s="57"/>
      <c r="J94" s="57"/>
      <c r="K94" s="57"/>
    </row>
    <row r="95" spans="1:11" x14ac:dyDescent="0.35">
      <c r="A95" s="21" t="s">
        <v>260</v>
      </c>
      <c r="B95" s="22" t="s">
        <v>261</v>
      </c>
      <c r="C95" s="59">
        <v>0.43460546444444442</v>
      </c>
      <c r="D95" s="59">
        <v>3.1826691</v>
      </c>
      <c r="E95" s="59">
        <v>3.2062500000000001E-2</v>
      </c>
      <c r="F95" s="8" t="s">
        <v>165</v>
      </c>
      <c r="G95" s="57"/>
      <c r="H95" s="57"/>
      <c r="I95" s="57"/>
      <c r="J95" s="57"/>
      <c r="K95" s="57"/>
    </row>
    <row r="96" spans="1:11" x14ac:dyDescent="0.35">
      <c r="A96" s="5" t="s">
        <v>249</v>
      </c>
      <c r="B96" s="7" t="s">
        <v>155</v>
      </c>
      <c r="C96" s="60">
        <v>0.43426615415555547</v>
      </c>
      <c r="D96" s="60">
        <v>-4.9794145999999992</v>
      </c>
      <c r="E96" s="60">
        <v>0.39966059999999998</v>
      </c>
      <c r="F96" s="46" t="s">
        <v>16</v>
      </c>
      <c r="G96" s="57"/>
      <c r="H96" s="57"/>
      <c r="I96" s="57"/>
      <c r="J96" s="57"/>
      <c r="K96" s="57"/>
    </row>
    <row r="97" spans="1:11" x14ac:dyDescent="0.35">
      <c r="A97" s="21" t="s">
        <v>238</v>
      </c>
      <c r="B97" s="22" t="s">
        <v>158</v>
      </c>
      <c r="C97" s="59">
        <v>0.40693094692555559</v>
      </c>
      <c r="D97" s="59">
        <v>4.6952703920000012</v>
      </c>
      <c r="E97" s="59">
        <v>0.2262273587000001</v>
      </c>
      <c r="F97" s="8" t="s">
        <v>166</v>
      </c>
      <c r="G97" s="57"/>
      <c r="H97" s="57"/>
      <c r="I97" s="57"/>
      <c r="J97" s="57"/>
      <c r="K97" s="57"/>
    </row>
    <row r="98" spans="1:11" x14ac:dyDescent="0.35">
      <c r="A98" s="5" t="s">
        <v>262</v>
      </c>
      <c r="B98" s="7" t="s">
        <v>263</v>
      </c>
      <c r="C98" s="60">
        <v>0.3950521755555555</v>
      </c>
      <c r="D98" s="60">
        <v>4.8267189999999998</v>
      </c>
      <c r="E98" s="60">
        <v>0.29510900000000001</v>
      </c>
      <c r="F98" s="46" t="s">
        <v>11</v>
      </c>
      <c r="G98" s="57"/>
      <c r="H98" s="57"/>
      <c r="I98" s="57"/>
      <c r="J98" s="57"/>
      <c r="K98" s="57"/>
    </row>
    <row r="99" spans="1:11" x14ac:dyDescent="0.35">
      <c r="A99" s="21" t="s">
        <v>253</v>
      </c>
      <c r="B99" s="22" t="s">
        <v>254</v>
      </c>
      <c r="C99" s="59">
        <v>0.39306711111111114</v>
      </c>
      <c r="D99" s="59">
        <v>0.54853600000000002</v>
      </c>
      <c r="E99" s="59">
        <v>-0.12207800000000001</v>
      </c>
      <c r="F99" s="8" t="s">
        <v>16</v>
      </c>
      <c r="G99" s="57"/>
      <c r="H99" s="57"/>
      <c r="I99" s="57"/>
      <c r="J99" s="57"/>
      <c r="K99" s="57"/>
    </row>
    <row r="100" spans="1:11" x14ac:dyDescent="0.35">
      <c r="A100" s="5" t="s">
        <v>247</v>
      </c>
      <c r="B100" s="7" t="s">
        <v>134</v>
      </c>
      <c r="C100" s="60">
        <v>0.36787975555555558</v>
      </c>
      <c r="D100" s="60">
        <v>-1.659022</v>
      </c>
      <c r="E100" s="60">
        <v>-4.7137500000000006E-2</v>
      </c>
      <c r="F100" s="6" t="s">
        <v>17</v>
      </c>
      <c r="G100" s="57"/>
      <c r="H100" s="57"/>
      <c r="I100" s="57"/>
      <c r="J100" s="57"/>
      <c r="K100" s="57"/>
    </row>
    <row r="101" spans="1:11" x14ac:dyDescent="0.35">
      <c r="A101" s="88" t="s">
        <v>278</v>
      </c>
      <c r="B101" s="89" t="s">
        <v>279</v>
      </c>
      <c r="C101" s="90">
        <v>0.35669968888888892</v>
      </c>
      <c r="D101" s="90">
        <v>-1.4814095</v>
      </c>
      <c r="E101" s="90">
        <v>-3.5000000000000024E-2</v>
      </c>
      <c r="F101" s="91" t="s">
        <v>17</v>
      </c>
      <c r="G101" s="57"/>
      <c r="H101" s="57"/>
      <c r="I101" s="57"/>
      <c r="J101" s="57"/>
      <c r="K101" s="57"/>
    </row>
    <row r="102" spans="1:11" x14ac:dyDescent="0.35">
      <c r="A102" s="49"/>
      <c r="B102" s="10"/>
      <c r="C102" s="10"/>
      <c r="D102" s="10"/>
      <c r="E102" s="10"/>
      <c r="F102" s="50"/>
      <c r="H102" s="42"/>
      <c r="J102" s="43"/>
    </row>
    <row r="104" spans="1:11" x14ac:dyDescent="0.35">
      <c r="A104" s="11" t="s">
        <v>67</v>
      </c>
    </row>
    <row r="105" spans="1:11" x14ac:dyDescent="0.35">
      <c r="A105" s="11" t="s">
        <v>82</v>
      </c>
    </row>
    <row r="106" spans="1:11" x14ac:dyDescent="0.35">
      <c r="A106" s="11" t="s">
        <v>144</v>
      </c>
    </row>
    <row r="107" spans="1:11" x14ac:dyDescent="0.35">
      <c r="A107" s="11" t="s">
        <v>143</v>
      </c>
    </row>
    <row r="108" spans="1:11" x14ac:dyDescent="0.35">
      <c r="A108" s="11" t="s">
        <v>150</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2021-05-10T01:23:04Z</cp:lastPrinted>
  <dcterms:created xsi:type="dcterms:W3CDTF">2020-01-13T01:31:10Z</dcterms:created>
  <dcterms:modified xsi:type="dcterms:W3CDTF">2024-05-13T03:45:08Z</dcterms:modified>
</cp:coreProperties>
</file>