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codeName="ThisWorkbook"/>
  <mc:AlternateContent xmlns:mc="http://schemas.openxmlformats.org/markup-compatibility/2006">
    <mc:Choice Requires="x15">
      <x15ac:absPath xmlns:x15ac="http://schemas.microsoft.com/office/spreadsheetml/2010/11/ac" url="Y:\Research\Production\Insti fund flow tracker files\Draft reports\Final reports\Weekly excel files\"/>
    </mc:Choice>
  </mc:AlternateContent>
  <xr:revisionPtr revIDLastSave="0" documentId="13_ncr:1_{397654CC-ED23-4034-80E8-4FDDFE14D886}" xr6:coauthVersionLast="47" xr6:coauthVersionMax="47" xr10:uidLastSave="{00000000-0000-0000-0000-000000000000}"/>
  <bookViews>
    <workbookView xWindow="-1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2" i="4" l="1"/>
  <c r="C32" i="4"/>
  <c r="A6" i="2" l="1"/>
  <c r="A5" i="2"/>
  <c r="A4" i="2"/>
  <c r="A3" i="2"/>
  <c r="A3" i="3"/>
  <c r="A4" i="3"/>
  <c r="A5" i="3"/>
  <c r="A6" i="3" l="1"/>
  <c r="A1" i="5"/>
  <c r="A1" i="4" l="1"/>
  <c r="C18" i="1" l="1"/>
  <c r="F18" i="1" s="1"/>
  <c r="F5" i="1"/>
</calcChain>
</file>

<file path=xl/sharedStrings.xml><?xml version="1.0" encoding="utf-8"?>
<sst xmlns="http://schemas.openxmlformats.org/spreadsheetml/2006/main" count="517" uniqueCount="278">
  <si>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</si>
  <si>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</si>
  <si>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</si>
  <si>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</si>
  <si>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</si>
  <si>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</si>
  <si>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</si>
  <si>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</si>
  <si>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</si>
  <si>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</si>
  <si>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</si>
  <si>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</si>
  <si>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</si>
  <si>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</si>
  <si>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</si>
  <si>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</si>
  <si>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</si>
  <si>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</si>
  <si>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</si>
  <si>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</si>
  <si>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</si>
  <si>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</si>
  <si>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</si>
  <si>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</si>
  <si>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</si>
  <si>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</si>
  <si>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</si>
  <si>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</si>
  <si>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</si>
  <si>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</si>
  <si>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</si>
  <si>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</si>
  <si>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</si>
  <si>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</si>
  <si>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</si>
  <si>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</si>
  <si>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</si>
  <si>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</si>
  <si>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</si>
  <si>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</si>
  <si>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</si>
  <si>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</si>
  <si>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</si>
  <si>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</si>
  <si>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</si>
  <si>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</si>
  <si>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</si>
  <si>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</si>
  <si>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</si>
  <si>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</si>
  <si>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</si>
  <si>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</si>
  <si>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</si>
  <si>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</si>
  <si>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</si>
  <si>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</si>
  <si>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</si>
  <si>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</si>
  <si>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</si>
  <si>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</si>
  <si>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</si>
  <si>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</si>
  <si>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</si>
  <si>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</si>
  <si>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</si>
  <si>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</si>
  <si>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</si>
  <si>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</si>
  <si>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</si>
  <si>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</si>
  <si>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</si>
  <si>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</si>
  <si>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</si>
  <si>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</si>
  <si>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</si>
  <si>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</si>
  <si>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</si>
  <si>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</si>
  <si>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</si>
  <si>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</si>
  <si>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</si>
  <si>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</si>
  <si>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</si>
  <si>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</si>
  <si>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</si>
  <si>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</si>
  <si>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</si>
  <si>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</si>
  <si>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</si>
  <si>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</si>
  <si>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</si>
  <si>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</si>
  <si>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</si>
  <si>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</si>
  <si>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</si>
  <si>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</si>
  <si>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</si>
  <si>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</si>
  <si>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</si>
  <si>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</si>
  <si>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</si>
  <si>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</si>
  <si>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</si>
  <si>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</si>
  <si>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</si>
  <si>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</si>
  <si>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</si>
  <si>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</si>
  <si>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</si>
  <si>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</si>
  <si>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</si>
  <si>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</si>
  <si>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</si>
  <si>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</si>
  <si>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</si>
  <si>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</si>
  <si>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</si>
  <si>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</si>
  <si>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</si>
  <si>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</si>
  <si>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</si>
  <si>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</si>
  <si>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</si>
  <si>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</si>
  <si>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</si>
  <si>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</si>
  <si>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</si>
  <si>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</si>
  <si>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</si>
  <si>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</si>
  <si>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</si>
  <si>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</si>
  <si>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</si>
  <si>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</si>
  <si>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</si>
  <si>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</si>
  <si>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</si>
  <si>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</si>
  <si>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</si>
  <si>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</si>
  <si>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</si>
  <si>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</si>
  <si>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</si>
  <si>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</si>
  <si>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</si>
  <si>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</si>
  <si>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</si>
  <si>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</si>
  <si>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</si>
  <si>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</si>
  <si>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</si>
  <si>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</si>
  <si>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</si>
  <si>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</si>
  <si>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</si>
  <si>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</si>
  <si>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</si>
  <si>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</si>
  <si>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</si>
  <si>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</si>
  <si>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</si>
  <si>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</si>
  <si>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</si>
  <si>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</si>
  <si>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</si>
  <si>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</si>
  <si>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</si>
  <si>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</si>
  <si>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</si>
  <si>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</si>
  <si>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</si>
  <si>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</si>
  <si>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</si>
  <si>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</si>
  <si>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</si>
  <si>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</si>
  <si>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</si>
  <si>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</si>
  <si>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</si>
  <si>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</si>
  <si>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</si>
  <si>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</si>
  <si>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</si>
  <si>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</si>
  <si>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</si>
  <si>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</si>
  <si>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</si>
  <si>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</si>
  <si>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</si>
  <si>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</si>
  <si>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</si>
  <si>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</si>
  <si>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</si>
  <si>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</si>
  <si>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</si>
  <si>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</si>
  <si>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</si>
  <si>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</si>
  <si>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</si>
  <si>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</si>
  <si>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</si>
  <si>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</si>
  <si>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</si>
  <si>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</si>
  <si>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</si>
  <si>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</si>
  <si>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</si>
  <si>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</si>
  <si>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</si>
  <si>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</si>
  <si>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</si>
  <si>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</si>
  <si>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</si>
  <si>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</si>
  <si>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</si>
  <si>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</si>
  <si>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</si>
  <si>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</si>
  <si>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</si>
  <si>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</si>
  <si>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</si>
  <si>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</si>
  <si>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</si>
  <si>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</si>
  <si>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</si>
  <si>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</si>
  <si>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</si>
  <si>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</si>
  <si>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</si>
  <si>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</si>
  <si>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</si>
  <si>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</si>
  <si>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</si>
  <si>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</si>
  <si>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</si>
  <si>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</si>
  <si>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</si>
  <si>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</si>
  <si>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</si>
  <si>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</si>
  <si>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</si>
  <si>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</si>
  <si>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Haw Par</t>
  </si>
  <si>
    <t>TheHourGlass</t>
  </si>
  <si>
    <t>Sasseur Reit</t>
  </si>
  <si>
    <t>Delfi</t>
  </si>
  <si>
    <t>Yoma Strategic</t>
  </si>
  <si>
    <t>SIA Engineering</t>
  </si>
  <si>
    <t>Source: SGX.</t>
  </si>
  <si>
    <t>Mapletree Pan Asia Commercial Trust</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</si>
  <si>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</si>
  <si>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</si>
  <si>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</si>
  <si>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</si>
  <si>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</si>
  <si>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</si>
  <si>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Bumitama Agri</t>
  </si>
  <si>
    <t>P8Z</t>
  </si>
  <si>
    <t>Great Eastern</t>
  </si>
  <si>
    <t>G07</t>
  </si>
  <si>
    <t>5E2</t>
  </si>
  <si>
    <t>Jardine Matheson Holdings</t>
  </si>
  <si>
    <t>Japfa</t>
  </si>
  <si>
    <t>UD2</t>
  </si>
  <si>
    <t>AEM Holdings</t>
  </si>
  <si>
    <t>Seatrium Ltd (from 7 May 2024)</t>
  </si>
  <si>
    <t>Week of 3 June 2024</t>
  </si>
  <si>
    <r>
      <t xml:space="preserve">Retail investors net </t>
    </r>
    <r>
      <rPr>
        <b/>
        <sz val="11"/>
        <rFont val="Arial"/>
        <family val="2"/>
      </rPr>
      <t>buy</t>
    </r>
    <r>
      <rPr>
        <sz val="11"/>
        <rFont val="Arial"/>
        <family val="2"/>
      </rPr>
      <t xml:space="preserve"> (+S$47.3m) vs. (-S$71.9m) a week ago</t>
    </r>
  </si>
  <si>
    <r>
      <t xml:space="preserve">Institutional investors net </t>
    </r>
    <r>
      <rPr>
        <b/>
        <sz val="11"/>
        <rFont val="Arial"/>
        <family val="2"/>
      </rPr>
      <t>buy</t>
    </r>
    <r>
      <rPr>
        <sz val="11"/>
        <rFont val="Arial"/>
        <family val="2"/>
      </rPr>
      <t xml:space="preserve"> (+S$93.8m) vs. (-S$59.3m) a week ago</t>
    </r>
  </si>
  <si>
    <t>Great Eastern Holdings</t>
  </si>
  <si>
    <t>Yangzijiang Shipbuilding Holdings</t>
  </si>
  <si>
    <t>https://www2.SGX.com/research-education/data-reports</t>
  </si>
  <si>
    <t>To sign up for daily market updates or for more information, please contact research@SGX.com.</t>
  </si>
  <si>
    <t>SGX.com/research</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</si>
  <si>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</si>
  <si>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Valuetronics</t>
  </si>
  <si>
    <t>558</t>
  </si>
  <si>
    <t>BN2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</si>
</sst>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_-* #,##0.0_-;\-* #,##0.0_-;_-* &quot;-&quot;??_-;_-@_-"/>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66" fontId="7" fillId="6" borderId="11" xfId="0" applyNumberFormat="1" applyFont="1" applyFill="1" applyBorder="1" applyAlignment="1">
      <alignment horizontal="center"/>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8" fontId="0" fillId="0" borderId="0" xfId="0" applyNumberFormat="1"/>
    <xf numFmtId="168" fontId="3" fillId="0" borderId="0" xfId="1" applyNumberFormat="1" applyFont="1" applyFill="1"/>
    <xf numFmtId="164" fontId="3" fillId="0" borderId="0" xfId="0" applyNumberFormat="1" applyFont="1" applyAlignment="1">
      <alignment horizontal="center" vertical="center"/>
    </xf>
    <xf numFmtId="15" fontId="3" fillId="0" borderId="0" xfId="0" applyNumberFormat="1" applyFont="1" applyAlignment="1">
      <alignment horizontal="left" vertical="center"/>
    </xf>
    <xf numFmtId="43" fontId="0" fillId="0" borderId="0" xfId="0" applyNumberFormat="1"/>
    <xf numFmtId="168" fontId="3" fillId="4" borderId="9" xfId="1" applyNumberFormat="1" applyFont="1" applyFill="1" applyBorder="1" applyAlignment="1">
      <alignment horizontal="right"/>
    </xf>
    <xf numFmtId="168" fontId="3" fillId="0" borderId="4" xfId="1" applyNumberFormat="1" applyFont="1" applyBorder="1" applyAlignment="1">
      <alignment horizontal="right"/>
    </xf>
    <xf numFmtId="168" fontId="3" fillId="4" borderId="4" xfId="1" applyNumberFormat="1" applyFont="1" applyFill="1" applyBorder="1" applyAlignment="1">
      <alignment horizontal="right"/>
    </xf>
    <xf numFmtId="164" fontId="3" fillId="4" borderId="0" xfId="0" applyNumberFormat="1" applyFont="1" applyFill="1" applyAlignment="1">
      <alignment horizontal="center" vertical="center"/>
    </xf>
    <xf numFmtId="165" fontId="3" fillId="7" borderId="0" xfId="0" applyNumberFormat="1" applyFont="1" applyFill="1" applyAlignment="1">
      <alignment horizontal="left"/>
    </xf>
    <xf numFmtId="0" fontId="14" fillId="4" borderId="4" xfId="0" applyFont="1" applyFill="1" applyBorder="1" applyAlignment="1">
      <alignment vertical="center"/>
    </xf>
    <xf numFmtId="164" fontId="4" fillId="0" borderId="16" xfId="0" applyNumberFormat="1" applyFont="1" applyBorder="1" applyAlignment="1">
      <alignment horizontal="right" vertical="center" wrapText="1"/>
    </xf>
    <xf numFmtId="164"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6"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0" fontId="0" fillId="0" borderId="0" xfId="0" applyNumberFormat="1"/>
    <xf numFmtId="166" fontId="7" fillId="0" borderId="0" xfId="0" applyNumberFormat="1" applyFont="1" applyAlignment="1">
      <alignment horizontal="center"/>
    </xf>
    <xf numFmtId="0" fontId="15"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71" fontId="0" fillId="0" borderId="0" xfId="0" applyNumberFormat="1"/>
    <xf numFmtId="164" fontId="3" fillId="0" borderId="5" xfId="0" applyNumberFormat="1" applyFont="1" applyBorder="1" applyAlignment="1">
      <alignment horizontal="left"/>
    </xf>
    <xf numFmtId="0" fontId="3" fillId="0" borderId="5" xfId="0" applyFont="1" applyBorder="1" applyAlignment="1">
      <alignment horizontal="left"/>
    </xf>
    <xf numFmtId="168" fontId="3" fillId="0" borderId="5" xfId="1" applyNumberFormat="1" applyFont="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13.7109375" style="2" bestFit="1" customWidth="1"/>
    <col min="9" max="9" width="17" style="40"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266</v>
      </c>
    </row>
    <row r="2" spans="1:13" ht="15" x14ac:dyDescent="0.25">
      <c r="A2" s="75" t="s">
        <v>268</v>
      </c>
      <c r="I2" s="53"/>
    </row>
    <row r="3" spans="1:13" ht="15" x14ac:dyDescent="0.25">
      <c r="A3" s="75" t="s">
        <v>267</v>
      </c>
      <c r="I3" s="53"/>
    </row>
    <row r="5" spans="1:13" ht="29.25" customHeight="1" x14ac:dyDescent="0.2">
      <c r="A5" s="3" t="s">
        <v>0</v>
      </c>
      <c r="B5" s="3" t="s">
        <v>1</v>
      </c>
      <c r="C5" s="4" t="s">
        <v>266</v>
      </c>
      <c r="D5" s="65" t="s">
        <v>2</v>
      </c>
      <c r="E5" s="65" t="s">
        <v>1</v>
      </c>
      <c r="F5" s="66" t="str">
        <f>+C5</f>
        <v>Week of 3 June 2024</v>
      </c>
    </row>
    <row r="6" spans="1:13" ht="15" x14ac:dyDescent="0.25">
      <c r="A6" s="34" t="s">
        <v>34</v>
      </c>
      <c r="B6" s="68" t="s">
        <v>30</v>
      </c>
      <c r="C6" s="6">
        <v>39.641494000000002</v>
      </c>
      <c r="D6" s="34" t="s">
        <v>26</v>
      </c>
      <c r="E6" s="68" t="s">
        <v>21</v>
      </c>
      <c r="F6" s="6">
        <v>-38.089846000000001</v>
      </c>
      <c r="K6" s="45"/>
      <c r="L6"/>
      <c r="M6"/>
    </row>
    <row r="7" spans="1:13" ht="15" x14ac:dyDescent="0.25">
      <c r="A7" s="35" t="s">
        <v>49</v>
      </c>
      <c r="B7" s="10" t="s">
        <v>47</v>
      </c>
      <c r="C7" s="8">
        <v>38.852510700000003</v>
      </c>
      <c r="D7" s="35" t="s">
        <v>27</v>
      </c>
      <c r="E7" s="10" t="s">
        <v>22</v>
      </c>
      <c r="F7" s="8">
        <v>-25.352943</v>
      </c>
      <c r="K7" s="45"/>
      <c r="L7"/>
      <c r="M7"/>
    </row>
    <row r="8" spans="1:13" ht="15" x14ac:dyDescent="0.25">
      <c r="A8" s="36" t="s">
        <v>28</v>
      </c>
      <c r="B8" s="68" t="s">
        <v>23</v>
      </c>
      <c r="C8" s="6">
        <v>33.000321</v>
      </c>
      <c r="D8" s="36" t="s">
        <v>36</v>
      </c>
      <c r="E8" s="68" t="s">
        <v>35</v>
      </c>
      <c r="F8" s="6">
        <v>-18.017623</v>
      </c>
      <c r="K8" s="45"/>
      <c r="L8"/>
      <c r="M8"/>
    </row>
    <row r="9" spans="1:13" ht="15" x14ac:dyDescent="0.25">
      <c r="A9" s="35" t="s">
        <v>50</v>
      </c>
      <c r="B9" s="10" t="s">
        <v>48</v>
      </c>
      <c r="C9" s="8">
        <v>32.823813000000001</v>
      </c>
      <c r="D9" s="35" t="s">
        <v>149</v>
      </c>
      <c r="E9" s="10" t="s">
        <v>32</v>
      </c>
      <c r="F9" s="8">
        <v>-17.362442000000001</v>
      </c>
      <c r="K9" s="45"/>
      <c r="L9"/>
      <c r="M9"/>
    </row>
    <row r="10" spans="1:13" ht="15" x14ac:dyDescent="0.25">
      <c r="A10" s="36" t="s">
        <v>29</v>
      </c>
      <c r="B10" s="68" t="s">
        <v>24</v>
      </c>
      <c r="C10" s="6">
        <v>29.018951999999999</v>
      </c>
      <c r="D10" s="36" t="s">
        <v>33</v>
      </c>
      <c r="E10" s="68" t="s">
        <v>31</v>
      </c>
      <c r="F10" s="6">
        <v>-12.417896000000001</v>
      </c>
      <c r="K10" s="45"/>
      <c r="L10"/>
      <c r="M10"/>
    </row>
    <row r="11" spans="1:13" ht="15" x14ac:dyDescent="0.25">
      <c r="A11" s="35" t="s">
        <v>87</v>
      </c>
      <c r="B11" s="10" t="s">
        <v>25</v>
      </c>
      <c r="C11" s="8">
        <v>11.986382000000001</v>
      </c>
      <c r="D11" s="35" t="s">
        <v>45</v>
      </c>
      <c r="E11" s="10" t="s">
        <v>42</v>
      </c>
      <c r="F11" s="8">
        <v>-8.2788769999999996</v>
      </c>
      <c r="K11" s="45"/>
      <c r="L11"/>
      <c r="M11"/>
    </row>
    <row r="12" spans="1:13" ht="15" x14ac:dyDescent="0.25">
      <c r="A12" s="36" t="s">
        <v>269</v>
      </c>
      <c r="B12" s="68" t="s">
        <v>259</v>
      </c>
      <c r="C12" s="6">
        <v>10.850182999999999</v>
      </c>
      <c r="D12" s="36" t="s">
        <v>39</v>
      </c>
      <c r="E12" s="68" t="s">
        <v>37</v>
      </c>
      <c r="F12" s="6">
        <v>-7.214728</v>
      </c>
      <c r="K12" s="45"/>
      <c r="L12"/>
      <c r="M12"/>
    </row>
    <row r="13" spans="1:13" ht="15" x14ac:dyDescent="0.25">
      <c r="A13" s="35" t="s">
        <v>249</v>
      </c>
      <c r="B13" s="10" t="s">
        <v>58</v>
      </c>
      <c r="C13" s="8">
        <v>9.6854960000000005</v>
      </c>
      <c r="D13" s="35" t="s">
        <v>44</v>
      </c>
      <c r="E13" s="10" t="s">
        <v>41</v>
      </c>
      <c r="F13" s="8">
        <v>-6.7134520000000002</v>
      </c>
      <c r="K13" s="45"/>
      <c r="L13"/>
      <c r="M13"/>
    </row>
    <row r="14" spans="1:13" ht="15" x14ac:dyDescent="0.25">
      <c r="A14" s="36" t="s">
        <v>84</v>
      </c>
      <c r="B14" s="68" t="s">
        <v>83</v>
      </c>
      <c r="C14" s="6">
        <v>9.4110320000000005</v>
      </c>
      <c r="D14" s="36" t="s">
        <v>270</v>
      </c>
      <c r="E14" s="68" t="s">
        <v>53</v>
      </c>
      <c r="F14" s="6">
        <v>-6.1887600000000003</v>
      </c>
      <c r="K14" s="45"/>
      <c r="L14"/>
      <c r="M14"/>
    </row>
    <row r="15" spans="1:13" ht="15" x14ac:dyDescent="0.25">
      <c r="A15" s="37" t="s">
        <v>261</v>
      </c>
      <c r="B15" s="33" t="s">
        <v>52</v>
      </c>
      <c r="C15" s="9">
        <v>9.0285488991000022</v>
      </c>
      <c r="D15" s="37" t="s">
        <v>63</v>
      </c>
      <c r="E15" s="33" t="s">
        <v>54</v>
      </c>
      <c r="F15" s="9">
        <v>-4.9973580000000002</v>
      </c>
      <c r="K15" s="45"/>
      <c r="L15"/>
      <c r="M15"/>
    </row>
    <row r="16" spans="1:13" ht="15" x14ac:dyDescent="0.2">
      <c r="A16" s="10"/>
      <c r="B16" s="10"/>
      <c r="C16" s="10"/>
      <c r="D16" s="31"/>
      <c r="E16" s="10"/>
      <c r="F16" s="10"/>
    </row>
    <row r="17" spans="1:13" x14ac:dyDescent="0.2">
      <c r="A17" s="10"/>
      <c r="B17" s="10"/>
      <c r="C17" s="10"/>
      <c r="D17" s="10"/>
      <c r="E17" s="10"/>
      <c r="F17" s="10"/>
    </row>
    <row r="18" spans="1:13" ht="28.5" customHeight="1" x14ac:dyDescent="0.2">
      <c r="A18" s="39" t="s">
        <v>3</v>
      </c>
      <c r="B18" s="3" t="s">
        <v>1</v>
      </c>
      <c r="C18" s="4" t="str">
        <f>C5</f>
        <v>Week of 3 June 2024</v>
      </c>
      <c r="D18" s="67" t="s">
        <v>4</v>
      </c>
      <c r="E18" s="65" t="s">
        <v>1</v>
      </c>
      <c r="F18" s="66" t="str">
        <f>+C18</f>
        <v>Week of 3 June 2024</v>
      </c>
    </row>
    <row r="19" spans="1:13" ht="15" x14ac:dyDescent="0.25">
      <c r="A19" s="62" t="s">
        <v>63</v>
      </c>
      <c r="B19" s="68" t="s">
        <v>54</v>
      </c>
      <c r="C19" s="6">
        <v>47.034128000000003</v>
      </c>
      <c r="D19" s="34" t="s">
        <v>34</v>
      </c>
      <c r="E19" s="68" t="s">
        <v>30</v>
      </c>
      <c r="F19" s="6">
        <v>-36.845351999999998</v>
      </c>
      <c r="I19" s="38"/>
      <c r="K19" s="45"/>
      <c r="L19"/>
      <c r="M19"/>
    </row>
    <row r="20" spans="1:13" ht="15" x14ac:dyDescent="0.25">
      <c r="A20" s="35" t="s">
        <v>26</v>
      </c>
      <c r="B20" s="10" t="s">
        <v>21</v>
      </c>
      <c r="C20" s="8">
        <v>39.599336999999998</v>
      </c>
      <c r="D20" s="35" t="s">
        <v>50</v>
      </c>
      <c r="E20" s="10" t="s">
        <v>48</v>
      </c>
      <c r="F20" s="8">
        <v>-29.559014000000001</v>
      </c>
      <c r="I20" s="38"/>
      <c r="K20" s="45"/>
      <c r="L20"/>
      <c r="M20"/>
    </row>
    <row r="21" spans="1:13" ht="15" x14ac:dyDescent="0.25">
      <c r="A21" s="36" t="s">
        <v>143</v>
      </c>
      <c r="B21" s="68" t="s">
        <v>260</v>
      </c>
      <c r="C21" s="6">
        <v>32.124983999999998</v>
      </c>
      <c r="D21" s="36" t="s">
        <v>29</v>
      </c>
      <c r="E21" s="68" t="s">
        <v>24</v>
      </c>
      <c r="F21" s="6">
        <v>-21.109853999999999</v>
      </c>
      <c r="I21" s="38"/>
      <c r="K21" s="45"/>
      <c r="L21"/>
      <c r="M21"/>
    </row>
    <row r="22" spans="1:13" ht="15" x14ac:dyDescent="0.25">
      <c r="A22" s="35" t="s">
        <v>27</v>
      </c>
      <c r="B22" s="10" t="s">
        <v>22</v>
      </c>
      <c r="C22" s="8">
        <v>32.124071999999998</v>
      </c>
      <c r="D22" s="35" t="s">
        <v>49</v>
      </c>
      <c r="E22" s="10" t="s">
        <v>47</v>
      </c>
      <c r="F22" s="8">
        <v>-21.001958500000001</v>
      </c>
      <c r="I22" s="38"/>
      <c r="K22" s="45"/>
      <c r="L22"/>
      <c r="M22"/>
    </row>
    <row r="23" spans="1:13" ht="15" x14ac:dyDescent="0.25">
      <c r="A23" s="36" t="s">
        <v>149</v>
      </c>
      <c r="B23" s="68" t="s">
        <v>32</v>
      </c>
      <c r="C23" s="6">
        <v>20.154596000000002</v>
      </c>
      <c r="D23" s="36" t="s">
        <v>270</v>
      </c>
      <c r="E23" s="68" t="s">
        <v>53</v>
      </c>
      <c r="F23" s="6">
        <v>-20.658539000000001</v>
      </c>
      <c r="I23" s="47"/>
      <c r="K23" s="45"/>
      <c r="L23"/>
      <c r="M23"/>
    </row>
    <row r="24" spans="1:13" ht="15" x14ac:dyDescent="0.25">
      <c r="A24" s="35" t="s">
        <v>36</v>
      </c>
      <c r="B24" s="10" t="s">
        <v>35</v>
      </c>
      <c r="C24" s="8">
        <v>17.303156000000001</v>
      </c>
      <c r="D24" s="35" t="s">
        <v>28</v>
      </c>
      <c r="E24" s="10" t="s">
        <v>23</v>
      </c>
      <c r="F24" s="8">
        <v>-14.273694000000001</v>
      </c>
      <c r="I24" s="38"/>
      <c r="K24" s="45"/>
      <c r="L24"/>
      <c r="M24"/>
    </row>
    <row r="25" spans="1:13" ht="15" x14ac:dyDescent="0.25">
      <c r="A25" s="36" t="s">
        <v>45</v>
      </c>
      <c r="B25" s="68" t="s">
        <v>42</v>
      </c>
      <c r="C25" s="6">
        <v>14.073064</v>
      </c>
      <c r="D25" s="36" t="s">
        <v>77</v>
      </c>
      <c r="E25" s="68" t="s">
        <v>56</v>
      </c>
      <c r="F25" s="6">
        <v>-10.875279000000001</v>
      </c>
      <c r="I25" s="38"/>
      <c r="K25" s="45"/>
      <c r="L25"/>
      <c r="M25"/>
    </row>
    <row r="26" spans="1:13" ht="15" x14ac:dyDescent="0.25">
      <c r="A26" s="35" t="s">
        <v>40</v>
      </c>
      <c r="B26" s="10" t="s">
        <v>38</v>
      </c>
      <c r="C26" s="8">
        <v>8.5256050000000005</v>
      </c>
      <c r="D26" s="35" t="s">
        <v>269</v>
      </c>
      <c r="E26" s="10" t="s">
        <v>259</v>
      </c>
      <c r="F26" s="8">
        <v>-10.562144999999999</v>
      </c>
      <c r="I26" s="38"/>
      <c r="K26" s="45"/>
      <c r="L26"/>
      <c r="M26"/>
    </row>
    <row r="27" spans="1:13" ht="15" x14ac:dyDescent="0.25">
      <c r="A27" s="36" t="s">
        <v>44</v>
      </c>
      <c r="B27" s="68" t="s">
        <v>41</v>
      </c>
      <c r="C27" s="6">
        <v>7.6470969999999996</v>
      </c>
      <c r="D27" s="36" t="s">
        <v>60</v>
      </c>
      <c r="E27" s="68" t="s">
        <v>51</v>
      </c>
      <c r="F27" s="6">
        <v>-7.4378925000000002</v>
      </c>
      <c r="I27" s="38"/>
      <c r="K27" s="45"/>
      <c r="L27"/>
      <c r="M27"/>
    </row>
    <row r="28" spans="1:13" ht="15" x14ac:dyDescent="0.25">
      <c r="A28" s="37" t="s">
        <v>33</v>
      </c>
      <c r="B28" s="33" t="s">
        <v>31</v>
      </c>
      <c r="C28" s="9">
        <v>4.9364879999999998</v>
      </c>
      <c r="D28" s="37" t="s">
        <v>264</v>
      </c>
      <c r="E28" s="33" t="s">
        <v>89</v>
      </c>
      <c r="F28" s="9">
        <v>-6.7576099999999997</v>
      </c>
      <c r="I28" s="38"/>
      <c r="K28" s="45"/>
      <c r="L28"/>
      <c r="M28"/>
    </row>
    <row r="29" spans="1:13" x14ac:dyDescent="0.2">
      <c r="A29" s="10"/>
      <c r="B29" s="10"/>
      <c r="C29" s="10"/>
      <c r="D29" s="10"/>
      <c r="E29" s="10"/>
      <c r="F29" s="10"/>
    </row>
    <row r="30" spans="1:13" x14ac:dyDescent="0.2">
      <c r="A30" s="11" t="s">
        <v>248</v>
      </c>
      <c r="B30" s="11"/>
      <c r="C30" s="10"/>
      <c r="D30" s="10"/>
      <c r="E30" s="10"/>
      <c r="F30" s="10"/>
    </row>
    <row r="31" spans="1:13" x14ac:dyDescent="0.2">
      <c r="A31" s="11" t="s">
        <v>80</v>
      </c>
      <c r="B31" s="11"/>
      <c r="C31" s="10"/>
      <c r="D31" s="10"/>
      <c r="E31" s="10"/>
      <c r="F31" s="10"/>
    </row>
    <row r="32" spans="1:13" x14ac:dyDescent="0.2">
      <c r="A32" s="11" t="s">
        <v>252</v>
      </c>
      <c r="B32" s="11"/>
      <c r="C32" s="10"/>
      <c r="D32" s="10"/>
      <c r="E32" s="10"/>
      <c r="F32" s="10"/>
    </row>
    <row r="33" spans="1:9" x14ac:dyDescent="0.2">
      <c r="A33" s="11" t="s">
        <v>6</v>
      </c>
      <c r="B33" s="11"/>
      <c r="C33" s="10"/>
      <c r="D33" s="10"/>
      <c r="E33" s="10"/>
      <c r="F33" s="10"/>
    </row>
    <row r="34" spans="1:9" x14ac:dyDescent="0.2">
      <c r="A34" s="11" t="s">
        <v>271</v>
      </c>
      <c r="B34" s="11"/>
      <c r="C34" s="10"/>
      <c r="D34" s="10"/>
      <c r="E34" s="10"/>
      <c r="F34" s="10"/>
      <c r="G34" s="72"/>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272</v>
      </c>
      <c r="B38" s="24"/>
      <c r="C38" s="25"/>
      <c r="D38" s="25"/>
      <c r="E38" s="24"/>
      <c r="F38" s="24"/>
      <c r="I38" s="38"/>
    </row>
    <row r="39" spans="1:9" s="30" customFormat="1" ht="19.350000000000001" customHeight="1" x14ac:dyDescent="0.25">
      <c r="A39" s="27" t="s">
        <v>273</v>
      </c>
      <c r="B39" s="28"/>
      <c r="C39" s="29"/>
      <c r="D39" s="29"/>
      <c r="E39" s="28"/>
      <c r="F39" s="28"/>
      <c r="I39" s="41"/>
    </row>
    <row r="40" spans="1:9" ht="169.35" customHeight="1" x14ac:dyDescent="0.2">
      <c r="A40" s="82" t="s">
        <v>274</v>
      </c>
      <c r="B40" s="82"/>
      <c r="C40" s="82"/>
      <c r="D40" s="82"/>
      <c r="E40" s="82"/>
      <c r="F40" s="82"/>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85546875" style="2" bestFit="1" customWidth="1"/>
    <col min="11" max="11" width="7.5703125" style="2" bestFit="1" customWidth="1"/>
    <col min="12" max="12" width="13.85546875" style="2" customWidth="1"/>
    <col min="13" max="13" width="7.85546875" style="2" customWidth="1"/>
    <col min="14" max="14" width="8.5703125" style="2" customWidth="1"/>
    <col min="15" max="16384" width="9.42578125" style="2"/>
  </cols>
  <sheetData>
    <row r="1" spans="1:15" ht="17.25" customHeight="1" x14ac:dyDescent="0.2">
      <c r="A1" s="83" t="s">
        <v>7</v>
      </c>
      <c r="B1" s="13"/>
      <c r="C1" s="85" t="s">
        <v>8</v>
      </c>
      <c r="D1" s="86"/>
      <c r="E1" s="86"/>
      <c r="F1" s="86"/>
      <c r="G1" s="86"/>
      <c r="H1" s="86"/>
      <c r="I1" s="86"/>
      <c r="J1" s="86"/>
      <c r="K1" s="86"/>
      <c r="L1" s="86"/>
      <c r="M1" s="86"/>
      <c r="N1" s="87"/>
    </row>
    <row r="2" spans="1:15" ht="60" customHeight="1" x14ac:dyDescent="0.2">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6">
        <f>SUM(C3:N3)</f>
        <v>-106.58834516336997</v>
      </c>
      <c r="B3" s="12">
        <v>45425</v>
      </c>
      <c r="C3" s="76">
        <v>-20.940494964500001</v>
      </c>
      <c r="D3" s="76">
        <v>-15.548860985599999</v>
      </c>
      <c r="E3" s="76">
        <v>-1.3942749000000001</v>
      </c>
      <c r="F3" s="76">
        <v>29.255693200000007</v>
      </c>
      <c r="G3" s="76">
        <v>4.3151437214000001</v>
      </c>
      <c r="H3" s="76">
        <v>-26.967878252479991</v>
      </c>
      <c r="I3" s="76">
        <v>-0.54562960000000005</v>
      </c>
      <c r="J3" s="76">
        <v>-5.3899594733999985</v>
      </c>
      <c r="K3" s="76">
        <v>-33.791815808789998</v>
      </c>
      <c r="L3" s="76">
        <v>-25.479082399999999</v>
      </c>
      <c r="M3" s="76">
        <v>-6.007526099999998</v>
      </c>
      <c r="N3" s="76">
        <v>-4.0936595999999996</v>
      </c>
    </row>
    <row r="4" spans="1:15" ht="15" x14ac:dyDescent="0.25">
      <c r="A4" s="46">
        <f t="shared" ref="A4:A6" si="0">SUM(C4:N4)</f>
        <v>90.950839829749981</v>
      </c>
      <c r="B4" s="77">
        <v>45432</v>
      </c>
      <c r="C4" s="15">
        <v>-3.3811991785999993</v>
      </c>
      <c r="D4" s="15">
        <v>-7.746848288499999</v>
      </c>
      <c r="E4" s="15">
        <v>2.6645278999999995</v>
      </c>
      <c r="F4" s="15">
        <v>130.3242765</v>
      </c>
      <c r="G4" s="15">
        <v>-1.7509683724</v>
      </c>
      <c r="H4" s="15">
        <v>-8.9666438385299969</v>
      </c>
      <c r="I4" s="15">
        <v>-1.2840878999999998</v>
      </c>
      <c r="J4" s="15">
        <v>7.2235349025999991</v>
      </c>
      <c r="K4" s="15">
        <v>1.8357673051799963</v>
      </c>
      <c r="L4" s="15">
        <v>-1.1199564999999998</v>
      </c>
      <c r="M4" s="15">
        <v>-14.6817098</v>
      </c>
      <c r="N4" s="15">
        <v>-12.165852900000001</v>
      </c>
    </row>
    <row r="5" spans="1:15" ht="15" x14ac:dyDescent="0.25">
      <c r="A5" s="46">
        <f t="shared" si="0"/>
        <v>-59.269809679790079</v>
      </c>
      <c r="B5" s="12">
        <v>45439</v>
      </c>
      <c r="C5" s="76">
        <v>-55.218660307199976</v>
      </c>
      <c r="D5" s="76">
        <v>-2.3118358691000007</v>
      </c>
      <c r="E5" s="76">
        <v>1.1539393999999992</v>
      </c>
      <c r="F5" s="76">
        <v>245.08139429999994</v>
      </c>
      <c r="G5" s="76">
        <v>3.2490208500000242E-2</v>
      </c>
      <c r="H5" s="76">
        <v>37.845274606839986</v>
      </c>
      <c r="I5" s="76">
        <v>-2.9404397000000002</v>
      </c>
      <c r="J5" s="76">
        <v>-138.50282655080005</v>
      </c>
      <c r="K5" s="76">
        <v>-169.14480146802993</v>
      </c>
      <c r="L5" s="76">
        <v>-18.191488700000001</v>
      </c>
      <c r="M5" s="76">
        <v>31.774944399999988</v>
      </c>
      <c r="N5" s="76">
        <v>11.152200000000001</v>
      </c>
    </row>
    <row r="6" spans="1:15" ht="15" x14ac:dyDescent="0.25">
      <c r="A6" s="46">
        <f t="shared" si="0"/>
        <v>93.846597846470004</v>
      </c>
      <c r="B6" s="77">
        <v>45446</v>
      </c>
      <c r="C6" s="15">
        <v>12.131523824900006</v>
      </c>
      <c r="D6" s="15">
        <v>1.6572573887000006</v>
      </c>
      <c r="E6" s="15">
        <v>-0.4509185</v>
      </c>
      <c r="F6" s="15">
        <v>19.05559749999999</v>
      </c>
      <c r="G6" s="15">
        <v>-1.2854339901</v>
      </c>
      <c r="H6" s="15">
        <v>16.400109661460011</v>
      </c>
      <c r="I6" s="15">
        <v>-0.570488</v>
      </c>
      <c r="J6" s="15">
        <v>-2.3913673480999997</v>
      </c>
      <c r="K6" s="15">
        <v>19.736417209610003</v>
      </c>
      <c r="L6" s="15">
        <v>3.9799148</v>
      </c>
      <c r="M6" s="15">
        <v>33.809486700000001</v>
      </c>
      <c r="N6" s="15">
        <v>-8.2255013999999989</v>
      </c>
    </row>
    <row r="7" spans="1:15" ht="15" x14ac:dyDescent="0.25">
      <c r="A7" s="74"/>
      <c r="B7" s="61"/>
      <c r="C7" s="78"/>
      <c r="D7" s="78"/>
      <c r="E7" s="78"/>
      <c r="F7" s="78"/>
      <c r="G7" s="78"/>
      <c r="H7" s="78"/>
      <c r="I7" s="78"/>
      <c r="J7" s="78"/>
      <c r="K7" s="78"/>
      <c r="L7" s="78"/>
      <c r="M7" s="78"/>
      <c r="N7" s="78"/>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73"/>
      <c r="D13" s="73"/>
      <c r="E13" s="73"/>
      <c r="F13" s="73"/>
      <c r="G13" s="73"/>
      <c r="H13" s="73"/>
      <c r="I13" s="73"/>
      <c r="J13" s="73"/>
      <c r="K13" s="73"/>
      <c r="L13" s="73"/>
      <c r="M13" s="73"/>
      <c r="N13" s="73"/>
    </row>
    <row r="14" spans="1:15" ht="15" x14ac:dyDescent="0.25">
      <c r="B14" s="52"/>
      <c r="C14" s="52"/>
      <c r="D14" s="52"/>
      <c r="E14" s="52"/>
      <c r="F14" s="52"/>
      <c r="G14" s="52"/>
      <c r="H14" s="52"/>
      <c r="I14" s="52"/>
      <c r="J14" s="52"/>
      <c r="K14" s="52"/>
      <c r="L14" s="52"/>
      <c r="M14" s="52"/>
      <c r="N14"/>
      <c r="O14" s="44"/>
    </row>
    <row r="15" spans="1:15" ht="15" x14ac:dyDescent="0.25">
      <c r="C15" s="52"/>
      <c r="D15" s="52"/>
      <c r="E15" s="52"/>
      <c r="F15" s="52"/>
      <c r="G15" s="52"/>
      <c r="H15" s="52"/>
      <c r="I15" s="52"/>
      <c r="J15" s="52"/>
      <c r="K15" s="52"/>
      <c r="L15" s="52"/>
      <c r="M15" s="52"/>
      <c r="N15" s="52"/>
      <c r="O15" s="52"/>
    </row>
    <row r="16" spans="1:15" ht="15" x14ac:dyDescent="0.25">
      <c r="C16" s="44"/>
      <c r="D16" s="44"/>
      <c r="E16" s="44"/>
      <c r="F16" s="44"/>
      <c r="G16" s="44"/>
      <c r="H16" s="44"/>
      <c r="I16" s="44"/>
      <c r="J16" s="44"/>
      <c r="K16" s="44"/>
      <c r="L16" s="44"/>
      <c r="M16" s="44"/>
      <c r="N16" s="44"/>
      <c r="O16" s="44"/>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0" width="7.85546875" style="2" bestFit="1" customWidth="1"/>
    <col min="11" max="11" width="7.140625" style="2" bestFit="1" customWidth="1"/>
    <col min="12" max="12" width="13.85546875" style="2" customWidth="1"/>
    <col min="13" max="13" width="7.85546875" style="2" bestFit="1" customWidth="1"/>
    <col min="14" max="14" width="8.5703125" style="2" bestFit="1" customWidth="1"/>
    <col min="15" max="16384" width="9.42578125" style="2"/>
  </cols>
  <sheetData>
    <row r="1" spans="1:18" ht="17.25" customHeight="1" x14ac:dyDescent="0.2">
      <c r="A1" s="83" t="s">
        <v>7</v>
      </c>
      <c r="B1" s="13"/>
      <c r="C1" s="85" t="s">
        <v>8</v>
      </c>
      <c r="D1" s="86"/>
      <c r="E1" s="86"/>
      <c r="F1" s="86"/>
      <c r="G1" s="86"/>
      <c r="H1" s="86"/>
      <c r="I1" s="86"/>
      <c r="J1" s="86"/>
      <c r="K1" s="86"/>
      <c r="L1" s="86"/>
      <c r="M1" s="86"/>
      <c r="N1" s="87"/>
    </row>
    <row r="2" spans="1:18" ht="60" x14ac:dyDescent="0.2">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70">
        <f t="shared" ref="A3:A5" si="0">SUM(C3:N3)</f>
        <v>-22.079065220779945</v>
      </c>
      <c r="B3" s="55">
        <v>45425</v>
      </c>
      <c r="C3" s="54">
        <v>0.45044828552000216</v>
      </c>
      <c r="D3" s="54">
        <v>8.2820858774000001</v>
      </c>
      <c r="E3" s="54">
        <v>2.2149374999999996</v>
      </c>
      <c r="F3" s="54">
        <v>-96.736715699999991</v>
      </c>
      <c r="G3" s="54">
        <v>-6.0726962048000006</v>
      </c>
      <c r="H3" s="54">
        <v>54.770784977080041</v>
      </c>
      <c r="I3" s="54">
        <v>1.9033915999999995</v>
      </c>
      <c r="J3" s="54">
        <v>6.8271315668000021</v>
      </c>
      <c r="K3" s="54">
        <v>-8.4749953227799999</v>
      </c>
      <c r="L3" s="54">
        <v>32.082610799999991</v>
      </c>
      <c r="M3" s="54">
        <v>-17.877677299999998</v>
      </c>
      <c r="N3" s="54">
        <v>0.55162870000000008</v>
      </c>
      <c r="P3" s="14"/>
    </row>
    <row r="4" spans="1:18" ht="15" x14ac:dyDescent="0.25">
      <c r="A4" s="70">
        <f t="shared" si="0"/>
        <v>-31.788735860900001</v>
      </c>
      <c r="B4" s="69">
        <v>45432</v>
      </c>
      <c r="C4" s="60">
        <v>4.7952799309500014</v>
      </c>
      <c r="D4" s="60">
        <v>13.2529792751</v>
      </c>
      <c r="E4" s="60">
        <v>-3.6951339000000005</v>
      </c>
      <c r="F4" s="60">
        <v>-104.87388050000001</v>
      </c>
      <c r="G4" s="60">
        <v>2.5919452950000004</v>
      </c>
      <c r="H4" s="60">
        <v>13.978187998510004</v>
      </c>
      <c r="I4" s="60">
        <v>1.7456267000000001</v>
      </c>
      <c r="J4" s="60">
        <v>4.7347579693999995</v>
      </c>
      <c r="K4" s="60">
        <v>12.029793170140001</v>
      </c>
      <c r="L4" s="60">
        <v>-2.6889438999999991</v>
      </c>
      <c r="M4" s="60">
        <v>9.9018136999999999</v>
      </c>
      <c r="N4" s="60">
        <v>16.438838399999998</v>
      </c>
      <c r="P4" s="14"/>
    </row>
    <row r="5" spans="1:18" ht="15" x14ac:dyDescent="0.25">
      <c r="A5" s="70">
        <f t="shared" si="0"/>
        <v>-71.890234943379923</v>
      </c>
      <c r="B5" s="71">
        <v>45439</v>
      </c>
      <c r="C5" s="54">
        <v>20.009574702980018</v>
      </c>
      <c r="D5" s="54">
        <v>24.899001416899996</v>
      </c>
      <c r="E5" s="54">
        <v>-3.1446797000000002</v>
      </c>
      <c r="F5" s="54">
        <v>-80.149201699999992</v>
      </c>
      <c r="G5" s="54">
        <v>2.5115267703000002</v>
      </c>
      <c r="H5" s="54">
        <v>-149.73478923023995</v>
      </c>
      <c r="I5" s="54">
        <v>0.7330973999999999</v>
      </c>
      <c r="J5" s="54">
        <v>39.770185179500004</v>
      </c>
      <c r="K5" s="54">
        <v>53.746167617180021</v>
      </c>
      <c r="L5" s="54">
        <v>22.198093699999994</v>
      </c>
      <c r="M5" s="54">
        <v>-1.1261781000000002</v>
      </c>
      <c r="N5" s="54">
        <v>-1.6030329999999999</v>
      </c>
      <c r="P5" s="14"/>
    </row>
    <row r="6" spans="1:18" ht="15" x14ac:dyDescent="0.25">
      <c r="A6" s="70">
        <f t="shared" ref="A6" si="1">SUM(C6:N6)</f>
        <v>47.259402025199989</v>
      </c>
      <c r="B6" s="69">
        <v>45446</v>
      </c>
      <c r="C6" s="60">
        <v>-8.1906884573400056</v>
      </c>
      <c r="D6" s="60">
        <v>-6.2907728693999996</v>
      </c>
      <c r="E6" s="60">
        <v>2.5133730999999999</v>
      </c>
      <c r="F6" s="60">
        <v>25.255270100000001</v>
      </c>
      <c r="G6" s="60">
        <v>0.23629502549999981</v>
      </c>
      <c r="H6" s="60">
        <v>-1.8885043691799905</v>
      </c>
      <c r="I6" s="60">
        <v>1.0317183999999997</v>
      </c>
      <c r="J6" s="60">
        <v>50.047821312099984</v>
      </c>
      <c r="K6" s="60">
        <v>-5.5909365164799976</v>
      </c>
      <c r="L6" s="60">
        <v>-7.1697770999999948</v>
      </c>
      <c r="M6" s="60">
        <v>-16.710851000000002</v>
      </c>
      <c r="N6" s="60">
        <v>14.016454400000001</v>
      </c>
      <c r="P6" s="14"/>
    </row>
    <row r="7" spans="1:18" ht="15" x14ac:dyDescent="0.25">
      <c r="A7" s="74"/>
      <c r="B7" s="55"/>
      <c r="C7" s="78"/>
      <c r="D7" s="78"/>
      <c r="E7" s="78"/>
      <c r="F7" s="78"/>
      <c r="G7" s="78"/>
      <c r="H7" s="78"/>
      <c r="I7" s="78"/>
      <c r="J7" s="78"/>
      <c r="K7" s="78"/>
      <c r="L7" s="78"/>
      <c r="M7" s="78"/>
      <c r="N7" s="78"/>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52"/>
      <c r="D12" s="52"/>
      <c r="E12" s="52"/>
      <c r="F12" s="52"/>
      <c r="G12" s="52"/>
      <c r="H12" s="52"/>
      <c r="I12" s="52"/>
      <c r="J12" s="52"/>
      <c r="K12" s="52"/>
      <c r="L12" s="52"/>
      <c r="M12" s="52"/>
      <c r="N12" s="52"/>
    </row>
    <row r="13" spans="1:18" ht="15" x14ac:dyDescent="0.25">
      <c r="B13"/>
      <c r="C13" s="52"/>
      <c r="D13" s="52"/>
      <c r="E13" s="52"/>
      <c r="F13" s="52"/>
      <c r="G13" s="52"/>
      <c r="H13" s="52"/>
      <c r="I13" s="52"/>
      <c r="J13" s="52"/>
      <c r="K13" s="52"/>
      <c r="L13" s="52"/>
      <c r="M13" s="52"/>
      <c r="N13" s="52"/>
      <c r="O13" s="44"/>
      <c r="P13"/>
      <c r="Q13"/>
      <c r="R13"/>
    </row>
    <row r="14" spans="1:18" ht="15" x14ac:dyDescent="0.25">
      <c r="B14"/>
      <c r="C14"/>
      <c r="D14"/>
      <c r="E14"/>
      <c r="F14"/>
      <c r="G14"/>
      <c r="H14"/>
      <c r="I14"/>
      <c r="J14"/>
      <c r="K14"/>
      <c r="L14"/>
      <c r="M14"/>
      <c r="N14"/>
      <c r="O14"/>
      <c r="P14"/>
      <c r="Q14"/>
      <c r="R14"/>
    </row>
    <row r="15" spans="1:18" ht="15" x14ac:dyDescent="0.25">
      <c r="C15" s="52"/>
      <c r="D15" s="52"/>
      <c r="E15" s="52"/>
      <c r="F15" s="52"/>
      <c r="G15" s="52"/>
      <c r="H15" s="52"/>
      <c r="I15" s="52"/>
      <c r="J15" s="52"/>
      <c r="K15" s="52"/>
      <c r="L15" s="52"/>
      <c r="M15" s="52"/>
      <c r="N15" s="52"/>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4"/>
      <c r="D18" s="44"/>
      <c r="E18" s="44"/>
      <c r="F18" s="44"/>
      <c r="G18" s="44"/>
      <c r="H18" s="44"/>
      <c r="I18" s="44"/>
      <c r="J18" s="44"/>
      <c r="K18" s="44"/>
      <c r="L18" s="44"/>
      <c r="M18" s="44"/>
      <c r="N18" s="44"/>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s>
  <sheetData>
    <row r="1" spans="1:5" ht="60" x14ac:dyDescent="0.25">
      <c r="A1" s="32" t="str">
        <f>CONCATENATE("STI Constituents - ",'Weekly Top 10'!$C$5)</f>
        <v>STI Constituents - Week of 3 June 2024</v>
      </c>
      <c r="B1" s="16" t="s">
        <v>1</v>
      </c>
      <c r="C1" s="17" t="s">
        <v>71</v>
      </c>
      <c r="D1" s="17" t="s">
        <v>72</v>
      </c>
    </row>
    <row r="2" spans="1:5" x14ac:dyDescent="0.25">
      <c r="A2" s="18" t="s">
        <v>87</v>
      </c>
      <c r="B2" s="19" t="s">
        <v>25</v>
      </c>
      <c r="C2" s="20">
        <v>11.986382000000001</v>
      </c>
      <c r="D2" s="20">
        <v>-3.6240990000000002</v>
      </c>
      <c r="E2" s="38"/>
    </row>
    <row r="3" spans="1:5" x14ac:dyDescent="0.25">
      <c r="A3" s="21" t="s">
        <v>77</v>
      </c>
      <c r="B3" s="22" t="s">
        <v>56</v>
      </c>
      <c r="C3" s="8">
        <v>7.3051909999999998</v>
      </c>
      <c r="D3" s="8">
        <v>-10.875279000000001</v>
      </c>
      <c r="E3" s="38"/>
    </row>
    <row r="4" spans="1:5" x14ac:dyDescent="0.25">
      <c r="A4" s="5" t="s">
        <v>84</v>
      </c>
      <c r="B4" s="7" t="s">
        <v>83</v>
      </c>
      <c r="C4" s="6">
        <v>9.4110320000000005</v>
      </c>
      <c r="D4" s="6">
        <v>-0.73607900000000004</v>
      </c>
      <c r="E4" s="38"/>
    </row>
    <row r="5" spans="1:5" x14ac:dyDescent="0.25">
      <c r="A5" s="21" t="s">
        <v>63</v>
      </c>
      <c r="B5" s="22" t="s">
        <v>54</v>
      </c>
      <c r="C5" s="8">
        <v>-4.9973580000000002</v>
      </c>
      <c r="D5" s="8">
        <v>47.034128000000003</v>
      </c>
      <c r="E5" s="38"/>
    </row>
    <row r="6" spans="1:5" x14ac:dyDescent="0.25">
      <c r="A6" s="5" t="s">
        <v>26</v>
      </c>
      <c r="B6" s="7" t="s">
        <v>21</v>
      </c>
      <c r="C6" s="6">
        <v>-38.089846000000001</v>
      </c>
      <c r="D6" s="6">
        <v>39.599336999999998</v>
      </c>
      <c r="E6" s="38"/>
    </row>
    <row r="7" spans="1:5" x14ac:dyDescent="0.25">
      <c r="A7" s="21" t="s">
        <v>85</v>
      </c>
      <c r="B7" s="22" t="s">
        <v>57</v>
      </c>
      <c r="C7" s="8">
        <v>0.62905768870000034</v>
      </c>
      <c r="D7" s="8">
        <v>-1.4623179693999999</v>
      </c>
      <c r="E7" s="38"/>
    </row>
    <row r="8" spans="1:5" x14ac:dyDescent="0.25">
      <c r="A8" s="5" t="s">
        <v>253</v>
      </c>
      <c r="B8" s="7" t="s">
        <v>108</v>
      </c>
      <c r="C8" s="6">
        <v>-0.318608</v>
      </c>
      <c r="D8" s="6">
        <v>-1.69458</v>
      </c>
      <c r="E8" s="38"/>
    </row>
    <row r="9" spans="1:5" x14ac:dyDescent="0.25">
      <c r="A9" s="21" t="s">
        <v>79</v>
      </c>
      <c r="B9" s="22" t="s">
        <v>78</v>
      </c>
      <c r="C9" s="8">
        <v>0.1154525</v>
      </c>
      <c r="D9" s="8">
        <v>4.3210620000000004</v>
      </c>
      <c r="E9" s="38"/>
    </row>
    <row r="10" spans="1:5" x14ac:dyDescent="0.25">
      <c r="A10" s="5" t="s">
        <v>36</v>
      </c>
      <c r="B10" s="7" t="s">
        <v>35</v>
      </c>
      <c r="C10" s="6">
        <v>-18.017623</v>
      </c>
      <c r="D10" s="6">
        <v>17.303156000000001</v>
      </c>
      <c r="E10" s="38"/>
    </row>
    <row r="11" spans="1:5" x14ac:dyDescent="0.25">
      <c r="A11" s="21" t="s">
        <v>64</v>
      </c>
      <c r="B11" s="22" t="s">
        <v>55</v>
      </c>
      <c r="C11" s="8">
        <v>4.7503163518999996</v>
      </c>
      <c r="D11" s="8">
        <v>-1.0460022878999991</v>
      </c>
      <c r="E11" s="38"/>
    </row>
    <row r="12" spans="1:5" x14ac:dyDescent="0.25">
      <c r="A12" s="5" t="s">
        <v>50</v>
      </c>
      <c r="B12" s="7" t="s">
        <v>48</v>
      </c>
      <c r="C12" s="6">
        <v>32.823813000000001</v>
      </c>
      <c r="D12" s="6">
        <v>-29.559014000000001</v>
      </c>
      <c r="E12" s="38"/>
    </row>
    <row r="13" spans="1:5" x14ac:dyDescent="0.25">
      <c r="A13" s="21" t="s">
        <v>62</v>
      </c>
      <c r="B13" s="22" t="s">
        <v>52</v>
      </c>
      <c r="C13" s="8">
        <v>9.0285488991000022</v>
      </c>
      <c r="D13" s="8">
        <v>-1.4510050722000001</v>
      </c>
      <c r="E13" s="38"/>
    </row>
    <row r="14" spans="1:5" x14ac:dyDescent="0.25">
      <c r="A14" s="5" t="s">
        <v>149</v>
      </c>
      <c r="B14" s="7" t="s">
        <v>32</v>
      </c>
      <c r="C14" s="6">
        <v>-17.362442000000001</v>
      </c>
      <c r="D14" s="6">
        <v>20.154596000000002</v>
      </c>
      <c r="E14" s="38"/>
    </row>
    <row r="15" spans="1:5" x14ac:dyDescent="0.25">
      <c r="A15" s="21" t="s">
        <v>75</v>
      </c>
      <c r="B15" s="22" t="s">
        <v>74</v>
      </c>
      <c r="C15" s="8">
        <v>-2.3266429999999998</v>
      </c>
      <c r="D15" s="8">
        <v>-9.4004000000000004E-2</v>
      </c>
      <c r="E15" s="38"/>
    </row>
    <row r="16" spans="1:5" x14ac:dyDescent="0.25">
      <c r="A16" s="5" t="s">
        <v>40</v>
      </c>
      <c r="B16" s="7" t="s">
        <v>38</v>
      </c>
      <c r="C16" s="6">
        <v>6.1865999999999997E-2</v>
      </c>
      <c r="D16" s="6">
        <v>8.5256050000000005</v>
      </c>
      <c r="E16" s="38"/>
    </row>
    <row r="17" spans="1:5" x14ac:dyDescent="0.25">
      <c r="A17" s="21" t="s">
        <v>249</v>
      </c>
      <c r="B17" s="22" t="s">
        <v>58</v>
      </c>
      <c r="C17" s="8">
        <v>9.6854960000000005</v>
      </c>
      <c r="D17" s="8">
        <v>-4.123494</v>
      </c>
      <c r="E17" s="38"/>
    </row>
    <row r="18" spans="1:5" x14ac:dyDescent="0.25">
      <c r="A18" s="5" t="s">
        <v>27</v>
      </c>
      <c r="B18" s="7" t="s">
        <v>22</v>
      </c>
      <c r="C18" s="6">
        <v>-25.352943</v>
      </c>
      <c r="D18" s="6">
        <v>32.124071999999998</v>
      </c>
      <c r="E18" s="38"/>
    </row>
    <row r="19" spans="1:5" x14ac:dyDescent="0.25">
      <c r="A19" s="21" t="s">
        <v>34</v>
      </c>
      <c r="B19" s="22" t="s">
        <v>30</v>
      </c>
      <c r="C19" s="8">
        <v>39.641494000000002</v>
      </c>
      <c r="D19" s="8">
        <v>-36.845351999999998</v>
      </c>
      <c r="E19" s="38"/>
    </row>
    <row r="20" spans="1:5" x14ac:dyDescent="0.25">
      <c r="A20" s="5" t="s">
        <v>143</v>
      </c>
      <c r="B20" s="7" t="s">
        <v>260</v>
      </c>
      <c r="C20" s="6">
        <v>8.300163999999997</v>
      </c>
      <c r="D20" s="6">
        <v>32.124983999999998</v>
      </c>
      <c r="E20" s="38"/>
    </row>
    <row r="21" spans="1:5" x14ac:dyDescent="0.25">
      <c r="A21" s="21" t="s">
        <v>45</v>
      </c>
      <c r="B21" s="22" t="s">
        <v>42</v>
      </c>
      <c r="C21" s="8">
        <v>-8.2788769999999996</v>
      </c>
      <c r="D21" s="8">
        <v>14.073064</v>
      </c>
      <c r="E21" s="38"/>
    </row>
    <row r="22" spans="1:5" x14ac:dyDescent="0.25">
      <c r="A22" s="5" t="s">
        <v>33</v>
      </c>
      <c r="B22" s="7" t="s">
        <v>31</v>
      </c>
      <c r="C22" s="6">
        <v>-12.417896000000001</v>
      </c>
      <c r="D22" s="6">
        <v>4.9364879999999998</v>
      </c>
      <c r="E22" s="38"/>
    </row>
    <row r="23" spans="1:5" x14ac:dyDescent="0.25">
      <c r="A23" s="21" t="s">
        <v>29</v>
      </c>
      <c r="B23" s="22" t="s">
        <v>24</v>
      </c>
      <c r="C23" s="8">
        <v>29.018951999999999</v>
      </c>
      <c r="D23" s="8">
        <v>-21.109853999999999</v>
      </c>
      <c r="E23" s="38"/>
    </row>
    <row r="24" spans="1:5" x14ac:dyDescent="0.25">
      <c r="A24" s="5" t="s">
        <v>39</v>
      </c>
      <c r="B24" s="7" t="s">
        <v>37</v>
      </c>
      <c r="C24" s="6">
        <v>-7.214728</v>
      </c>
      <c r="D24" s="6">
        <v>1.5478670000000001</v>
      </c>
      <c r="E24" s="38"/>
    </row>
    <row r="25" spans="1:5" x14ac:dyDescent="0.25">
      <c r="A25" s="21" t="s">
        <v>49</v>
      </c>
      <c r="B25" s="22" t="s">
        <v>47</v>
      </c>
      <c r="C25" s="8">
        <v>38.852510700000003</v>
      </c>
      <c r="D25" s="8">
        <v>-21.001958500000001</v>
      </c>
      <c r="E25" s="38"/>
    </row>
    <row r="26" spans="1:5" x14ac:dyDescent="0.25">
      <c r="A26" s="5" t="s">
        <v>60</v>
      </c>
      <c r="B26" s="7" t="s">
        <v>51</v>
      </c>
      <c r="C26" s="6">
        <v>6.1068164999999999</v>
      </c>
      <c r="D26" s="6">
        <v>-7.4378925000000002</v>
      </c>
      <c r="E26" s="38"/>
    </row>
    <row r="27" spans="1:5" x14ac:dyDescent="0.25">
      <c r="A27" s="21" t="s">
        <v>28</v>
      </c>
      <c r="B27" s="22" t="s">
        <v>23</v>
      </c>
      <c r="C27" s="8">
        <v>33.000321</v>
      </c>
      <c r="D27" s="8">
        <v>-14.273694000000001</v>
      </c>
      <c r="E27" s="38"/>
    </row>
    <row r="28" spans="1:5" x14ac:dyDescent="0.25">
      <c r="A28" s="5" t="s">
        <v>65</v>
      </c>
      <c r="B28" s="7" t="s">
        <v>59</v>
      </c>
      <c r="C28" s="6">
        <v>-1.41855</v>
      </c>
      <c r="D28" s="6">
        <v>3.1390820000000001</v>
      </c>
      <c r="E28" s="38"/>
    </row>
    <row r="29" spans="1:5" x14ac:dyDescent="0.25">
      <c r="A29" s="21" t="s">
        <v>46</v>
      </c>
      <c r="B29" s="22" t="s">
        <v>43</v>
      </c>
      <c r="C29" s="8">
        <v>-2.085194</v>
      </c>
      <c r="D29" s="8">
        <v>2.4694419999999999</v>
      </c>
      <c r="E29" s="38"/>
    </row>
    <row r="30" spans="1:5" x14ac:dyDescent="0.25">
      <c r="A30" s="5" t="s">
        <v>44</v>
      </c>
      <c r="B30" s="7" t="s">
        <v>41</v>
      </c>
      <c r="C30" s="6">
        <v>-6.7134520000000002</v>
      </c>
      <c r="D30" s="6">
        <v>7.6470969999999996</v>
      </c>
      <c r="E30" s="38"/>
    </row>
    <row r="31" spans="1:5" ht="15.75" thickBot="1" x14ac:dyDescent="0.3">
      <c r="A31" s="21" t="s">
        <v>61</v>
      </c>
      <c r="B31" s="22" t="s">
        <v>53</v>
      </c>
      <c r="C31" s="8">
        <v>-6.1887600000000003</v>
      </c>
      <c r="D31" s="8">
        <v>-20.658539000000001</v>
      </c>
      <c r="E31" s="38"/>
    </row>
    <row r="32" spans="1:5" ht="21" customHeight="1" thickBot="1" x14ac:dyDescent="0.3">
      <c r="A32" s="88" t="s">
        <v>66</v>
      </c>
      <c r="B32" s="89"/>
      <c r="C32" s="63">
        <f>SUM(C2:C31)</f>
        <v>89.934493639699994</v>
      </c>
      <c r="D32" s="64">
        <f>SUM(D2:D31)</f>
        <v>59.006815670499989</v>
      </c>
    </row>
    <row r="34" spans="1:5" x14ac:dyDescent="0.25">
      <c r="A34" s="11" t="s">
        <v>67</v>
      </c>
      <c r="B34" s="51"/>
      <c r="C34" s="51"/>
      <c r="D34" s="51"/>
      <c r="E34" s="51"/>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5" x14ac:dyDescent="0.25"/>
  <cols>
    <col min="1" max="1" width="51.5703125" customWidth="1"/>
    <col min="2" max="2" width="8.5703125" customWidth="1"/>
    <col min="3" max="3" width="14.5703125" customWidth="1"/>
    <col min="4" max="4" width="17.42578125" customWidth="1"/>
    <col min="5" max="5" width="22.5703125" customWidth="1"/>
    <col min="6" max="6" width="31.5703125" bestFit="1" customWidth="1"/>
    <col min="7" max="8" width="14" customWidth="1"/>
  </cols>
  <sheetData>
    <row r="1" spans="1:11" ht="60" x14ac:dyDescent="0.25">
      <c r="A1" s="32" t="str">
        <f>CONCATENATE("100 Most Traded Stocks YTD - ",'Weekly Top 10'!$C$5)</f>
        <v>100 Most Traded Stocks YTD - Week of 3 June 2024</v>
      </c>
      <c r="B1" s="16" t="s">
        <v>1</v>
      </c>
      <c r="C1" s="50" t="s">
        <v>98</v>
      </c>
      <c r="D1" s="17" t="s">
        <v>97</v>
      </c>
      <c r="E1" s="17" t="s">
        <v>99</v>
      </c>
      <c r="F1" s="17" t="s">
        <v>100</v>
      </c>
    </row>
    <row r="2" spans="1:11" x14ac:dyDescent="0.25">
      <c r="A2" s="18" t="s">
        <v>26</v>
      </c>
      <c r="B2" s="19" t="s">
        <v>21</v>
      </c>
      <c r="C2" s="57">
        <v>143.5406106160367</v>
      </c>
      <c r="D2" s="57">
        <v>89.132538499999995</v>
      </c>
      <c r="E2" s="57">
        <v>-38.089846000000001</v>
      </c>
      <c r="F2" s="20" t="s">
        <v>13</v>
      </c>
      <c r="G2" s="56"/>
      <c r="H2" s="56"/>
      <c r="I2" s="56"/>
    </row>
    <row r="3" spans="1:11" x14ac:dyDescent="0.25">
      <c r="A3" s="21" t="s">
        <v>265</v>
      </c>
      <c r="B3" s="22" t="s">
        <v>260</v>
      </c>
      <c r="C3" s="58">
        <v>87.601698569565201</v>
      </c>
      <c r="D3" s="58">
        <v>-217.18766600000001</v>
      </c>
      <c r="E3" s="58">
        <v>8.3001640000000059</v>
      </c>
      <c r="F3" s="8" t="s">
        <v>14</v>
      </c>
      <c r="G3" s="56"/>
      <c r="H3" s="56"/>
      <c r="I3" s="56"/>
    </row>
    <row r="4" spans="1:11" x14ac:dyDescent="0.25">
      <c r="A4" s="5" t="s">
        <v>28</v>
      </c>
      <c r="B4" s="7" t="s">
        <v>23</v>
      </c>
      <c r="C4" s="59">
        <v>85.61085204166055</v>
      </c>
      <c r="D4" s="59">
        <v>362.535325</v>
      </c>
      <c r="E4" s="59">
        <v>33.000321</v>
      </c>
      <c r="F4" s="6" t="s">
        <v>13</v>
      </c>
      <c r="G4" s="56"/>
      <c r="H4" s="56"/>
      <c r="I4" s="56"/>
    </row>
    <row r="5" spans="1:11" x14ac:dyDescent="0.25">
      <c r="A5" s="21" t="s">
        <v>49</v>
      </c>
      <c r="B5" s="22" t="s">
        <v>47</v>
      </c>
      <c r="C5" s="58">
        <v>73.458906240899083</v>
      </c>
      <c r="D5" s="58">
        <v>54.3938208</v>
      </c>
      <c r="E5" s="58">
        <v>38.852510700000003</v>
      </c>
      <c r="F5" s="8" t="s">
        <v>160</v>
      </c>
      <c r="G5" s="56"/>
      <c r="H5" s="56"/>
      <c r="I5" s="56"/>
    </row>
    <row r="6" spans="1:11" x14ac:dyDescent="0.25">
      <c r="A6" s="5" t="s">
        <v>164</v>
      </c>
      <c r="B6" s="7" t="s">
        <v>22</v>
      </c>
      <c r="C6" s="59">
        <v>73.149420274376141</v>
      </c>
      <c r="D6" s="59">
        <v>245.97104759999999</v>
      </c>
      <c r="E6" s="59">
        <v>-25.352943</v>
      </c>
      <c r="F6" s="6" t="s">
        <v>13</v>
      </c>
      <c r="G6" s="56"/>
      <c r="H6" s="56"/>
      <c r="I6" s="56"/>
    </row>
    <row r="7" spans="1:11" x14ac:dyDescent="0.25">
      <c r="A7" s="21" t="s">
        <v>165</v>
      </c>
      <c r="B7" s="22" t="s">
        <v>56</v>
      </c>
      <c r="C7" s="58">
        <v>43.324324900825687</v>
      </c>
      <c r="D7" s="58">
        <v>-4.6682999999999959</v>
      </c>
      <c r="E7" s="58">
        <v>7.3051909999999998</v>
      </c>
      <c r="F7" s="8" t="s">
        <v>17</v>
      </c>
      <c r="G7" s="56"/>
      <c r="H7" s="56"/>
      <c r="I7" s="56"/>
    </row>
    <row r="8" spans="1:11" x14ac:dyDescent="0.25">
      <c r="A8" s="5" t="s">
        <v>167</v>
      </c>
      <c r="B8" s="7" t="s">
        <v>53</v>
      </c>
      <c r="C8" s="59">
        <v>41.198695106422022</v>
      </c>
      <c r="D8" s="59">
        <v>226.30602099999999</v>
      </c>
      <c r="E8" s="59">
        <v>-6.1887600000000003</v>
      </c>
      <c r="F8" s="6" t="s">
        <v>14</v>
      </c>
      <c r="G8" s="56"/>
      <c r="H8" s="56"/>
      <c r="I8" s="56"/>
    </row>
    <row r="9" spans="1:11" x14ac:dyDescent="0.25">
      <c r="A9" s="21" t="s">
        <v>33</v>
      </c>
      <c r="B9" s="22" t="s">
        <v>31</v>
      </c>
      <c r="C9" s="58">
        <v>38.283926554587161</v>
      </c>
      <c r="D9" s="58">
        <v>-210.35677799999999</v>
      </c>
      <c r="E9" s="58">
        <v>-12.417896000000001</v>
      </c>
      <c r="F9" s="8" t="s">
        <v>14</v>
      </c>
      <c r="G9" s="56"/>
      <c r="H9" s="56"/>
      <c r="I9" s="56"/>
    </row>
    <row r="10" spans="1:11" x14ac:dyDescent="0.25">
      <c r="A10" s="5" t="s">
        <v>166</v>
      </c>
      <c r="B10" s="7" t="s">
        <v>25</v>
      </c>
      <c r="C10" s="59">
        <v>36.060363838715595</v>
      </c>
      <c r="D10" s="59">
        <v>-107.91038399999999</v>
      </c>
      <c r="E10" s="59">
        <v>11.986382000000001</v>
      </c>
      <c r="F10" s="6" t="s">
        <v>17</v>
      </c>
      <c r="G10" s="56"/>
      <c r="H10" s="56"/>
      <c r="I10" s="56"/>
    </row>
    <row r="11" spans="1:11" x14ac:dyDescent="0.25">
      <c r="A11" s="21" t="s">
        <v>169</v>
      </c>
      <c r="B11" s="22" t="s">
        <v>38</v>
      </c>
      <c r="C11" s="58">
        <v>35.934180508348618</v>
      </c>
      <c r="D11" s="58">
        <v>-247.82455200000001</v>
      </c>
      <c r="E11" s="58">
        <v>6.1865999999994412E-2</v>
      </c>
      <c r="F11" s="8" t="s">
        <v>17</v>
      </c>
      <c r="G11" s="56"/>
      <c r="H11" s="56"/>
      <c r="I11" s="56"/>
    </row>
    <row r="12" spans="1:11" x14ac:dyDescent="0.25">
      <c r="A12" s="5" t="s">
        <v>170</v>
      </c>
      <c r="B12" s="7" t="s">
        <v>35</v>
      </c>
      <c r="C12" s="59">
        <v>28.694075836394489</v>
      </c>
      <c r="D12" s="59">
        <v>-79.175083999999998</v>
      </c>
      <c r="E12" s="59">
        <v>-18.017623</v>
      </c>
      <c r="F12" s="6" t="s">
        <v>10</v>
      </c>
      <c r="G12" s="56"/>
      <c r="H12" s="56"/>
      <c r="I12" s="56"/>
    </row>
    <row r="13" spans="1:11" x14ac:dyDescent="0.25">
      <c r="A13" s="21" t="s">
        <v>168</v>
      </c>
      <c r="B13" s="22" t="s">
        <v>83</v>
      </c>
      <c r="C13" s="58">
        <v>27.82634246540367</v>
      </c>
      <c r="D13" s="58">
        <v>-130.09705600000001</v>
      </c>
      <c r="E13" s="58">
        <v>9.4110320000000005</v>
      </c>
      <c r="F13" s="8" t="s">
        <v>13</v>
      </c>
      <c r="G13" s="56"/>
      <c r="H13" s="56"/>
      <c r="I13" s="56"/>
    </row>
    <row r="14" spans="1:11" x14ac:dyDescent="0.25">
      <c r="A14" s="5" t="s">
        <v>149</v>
      </c>
      <c r="B14" s="7" t="s">
        <v>32</v>
      </c>
      <c r="C14" s="59">
        <v>24.67888615844954</v>
      </c>
      <c r="D14" s="59">
        <v>42.286788000000001</v>
      </c>
      <c r="E14" s="59">
        <v>-17.362442000000001</v>
      </c>
      <c r="F14" s="6" t="s">
        <v>14</v>
      </c>
      <c r="G14" s="56"/>
      <c r="H14" s="56"/>
      <c r="I14" s="56"/>
    </row>
    <row r="15" spans="1:11" x14ac:dyDescent="0.25">
      <c r="A15" s="21" t="s">
        <v>176</v>
      </c>
      <c r="B15" s="22" t="s">
        <v>58</v>
      </c>
      <c r="C15" s="58">
        <v>24.433068538807341</v>
      </c>
      <c r="D15" s="58">
        <v>-175.25783799999999</v>
      </c>
      <c r="E15" s="58">
        <v>9.6854960000000005</v>
      </c>
      <c r="F15" s="8" t="s">
        <v>17</v>
      </c>
      <c r="G15" s="56"/>
      <c r="H15" s="56"/>
      <c r="I15" s="56"/>
    </row>
    <row r="16" spans="1:11" x14ac:dyDescent="0.25">
      <c r="A16" s="5" t="s">
        <v>178</v>
      </c>
      <c r="B16" s="7" t="s">
        <v>48</v>
      </c>
      <c r="C16" s="59">
        <v>24.1583905287156</v>
      </c>
      <c r="D16" s="59">
        <v>-87.069919999999996</v>
      </c>
      <c r="E16" s="59">
        <v>32.823813000000001</v>
      </c>
      <c r="F16" s="6" t="s">
        <v>10</v>
      </c>
      <c r="G16" s="56"/>
      <c r="H16" s="56"/>
      <c r="I16" s="56"/>
      <c r="J16" s="56"/>
      <c r="K16" s="56"/>
    </row>
    <row r="17" spans="1:11" x14ac:dyDescent="0.25">
      <c r="A17" s="21" t="s">
        <v>180</v>
      </c>
      <c r="B17" s="22" t="s">
        <v>54</v>
      </c>
      <c r="C17" s="58">
        <v>21.568954461926609</v>
      </c>
      <c r="D17" s="58">
        <v>-191.66170159999999</v>
      </c>
      <c r="E17" s="58">
        <v>-4.997358000000002</v>
      </c>
      <c r="F17" s="8" t="s">
        <v>16</v>
      </c>
      <c r="G17" s="56"/>
      <c r="H17" s="56"/>
      <c r="I17" s="56"/>
      <c r="J17" s="56"/>
      <c r="K17" s="56"/>
    </row>
    <row r="18" spans="1:11" x14ac:dyDescent="0.25">
      <c r="A18" s="5" t="s">
        <v>29</v>
      </c>
      <c r="B18" s="7" t="s">
        <v>24</v>
      </c>
      <c r="C18" s="59">
        <v>17.835776175229359</v>
      </c>
      <c r="D18" s="59">
        <v>-38.769950000000001</v>
      </c>
      <c r="E18" s="59">
        <v>29.018951999999999</v>
      </c>
      <c r="F18" s="6" t="s">
        <v>13</v>
      </c>
      <c r="G18" s="56"/>
      <c r="H18" s="56"/>
      <c r="I18" s="56"/>
      <c r="J18" s="56"/>
      <c r="K18" s="56"/>
    </row>
    <row r="19" spans="1:11" x14ac:dyDescent="0.25">
      <c r="A19" s="21" t="s">
        <v>173</v>
      </c>
      <c r="B19" s="22" t="s">
        <v>41</v>
      </c>
      <c r="C19" s="58">
        <v>17.72805471615596</v>
      </c>
      <c r="D19" s="58">
        <v>-37.235303000000002</v>
      </c>
      <c r="E19" s="58">
        <v>-6.7134520000000002</v>
      </c>
      <c r="F19" s="8" t="s">
        <v>11</v>
      </c>
      <c r="G19" s="56"/>
      <c r="H19" s="56"/>
      <c r="I19" s="56"/>
      <c r="J19" s="56"/>
      <c r="K19" s="56"/>
    </row>
    <row r="20" spans="1:11" x14ac:dyDescent="0.25">
      <c r="A20" s="5" t="s">
        <v>174</v>
      </c>
      <c r="B20" s="7" t="s">
        <v>42</v>
      </c>
      <c r="C20" s="59">
        <v>17.476720213944951</v>
      </c>
      <c r="D20" s="59">
        <v>5.2221671999999995</v>
      </c>
      <c r="E20" s="59">
        <v>-8.2788769999999996</v>
      </c>
      <c r="F20" s="6" t="s">
        <v>19</v>
      </c>
      <c r="G20" s="56"/>
      <c r="H20" s="56"/>
      <c r="I20" s="56"/>
      <c r="J20" s="56"/>
      <c r="K20" s="56"/>
    </row>
    <row r="21" spans="1:11" x14ac:dyDescent="0.25">
      <c r="A21" s="21" t="s">
        <v>177</v>
      </c>
      <c r="B21" s="22" t="s">
        <v>51</v>
      </c>
      <c r="C21" s="58">
        <v>17.212390018348618</v>
      </c>
      <c r="D21" s="58">
        <v>63.130618500000004</v>
      </c>
      <c r="E21" s="58">
        <v>6.1068164999999999</v>
      </c>
      <c r="F21" s="8" t="s">
        <v>11</v>
      </c>
      <c r="G21" s="56"/>
      <c r="H21" s="56"/>
      <c r="I21" s="56"/>
      <c r="J21" s="56"/>
      <c r="K21" s="56"/>
    </row>
    <row r="22" spans="1:11" x14ac:dyDescent="0.25">
      <c r="A22" s="5" t="s">
        <v>39</v>
      </c>
      <c r="B22" s="7" t="s">
        <v>37</v>
      </c>
      <c r="C22" s="59">
        <v>16.577190669724772</v>
      </c>
      <c r="D22" s="59">
        <v>88.206592000000001</v>
      </c>
      <c r="E22" s="59">
        <v>-7.214728</v>
      </c>
      <c r="F22" s="6" t="s">
        <v>14</v>
      </c>
      <c r="G22" s="56"/>
      <c r="H22" s="56"/>
      <c r="I22" s="56"/>
      <c r="J22" s="56"/>
      <c r="K22" s="56"/>
    </row>
    <row r="23" spans="1:11" x14ac:dyDescent="0.25">
      <c r="A23" s="21" t="s">
        <v>172</v>
      </c>
      <c r="B23" s="22" t="s">
        <v>52</v>
      </c>
      <c r="C23" s="58">
        <v>15.91277799261664</v>
      </c>
      <c r="D23" s="58">
        <v>17.32908745045</v>
      </c>
      <c r="E23" s="58">
        <v>9.0285488991000005</v>
      </c>
      <c r="F23" s="8" t="s">
        <v>14</v>
      </c>
      <c r="G23" s="56"/>
      <c r="H23" s="56"/>
      <c r="I23" s="56"/>
      <c r="J23" s="56"/>
      <c r="K23" s="56"/>
    </row>
    <row r="24" spans="1:11" x14ac:dyDescent="0.25">
      <c r="A24" s="5" t="s">
        <v>179</v>
      </c>
      <c r="B24" s="7" t="s">
        <v>59</v>
      </c>
      <c r="C24" s="59">
        <v>15.195351813577981</v>
      </c>
      <c r="D24" s="59">
        <v>-117.712284</v>
      </c>
      <c r="E24" s="59">
        <v>-1.41855</v>
      </c>
      <c r="F24" s="6" t="s">
        <v>16</v>
      </c>
      <c r="G24" s="56"/>
      <c r="H24" s="56"/>
      <c r="I24" s="56"/>
      <c r="J24" s="56"/>
      <c r="K24" s="56"/>
    </row>
    <row r="25" spans="1:11" x14ac:dyDescent="0.25">
      <c r="A25" s="21" t="s">
        <v>175</v>
      </c>
      <c r="B25" s="22" t="s">
        <v>74</v>
      </c>
      <c r="C25" s="58">
        <v>12.93344440587156</v>
      </c>
      <c r="D25" s="58">
        <v>-63.629283999999998</v>
      </c>
      <c r="E25" s="58">
        <v>-2.3266429999999998</v>
      </c>
      <c r="F25" s="8" t="s">
        <v>17</v>
      </c>
      <c r="G25" s="56"/>
      <c r="H25" s="56"/>
      <c r="I25" s="56"/>
      <c r="J25" s="56"/>
      <c r="K25" s="56"/>
    </row>
    <row r="26" spans="1:11" x14ac:dyDescent="0.25">
      <c r="A26" s="5" t="s">
        <v>34</v>
      </c>
      <c r="B26" s="7" t="s">
        <v>30</v>
      </c>
      <c r="C26" s="59">
        <v>12.45572272477064</v>
      </c>
      <c r="D26" s="59">
        <v>27.145909</v>
      </c>
      <c r="E26" s="59">
        <v>39.641494000000002</v>
      </c>
      <c r="F26" s="6" t="s">
        <v>14</v>
      </c>
      <c r="G26" s="56"/>
      <c r="H26" s="56"/>
      <c r="I26" s="56"/>
      <c r="J26" s="56"/>
      <c r="K26" s="56"/>
    </row>
    <row r="27" spans="1:11" x14ac:dyDescent="0.25">
      <c r="A27" s="21" t="s">
        <v>184</v>
      </c>
      <c r="B27" s="22" t="s">
        <v>78</v>
      </c>
      <c r="C27" s="58">
        <v>11.660302250000001</v>
      </c>
      <c r="D27" s="58">
        <v>-70.405547999999996</v>
      </c>
      <c r="E27" s="58">
        <v>0.1154525</v>
      </c>
      <c r="F27" s="8" t="s">
        <v>17</v>
      </c>
      <c r="G27" s="56"/>
      <c r="H27" s="56"/>
      <c r="I27" s="56"/>
      <c r="J27" s="56"/>
      <c r="K27" s="56"/>
    </row>
    <row r="28" spans="1:11" x14ac:dyDescent="0.25">
      <c r="A28" s="5" t="s">
        <v>171</v>
      </c>
      <c r="B28" s="7" t="s">
        <v>76</v>
      </c>
      <c r="C28" s="59">
        <v>11.02688978642202</v>
      </c>
      <c r="D28" s="59">
        <v>-46.577159999999999</v>
      </c>
      <c r="E28" s="59">
        <v>4.3873000000000002E-2</v>
      </c>
      <c r="F28" s="6" t="s">
        <v>17</v>
      </c>
      <c r="G28" s="56"/>
      <c r="H28" s="56"/>
      <c r="I28" s="56"/>
      <c r="J28" s="56"/>
      <c r="K28" s="56"/>
    </row>
    <row r="29" spans="1:11" x14ac:dyDescent="0.25">
      <c r="A29" s="21" t="s">
        <v>181</v>
      </c>
      <c r="B29" s="22" t="s">
        <v>43</v>
      </c>
      <c r="C29" s="58">
        <v>10.700415975743121</v>
      </c>
      <c r="D29" s="58">
        <v>55.112749999999998</v>
      </c>
      <c r="E29" s="58">
        <v>-2.085194</v>
      </c>
      <c r="F29" s="8" t="s">
        <v>161</v>
      </c>
      <c r="G29" s="56"/>
      <c r="H29" s="56"/>
      <c r="I29" s="56"/>
      <c r="J29" s="56"/>
      <c r="K29" s="56"/>
    </row>
    <row r="30" spans="1:11" x14ac:dyDescent="0.25">
      <c r="A30" s="5" t="s">
        <v>185</v>
      </c>
      <c r="B30" s="7" t="s">
        <v>55</v>
      </c>
      <c r="C30" s="59">
        <v>9.4500682227099091</v>
      </c>
      <c r="D30" s="59">
        <v>25.184066312800002</v>
      </c>
      <c r="E30" s="59">
        <v>4.7503163519000005</v>
      </c>
      <c r="F30" s="6" t="s">
        <v>16</v>
      </c>
      <c r="G30" s="56"/>
      <c r="H30" s="56"/>
      <c r="I30" s="56"/>
      <c r="J30" s="56"/>
      <c r="K30" s="56"/>
    </row>
    <row r="31" spans="1:11" x14ac:dyDescent="0.25">
      <c r="A31" s="21" t="s">
        <v>186</v>
      </c>
      <c r="B31" s="22" t="s">
        <v>88</v>
      </c>
      <c r="C31" s="58">
        <v>8.7059371972477066</v>
      </c>
      <c r="D31" s="58">
        <v>-20.647244000000001</v>
      </c>
      <c r="E31" s="58">
        <v>1.9191780000000001</v>
      </c>
      <c r="F31" s="8" t="s">
        <v>17</v>
      </c>
      <c r="G31" s="56"/>
      <c r="H31" s="56"/>
      <c r="I31" s="56"/>
      <c r="J31" s="56"/>
      <c r="K31" s="56"/>
    </row>
    <row r="32" spans="1:11" x14ac:dyDescent="0.25">
      <c r="A32" s="5" t="s">
        <v>140</v>
      </c>
      <c r="B32" s="7" t="s">
        <v>105</v>
      </c>
      <c r="C32" s="59">
        <v>8.2767114816513754</v>
      </c>
      <c r="D32" s="59">
        <v>60.158580999999998</v>
      </c>
      <c r="E32" s="59">
        <v>-4.0698600000000003</v>
      </c>
      <c r="F32" s="6" t="s">
        <v>14</v>
      </c>
      <c r="G32" s="56"/>
      <c r="H32" s="56"/>
      <c r="I32" s="56"/>
      <c r="J32" s="56"/>
      <c r="K32" s="56"/>
    </row>
    <row r="33" spans="1:11" x14ac:dyDescent="0.25">
      <c r="A33" s="21" t="s">
        <v>183</v>
      </c>
      <c r="B33" s="22" t="s">
        <v>108</v>
      </c>
      <c r="C33" s="58">
        <v>7.2548037963302754</v>
      </c>
      <c r="D33" s="58">
        <v>10.092326</v>
      </c>
      <c r="E33" s="58">
        <v>-0.318608</v>
      </c>
      <c r="F33" s="8" t="s">
        <v>17</v>
      </c>
      <c r="G33" s="56"/>
      <c r="H33" s="56"/>
      <c r="I33" s="56"/>
      <c r="J33" s="56"/>
      <c r="K33" s="56"/>
    </row>
    <row r="34" spans="1:11" x14ac:dyDescent="0.25">
      <c r="A34" s="5" t="s">
        <v>182</v>
      </c>
      <c r="B34" s="7" t="s">
        <v>101</v>
      </c>
      <c r="C34" s="59">
        <v>6.7738447907522934</v>
      </c>
      <c r="D34" s="59">
        <v>-9.9094595000000005</v>
      </c>
      <c r="E34" s="59">
        <v>-1.5571159999999999</v>
      </c>
      <c r="F34" s="6" t="s">
        <v>17</v>
      </c>
      <c r="G34" s="56"/>
      <c r="H34" s="56"/>
      <c r="I34" s="56"/>
      <c r="J34" s="56"/>
      <c r="K34" s="56"/>
    </row>
    <row r="35" spans="1:11" x14ac:dyDescent="0.25">
      <c r="A35" s="21" t="s">
        <v>190</v>
      </c>
      <c r="B35" s="22" t="s">
        <v>276</v>
      </c>
      <c r="C35" s="58">
        <v>6.4534787495412855</v>
      </c>
      <c r="D35" s="58">
        <v>-19.817498000000001</v>
      </c>
      <c r="E35" s="58">
        <v>0.42829</v>
      </c>
      <c r="F35" s="8" t="s">
        <v>161</v>
      </c>
      <c r="G35" s="56"/>
      <c r="H35" s="56"/>
      <c r="I35" s="56"/>
      <c r="J35" s="56"/>
      <c r="K35" s="56"/>
    </row>
    <row r="36" spans="1:11" x14ac:dyDescent="0.25">
      <c r="A36" s="5" t="s">
        <v>187</v>
      </c>
      <c r="B36" s="7" t="s">
        <v>89</v>
      </c>
      <c r="C36" s="59">
        <v>5.8854685598532113</v>
      </c>
      <c r="D36" s="59">
        <v>-77.761984223999988</v>
      </c>
      <c r="E36" s="59">
        <v>4.4651649999999998</v>
      </c>
      <c r="F36" s="6" t="s">
        <v>161</v>
      </c>
      <c r="G36" s="56"/>
      <c r="H36" s="56"/>
      <c r="I36" s="56"/>
      <c r="J36" s="56"/>
      <c r="K36" s="56"/>
    </row>
    <row r="37" spans="1:11" x14ac:dyDescent="0.25">
      <c r="A37" s="21" t="s">
        <v>189</v>
      </c>
      <c r="B37" s="22" t="s">
        <v>109</v>
      </c>
      <c r="C37" s="58">
        <v>5.8573176412844035</v>
      </c>
      <c r="D37" s="58">
        <v>21.406372000000001</v>
      </c>
      <c r="E37" s="58">
        <v>0.74225399999999997</v>
      </c>
      <c r="F37" s="8" t="s">
        <v>161</v>
      </c>
      <c r="G37" s="56"/>
      <c r="H37" s="56"/>
      <c r="I37" s="56"/>
      <c r="J37" s="56"/>
      <c r="K37" s="56"/>
    </row>
    <row r="38" spans="1:11" x14ac:dyDescent="0.25">
      <c r="A38" s="5" t="s">
        <v>188</v>
      </c>
      <c r="B38" s="7" t="s">
        <v>91</v>
      </c>
      <c r="C38" s="59">
        <v>4.7646753791284402</v>
      </c>
      <c r="D38" s="59">
        <v>-40.035238499999998</v>
      </c>
      <c r="E38" s="59">
        <v>-1.245997</v>
      </c>
      <c r="F38" s="6" t="s">
        <v>17</v>
      </c>
      <c r="G38" s="56"/>
      <c r="H38" s="56"/>
      <c r="I38" s="56"/>
      <c r="J38" s="56"/>
      <c r="K38" s="56"/>
    </row>
    <row r="39" spans="1:11" x14ac:dyDescent="0.25">
      <c r="A39" s="21" t="s">
        <v>193</v>
      </c>
      <c r="B39" s="22" t="s">
        <v>123</v>
      </c>
      <c r="C39" s="58">
        <v>4.2886448114678899</v>
      </c>
      <c r="D39" s="58">
        <v>1.5620339999999999</v>
      </c>
      <c r="E39" s="58">
        <v>0.37849699999999997</v>
      </c>
      <c r="F39" s="8" t="s">
        <v>161</v>
      </c>
      <c r="G39" s="56"/>
      <c r="H39" s="56"/>
      <c r="I39" s="56"/>
      <c r="J39" s="56"/>
      <c r="K39" s="56"/>
    </row>
    <row r="40" spans="1:11" x14ac:dyDescent="0.25">
      <c r="A40" s="5" t="s">
        <v>207</v>
      </c>
      <c r="B40" s="7" t="s">
        <v>107</v>
      </c>
      <c r="C40" s="59">
        <v>3.9024152177981652</v>
      </c>
      <c r="D40" s="59">
        <v>-38.128746999999997</v>
      </c>
      <c r="E40" s="59">
        <v>-1.9389935</v>
      </c>
      <c r="F40" s="6" t="s">
        <v>11</v>
      </c>
      <c r="G40" s="56"/>
      <c r="H40" s="56"/>
      <c r="I40" s="56"/>
      <c r="J40" s="56"/>
      <c r="K40" s="56"/>
    </row>
    <row r="41" spans="1:11" x14ac:dyDescent="0.25">
      <c r="A41" s="21" t="s">
        <v>191</v>
      </c>
      <c r="B41" s="22" t="s">
        <v>120</v>
      </c>
      <c r="C41" s="58">
        <v>3.8613217660550463</v>
      </c>
      <c r="D41" s="58">
        <v>10.4235785</v>
      </c>
      <c r="E41" s="58">
        <v>5.6509999999999998E-3</v>
      </c>
      <c r="F41" s="8" t="s">
        <v>162</v>
      </c>
      <c r="G41" s="56"/>
      <c r="H41" s="56"/>
      <c r="I41" s="56"/>
      <c r="J41" s="56"/>
      <c r="K41" s="56"/>
    </row>
    <row r="42" spans="1:11" x14ac:dyDescent="0.25">
      <c r="A42" s="5" t="s">
        <v>212</v>
      </c>
      <c r="B42" s="7" t="s">
        <v>128</v>
      </c>
      <c r="C42" s="59">
        <v>3.734078974311926</v>
      </c>
      <c r="D42" s="59">
        <v>17.544833000000001</v>
      </c>
      <c r="E42" s="59">
        <v>-0.40019349999999998</v>
      </c>
      <c r="F42" s="6" t="s">
        <v>162</v>
      </c>
      <c r="G42" s="56"/>
      <c r="H42" s="56"/>
      <c r="I42" s="56"/>
      <c r="J42" s="56"/>
      <c r="K42" s="56"/>
    </row>
    <row r="43" spans="1:11" x14ac:dyDescent="0.25">
      <c r="A43" s="21" t="s">
        <v>194</v>
      </c>
      <c r="B43" s="22" t="s">
        <v>110</v>
      </c>
      <c r="C43" s="58">
        <v>3.4322855238532113</v>
      </c>
      <c r="D43" s="58">
        <v>-19.588158</v>
      </c>
      <c r="E43" s="58">
        <v>-0.33130850000000001</v>
      </c>
      <c r="F43" s="8" t="s">
        <v>161</v>
      </c>
      <c r="G43" s="56"/>
      <c r="H43" s="56"/>
      <c r="I43" s="56"/>
      <c r="J43" s="56"/>
      <c r="K43" s="56"/>
    </row>
    <row r="44" spans="1:11" x14ac:dyDescent="0.25">
      <c r="A44" s="5" t="s">
        <v>195</v>
      </c>
      <c r="B44" s="7" t="s">
        <v>102</v>
      </c>
      <c r="C44" s="59">
        <v>3.3369684198165142</v>
      </c>
      <c r="D44" s="59">
        <v>0.39886900000000014</v>
      </c>
      <c r="E44" s="59">
        <v>-0.63165800000000005</v>
      </c>
      <c r="F44" s="6" t="s">
        <v>17</v>
      </c>
      <c r="G44" s="56"/>
      <c r="H44" s="56"/>
      <c r="I44" s="56"/>
      <c r="J44" s="56"/>
      <c r="K44" s="56"/>
    </row>
    <row r="45" spans="1:11" x14ac:dyDescent="0.25">
      <c r="A45" s="21" t="s">
        <v>192</v>
      </c>
      <c r="B45" s="22" t="s">
        <v>94</v>
      </c>
      <c r="C45" s="58">
        <v>3.1028069174311921</v>
      </c>
      <c r="D45" s="58">
        <v>11.0379515</v>
      </c>
      <c r="E45" s="58">
        <v>0.69347599999999998</v>
      </c>
      <c r="F45" s="8" t="s">
        <v>14</v>
      </c>
      <c r="G45" s="56"/>
      <c r="H45" s="56"/>
      <c r="I45" s="56"/>
      <c r="J45" s="56"/>
      <c r="K45" s="56"/>
    </row>
    <row r="46" spans="1:11" x14ac:dyDescent="0.25">
      <c r="A46" s="5" t="s">
        <v>196</v>
      </c>
      <c r="B46" s="7" t="s">
        <v>115</v>
      </c>
      <c r="C46" s="59">
        <v>2.9796194719266049</v>
      </c>
      <c r="D46" s="59">
        <v>-19.983383</v>
      </c>
      <c r="E46" s="59">
        <v>-4.6305620000000003</v>
      </c>
      <c r="F46" s="6" t="s">
        <v>160</v>
      </c>
      <c r="G46" s="56"/>
      <c r="H46" s="56"/>
      <c r="I46" s="56"/>
      <c r="J46" s="56"/>
      <c r="K46" s="56"/>
    </row>
    <row r="47" spans="1:11" x14ac:dyDescent="0.25">
      <c r="A47" s="21" t="s">
        <v>216</v>
      </c>
      <c r="B47" s="22" t="s">
        <v>130</v>
      </c>
      <c r="C47" s="58">
        <v>2.8626514277064219</v>
      </c>
      <c r="D47" s="58">
        <v>10.3841625</v>
      </c>
      <c r="E47" s="58">
        <v>1.8435055</v>
      </c>
      <c r="F47" s="8" t="s">
        <v>163</v>
      </c>
      <c r="G47" s="56"/>
      <c r="H47" s="56"/>
      <c r="I47" s="56"/>
      <c r="J47" s="56"/>
      <c r="K47" s="56"/>
    </row>
    <row r="48" spans="1:11" x14ac:dyDescent="0.25">
      <c r="A48" s="5" t="s">
        <v>199</v>
      </c>
      <c r="B48" s="7" t="s">
        <v>117</v>
      </c>
      <c r="C48" s="59">
        <v>2.6103564567247699</v>
      </c>
      <c r="D48" s="59">
        <v>-3.2935680000000009</v>
      </c>
      <c r="E48" s="59">
        <v>-0.75512500000000005</v>
      </c>
      <c r="F48" s="6" t="s">
        <v>17</v>
      </c>
      <c r="G48" s="56"/>
      <c r="H48" s="56"/>
      <c r="I48" s="56"/>
      <c r="J48" s="56"/>
      <c r="K48" s="56"/>
    </row>
    <row r="49" spans="1:11" x14ac:dyDescent="0.25">
      <c r="A49" s="21" t="s">
        <v>206</v>
      </c>
      <c r="B49" s="22" t="s">
        <v>103</v>
      </c>
      <c r="C49" s="58">
        <v>2.5622228458715588</v>
      </c>
      <c r="D49" s="58">
        <v>-17.225225999999999</v>
      </c>
      <c r="E49" s="58">
        <v>-0.39304149999999999</v>
      </c>
      <c r="F49" s="8" t="s">
        <v>15</v>
      </c>
      <c r="G49" s="56"/>
      <c r="H49" s="56"/>
      <c r="I49" s="56"/>
      <c r="J49" s="56"/>
      <c r="K49" s="56"/>
    </row>
    <row r="50" spans="1:11" x14ac:dyDescent="0.25">
      <c r="A50" s="5" t="s">
        <v>200</v>
      </c>
      <c r="B50" s="7" t="s">
        <v>106</v>
      </c>
      <c r="C50" s="59">
        <v>2.531526752293578</v>
      </c>
      <c r="D50" s="59">
        <v>-17.363116000000002</v>
      </c>
      <c r="E50" s="59">
        <v>1.186469</v>
      </c>
      <c r="F50" s="6" t="s">
        <v>17</v>
      </c>
      <c r="G50" s="56"/>
      <c r="H50" s="56"/>
      <c r="I50" s="56"/>
      <c r="J50" s="56"/>
      <c r="K50" s="56"/>
    </row>
    <row r="51" spans="1:11" x14ac:dyDescent="0.25">
      <c r="A51" s="21" t="s">
        <v>197</v>
      </c>
      <c r="B51" s="22" t="s">
        <v>95</v>
      </c>
      <c r="C51" s="58">
        <v>2.4651534776146788</v>
      </c>
      <c r="D51" s="58">
        <v>-46.137051</v>
      </c>
      <c r="E51" s="58">
        <v>-2.9677614999999999</v>
      </c>
      <c r="F51" s="8" t="s">
        <v>17</v>
      </c>
      <c r="G51" s="56"/>
      <c r="H51" s="56"/>
      <c r="I51" s="56"/>
      <c r="J51" s="56"/>
      <c r="K51" s="56"/>
    </row>
    <row r="52" spans="1:11" x14ac:dyDescent="0.25">
      <c r="A52" s="5" t="s">
        <v>198</v>
      </c>
      <c r="B52" s="7" t="s">
        <v>104</v>
      </c>
      <c r="C52" s="59">
        <v>2.2334905348623861</v>
      </c>
      <c r="D52" s="59">
        <v>-3.4123153999999998</v>
      </c>
      <c r="E52" s="59">
        <v>-0.29967009999999999</v>
      </c>
      <c r="F52" s="6" t="s">
        <v>162</v>
      </c>
      <c r="G52" s="56"/>
      <c r="H52" s="56"/>
      <c r="I52" s="56"/>
      <c r="J52" s="56"/>
      <c r="K52" s="56"/>
    </row>
    <row r="53" spans="1:11" x14ac:dyDescent="0.25">
      <c r="A53" s="21" t="s">
        <v>205</v>
      </c>
      <c r="B53" s="22" t="s">
        <v>57</v>
      </c>
      <c r="C53" s="58">
        <v>2.218175534910459</v>
      </c>
      <c r="D53" s="58">
        <v>-9.1531220409999996</v>
      </c>
      <c r="E53" s="58">
        <v>0.62905768870000001</v>
      </c>
      <c r="F53" s="8" t="s">
        <v>11</v>
      </c>
      <c r="G53" s="56"/>
      <c r="H53" s="56"/>
      <c r="I53" s="56"/>
      <c r="J53" s="56"/>
      <c r="K53" s="56"/>
    </row>
    <row r="54" spans="1:11" x14ac:dyDescent="0.25">
      <c r="A54" s="5" t="s">
        <v>208</v>
      </c>
      <c r="B54" s="7" t="s">
        <v>118</v>
      </c>
      <c r="C54" s="59">
        <v>2.2164750604493579</v>
      </c>
      <c r="D54" s="59">
        <v>3.9812539828000024</v>
      </c>
      <c r="E54" s="59">
        <v>-1.39909294175</v>
      </c>
      <c r="F54" s="6" t="s">
        <v>17</v>
      </c>
      <c r="G54" s="56"/>
      <c r="H54" s="56"/>
      <c r="I54" s="56"/>
      <c r="J54" s="56"/>
      <c r="K54" s="56"/>
    </row>
    <row r="55" spans="1:11" x14ac:dyDescent="0.25">
      <c r="A55" s="21" t="s">
        <v>225</v>
      </c>
      <c r="B55" s="22" t="s">
        <v>96</v>
      </c>
      <c r="C55" s="58">
        <v>2.1731634880733943</v>
      </c>
      <c r="D55" s="58">
        <v>3.7305774999999999</v>
      </c>
      <c r="E55" s="58">
        <v>0.86155599999999999</v>
      </c>
      <c r="F55" s="8" t="s">
        <v>11</v>
      </c>
      <c r="G55" s="56"/>
      <c r="H55" s="56"/>
      <c r="I55" s="56"/>
      <c r="J55" s="56"/>
      <c r="K55" s="56"/>
    </row>
    <row r="56" spans="1:11" x14ac:dyDescent="0.25">
      <c r="A56" s="5" t="s">
        <v>204</v>
      </c>
      <c r="B56" s="7" t="s">
        <v>121</v>
      </c>
      <c r="C56" s="59">
        <v>2.1560666633027523</v>
      </c>
      <c r="D56" s="59">
        <v>-20.270506999999998</v>
      </c>
      <c r="E56" s="59">
        <v>0.38247999999999999</v>
      </c>
      <c r="F56" s="6" t="s">
        <v>17</v>
      </c>
      <c r="G56" s="56"/>
      <c r="H56" s="56"/>
      <c r="I56" s="56"/>
      <c r="J56" s="56"/>
      <c r="K56" s="56"/>
    </row>
    <row r="57" spans="1:11" x14ac:dyDescent="0.25">
      <c r="A57" s="21" t="s">
        <v>209</v>
      </c>
      <c r="B57" s="22" t="s">
        <v>90</v>
      </c>
      <c r="C57" s="58">
        <v>2.1079944431192659</v>
      </c>
      <c r="D57" s="58">
        <v>-26.440905999999998</v>
      </c>
      <c r="E57" s="58">
        <v>1.520038</v>
      </c>
      <c r="F57" s="8" t="s">
        <v>11</v>
      </c>
      <c r="G57" s="56"/>
      <c r="H57" s="56"/>
      <c r="I57" s="56"/>
      <c r="J57" s="56"/>
      <c r="K57" s="56"/>
    </row>
    <row r="58" spans="1:11" x14ac:dyDescent="0.25">
      <c r="A58" s="5" t="s">
        <v>258</v>
      </c>
      <c r="B58" s="7" t="s">
        <v>259</v>
      </c>
      <c r="C58" s="59">
        <v>1.977884509174312</v>
      </c>
      <c r="D58" s="59">
        <v>23.87105</v>
      </c>
      <c r="E58" s="59">
        <v>10.850182999999999</v>
      </c>
      <c r="F58" s="6" t="s">
        <v>13</v>
      </c>
      <c r="G58" s="56"/>
      <c r="H58" s="56"/>
      <c r="I58" s="56"/>
      <c r="J58" s="56"/>
      <c r="K58" s="56"/>
    </row>
    <row r="59" spans="1:11" x14ac:dyDescent="0.25">
      <c r="A59" s="21" t="s">
        <v>214</v>
      </c>
      <c r="B59" s="22" t="s">
        <v>112</v>
      </c>
      <c r="C59" s="58">
        <v>1.9017107825688071</v>
      </c>
      <c r="D59" s="58">
        <v>3.3711980000000001</v>
      </c>
      <c r="E59" s="58">
        <v>-0.52182300000000004</v>
      </c>
      <c r="F59" s="8" t="s">
        <v>11</v>
      </c>
      <c r="G59" s="56"/>
      <c r="H59" s="56"/>
      <c r="I59" s="56"/>
      <c r="J59" s="56"/>
      <c r="K59" s="56"/>
    </row>
    <row r="60" spans="1:11" x14ac:dyDescent="0.25">
      <c r="A60" s="5" t="s">
        <v>202</v>
      </c>
      <c r="B60" s="7" t="s">
        <v>119</v>
      </c>
      <c r="C60" s="59">
        <v>1.80328150146789</v>
      </c>
      <c r="D60" s="59">
        <v>-12.909214</v>
      </c>
      <c r="E60" s="59">
        <v>-0.42715249999999999</v>
      </c>
      <c r="F60" s="6" t="s">
        <v>17</v>
      </c>
      <c r="G60" s="56"/>
      <c r="H60" s="56"/>
      <c r="I60" s="56"/>
      <c r="J60" s="56"/>
      <c r="K60" s="56"/>
    </row>
    <row r="61" spans="1:11" x14ac:dyDescent="0.25">
      <c r="A61" s="21" t="s">
        <v>211</v>
      </c>
      <c r="B61" s="22" t="s">
        <v>111</v>
      </c>
      <c r="C61" s="58">
        <v>1.794479908256881</v>
      </c>
      <c r="D61" s="58">
        <v>5.5361050000000001</v>
      </c>
      <c r="E61" s="58">
        <v>0.239454</v>
      </c>
      <c r="F61" s="8" t="s">
        <v>13</v>
      </c>
      <c r="G61" s="56"/>
      <c r="H61" s="56"/>
      <c r="I61" s="56"/>
      <c r="J61" s="56"/>
      <c r="K61" s="56"/>
    </row>
    <row r="62" spans="1:11" x14ac:dyDescent="0.25">
      <c r="A62" s="5" t="s">
        <v>201</v>
      </c>
      <c r="B62" s="7" t="s">
        <v>150</v>
      </c>
      <c r="C62" s="59">
        <v>1.616337344036697</v>
      </c>
      <c r="D62" s="59">
        <v>0.14669539999999959</v>
      </c>
      <c r="E62" s="59">
        <v>0.65530820000000001</v>
      </c>
      <c r="F62" s="6" t="s">
        <v>14</v>
      </c>
      <c r="G62" s="56"/>
      <c r="H62" s="56"/>
      <c r="I62" s="56"/>
      <c r="J62" s="56"/>
      <c r="K62" s="56"/>
    </row>
    <row r="63" spans="1:11" x14ac:dyDescent="0.25">
      <c r="A63" s="21" t="s">
        <v>203</v>
      </c>
      <c r="B63" s="22" t="s">
        <v>116</v>
      </c>
      <c r="C63" s="58">
        <v>1.5445231690873389</v>
      </c>
      <c r="D63" s="58">
        <v>-5.1802567967700002</v>
      </c>
      <c r="E63" s="58">
        <v>-0.87504995569999988</v>
      </c>
      <c r="F63" s="8" t="s">
        <v>10</v>
      </c>
      <c r="G63" s="56"/>
      <c r="H63" s="56"/>
      <c r="I63" s="56"/>
      <c r="J63" s="56"/>
      <c r="K63" s="56"/>
    </row>
    <row r="64" spans="1:11" x14ac:dyDescent="0.25">
      <c r="A64" s="5" t="s">
        <v>224</v>
      </c>
      <c r="B64" s="7" t="s">
        <v>113</v>
      </c>
      <c r="C64" s="59">
        <v>1.4767858733944952</v>
      </c>
      <c r="D64" s="59">
        <v>-35.010641</v>
      </c>
      <c r="E64" s="59">
        <v>-2.4746250000000001</v>
      </c>
      <c r="F64" s="6" t="s">
        <v>163</v>
      </c>
      <c r="G64" s="56"/>
      <c r="H64" s="56"/>
      <c r="I64" s="56"/>
      <c r="J64" s="56"/>
      <c r="K64" s="56"/>
    </row>
    <row r="65" spans="1:11" x14ac:dyDescent="0.25">
      <c r="A65" s="21" t="s">
        <v>227</v>
      </c>
      <c r="B65" s="22" t="s">
        <v>134</v>
      </c>
      <c r="C65" s="58">
        <v>1.434915940366972</v>
      </c>
      <c r="D65" s="58">
        <v>6.8885965000000002</v>
      </c>
      <c r="E65" s="58">
        <v>3.8131265000000001</v>
      </c>
      <c r="F65" s="8" t="s">
        <v>14</v>
      </c>
      <c r="G65" s="56"/>
      <c r="H65" s="56"/>
      <c r="I65" s="56"/>
      <c r="J65" s="56"/>
      <c r="K65" s="56"/>
    </row>
    <row r="66" spans="1:11" x14ac:dyDescent="0.25">
      <c r="A66" s="5" t="s">
        <v>210</v>
      </c>
      <c r="B66" s="7" t="s">
        <v>144</v>
      </c>
      <c r="C66" s="59">
        <v>1.3993774110091741</v>
      </c>
      <c r="D66" s="59">
        <v>-0.8103321</v>
      </c>
      <c r="E66" s="59">
        <v>3.8011900000000008E-2</v>
      </c>
      <c r="F66" s="6" t="s">
        <v>163</v>
      </c>
      <c r="G66" s="56"/>
      <c r="H66" s="56"/>
      <c r="I66" s="56"/>
      <c r="J66" s="56"/>
      <c r="K66" s="56"/>
    </row>
    <row r="67" spans="1:11" x14ac:dyDescent="0.25">
      <c r="A67" s="21" t="s">
        <v>215</v>
      </c>
      <c r="B67" s="22" t="s">
        <v>129</v>
      </c>
      <c r="C67" s="58">
        <v>1.3977037110091739</v>
      </c>
      <c r="D67" s="58">
        <v>14.749086999999999</v>
      </c>
      <c r="E67" s="58">
        <v>-0.408466</v>
      </c>
      <c r="F67" s="8" t="s">
        <v>160</v>
      </c>
      <c r="G67" s="56"/>
      <c r="H67" s="56"/>
      <c r="I67" s="56"/>
      <c r="J67" s="56"/>
      <c r="K67" s="56"/>
    </row>
    <row r="68" spans="1:11" x14ac:dyDescent="0.25">
      <c r="A68" s="5" t="s">
        <v>241</v>
      </c>
      <c r="B68" s="7" t="s">
        <v>114</v>
      </c>
      <c r="C68" s="59">
        <v>1.3765461284403671</v>
      </c>
      <c r="D68" s="59">
        <v>5.7251089999999998</v>
      </c>
      <c r="E68" s="59">
        <v>-1.4491240000000001</v>
      </c>
      <c r="F68" s="6" t="s">
        <v>10</v>
      </c>
      <c r="G68" s="56"/>
      <c r="H68" s="56"/>
      <c r="I68" s="56"/>
      <c r="J68" s="56"/>
      <c r="K68" s="56"/>
    </row>
    <row r="69" spans="1:11" x14ac:dyDescent="0.25">
      <c r="A69" s="21" t="s">
        <v>222</v>
      </c>
      <c r="B69" s="22" t="s">
        <v>93</v>
      </c>
      <c r="C69" s="58">
        <v>1.216191637712019</v>
      </c>
      <c r="D69" s="58">
        <v>-15.51906508359</v>
      </c>
      <c r="E69" s="58">
        <v>-0.18191486765000001</v>
      </c>
      <c r="F69" s="8" t="s">
        <v>17</v>
      </c>
      <c r="G69" s="56"/>
      <c r="H69" s="56"/>
      <c r="I69" s="56"/>
      <c r="J69" s="56"/>
      <c r="K69" s="56"/>
    </row>
    <row r="70" spans="1:11" x14ac:dyDescent="0.25">
      <c r="A70" s="5" t="s">
        <v>220</v>
      </c>
      <c r="B70" s="7" t="s">
        <v>127</v>
      </c>
      <c r="C70" s="59">
        <v>1.153919629357798</v>
      </c>
      <c r="D70" s="59">
        <v>-1.6319360000000001</v>
      </c>
      <c r="E70" s="59">
        <v>-0.59643400000000002</v>
      </c>
      <c r="F70" s="6" t="s">
        <v>17</v>
      </c>
      <c r="G70" s="56"/>
      <c r="H70" s="56"/>
      <c r="I70" s="56"/>
      <c r="J70" s="56"/>
      <c r="K70" s="56"/>
    </row>
    <row r="71" spans="1:11" x14ac:dyDescent="0.25">
      <c r="A71" s="21" t="s">
        <v>218</v>
      </c>
      <c r="B71" s="22" t="s">
        <v>151</v>
      </c>
      <c r="C71" s="58">
        <v>1.153826853211009</v>
      </c>
      <c r="D71" s="58">
        <v>-0.91319950000000005</v>
      </c>
      <c r="E71" s="58">
        <v>-3.30557E-2</v>
      </c>
      <c r="F71" s="8" t="s">
        <v>14</v>
      </c>
      <c r="G71" s="56"/>
      <c r="H71" s="56"/>
      <c r="I71" s="56"/>
      <c r="J71" s="56"/>
      <c r="K71" s="56"/>
    </row>
    <row r="72" spans="1:11" x14ac:dyDescent="0.25">
      <c r="A72" s="5" t="s">
        <v>213</v>
      </c>
      <c r="B72" s="7" t="s">
        <v>137</v>
      </c>
      <c r="C72" s="59">
        <v>1.081686593577982</v>
      </c>
      <c r="D72" s="59">
        <v>2.224891</v>
      </c>
      <c r="E72" s="59">
        <v>-4.6633000000000029E-2</v>
      </c>
      <c r="F72" s="6" t="s">
        <v>11</v>
      </c>
      <c r="G72" s="56"/>
      <c r="H72" s="56"/>
      <c r="I72" s="56"/>
      <c r="J72" s="56"/>
      <c r="K72" s="56"/>
    </row>
    <row r="73" spans="1:11" x14ac:dyDescent="0.25">
      <c r="A73" s="21" t="s">
        <v>217</v>
      </c>
      <c r="B73" s="22" t="s">
        <v>133</v>
      </c>
      <c r="C73" s="58">
        <v>1.0730468082568811</v>
      </c>
      <c r="D73" s="58">
        <v>-5.0716919999999996</v>
      </c>
      <c r="E73" s="58">
        <v>0.76524199999999998</v>
      </c>
      <c r="F73" s="8" t="s">
        <v>16</v>
      </c>
      <c r="G73" s="56"/>
      <c r="H73" s="56"/>
      <c r="I73" s="56"/>
      <c r="J73" s="56"/>
      <c r="K73" s="56"/>
    </row>
    <row r="74" spans="1:11" x14ac:dyDescent="0.25">
      <c r="A74" s="5" t="s">
        <v>234</v>
      </c>
      <c r="B74" s="7" t="s">
        <v>146</v>
      </c>
      <c r="C74" s="59">
        <v>0.95450995779816517</v>
      </c>
      <c r="D74" s="59">
        <v>6.5819985000000001</v>
      </c>
      <c r="E74" s="59">
        <v>0.19258</v>
      </c>
      <c r="F74" s="6" t="s">
        <v>161</v>
      </c>
      <c r="G74" s="56"/>
      <c r="H74" s="56"/>
      <c r="I74" s="56"/>
      <c r="J74" s="56"/>
      <c r="K74" s="56"/>
    </row>
    <row r="75" spans="1:11" x14ac:dyDescent="0.25">
      <c r="A75" s="21" t="s">
        <v>240</v>
      </c>
      <c r="B75" s="22" t="s">
        <v>153</v>
      </c>
      <c r="C75" s="58">
        <v>0.95223702844036695</v>
      </c>
      <c r="D75" s="58">
        <v>1.2256281</v>
      </c>
      <c r="E75" s="58">
        <v>0.43342640000000004</v>
      </c>
      <c r="F75" s="8" t="s">
        <v>14</v>
      </c>
      <c r="G75" s="56"/>
      <c r="H75" s="56"/>
      <c r="I75" s="56"/>
      <c r="J75" s="56"/>
      <c r="K75" s="56"/>
    </row>
    <row r="76" spans="1:11" x14ac:dyDescent="0.25">
      <c r="A76" s="5" t="s">
        <v>223</v>
      </c>
      <c r="B76" s="7" t="s">
        <v>139</v>
      </c>
      <c r="C76" s="59">
        <v>0.95006910403748623</v>
      </c>
      <c r="D76" s="59">
        <v>-3.9523126609999997</v>
      </c>
      <c r="E76" s="59">
        <v>-0.36113091159999999</v>
      </c>
      <c r="F76" s="6" t="s">
        <v>17</v>
      </c>
      <c r="G76" s="56"/>
      <c r="H76" s="56"/>
      <c r="I76" s="56"/>
      <c r="J76" s="56"/>
      <c r="K76" s="56"/>
    </row>
    <row r="77" spans="1:11" x14ac:dyDescent="0.25">
      <c r="A77" s="21" t="s">
        <v>230</v>
      </c>
      <c r="B77" s="22" t="s">
        <v>131</v>
      </c>
      <c r="C77" s="58">
        <v>0.94590288501293585</v>
      </c>
      <c r="D77" s="58">
        <v>-2.81500106886</v>
      </c>
      <c r="E77" s="58">
        <v>-0.22547249171</v>
      </c>
      <c r="F77" s="8" t="s">
        <v>17</v>
      </c>
      <c r="G77" s="56"/>
      <c r="H77" s="56"/>
      <c r="I77" s="56"/>
      <c r="J77" s="56"/>
      <c r="K77" s="56"/>
    </row>
    <row r="78" spans="1:11" x14ac:dyDescent="0.25">
      <c r="A78" s="5" t="s">
        <v>226</v>
      </c>
      <c r="B78" s="7" t="s">
        <v>125</v>
      </c>
      <c r="C78" s="59">
        <v>0.93261225688073401</v>
      </c>
      <c r="D78" s="59">
        <v>4.3999885000000001</v>
      </c>
      <c r="E78" s="59">
        <v>-8.6646000000000001E-2</v>
      </c>
      <c r="F78" s="6" t="s">
        <v>163</v>
      </c>
      <c r="G78" s="56"/>
      <c r="H78" s="56"/>
      <c r="I78" s="56"/>
      <c r="J78" s="56"/>
      <c r="K78" s="56"/>
    </row>
    <row r="79" spans="1:11" x14ac:dyDescent="0.25">
      <c r="A79" s="21" t="s">
        <v>219</v>
      </c>
      <c r="B79" s="22" t="s">
        <v>92</v>
      </c>
      <c r="C79" s="58">
        <v>0.93141842424256882</v>
      </c>
      <c r="D79" s="58">
        <v>-6.3558504431899987</v>
      </c>
      <c r="E79" s="58">
        <v>0.10716356235999999</v>
      </c>
      <c r="F79" s="8" t="s">
        <v>14</v>
      </c>
      <c r="G79" s="56"/>
      <c r="H79" s="56"/>
      <c r="I79" s="56"/>
      <c r="J79" s="56"/>
      <c r="K79" s="56"/>
    </row>
    <row r="80" spans="1:11" x14ac:dyDescent="0.25">
      <c r="A80" s="5" t="s">
        <v>238</v>
      </c>
      <c r="B80" s="7" t="s">
        <v>158</v>
      </c>
      <c r="C80" s="59">
        <v>0.91055622844036699</v>
      </c>
      <c r="D80" s="59">
        <v>7.1020054999999997</v>
      </c>
      <c r="E80" s="59">
        <v>0.17629539999999999</v>
      </c>
      <c r="F80" s="6" t="s">
        <v>14</v>
      </c>
      <c r="G80" s="56"/>
      <c r="H80" s="56"/>
      <c r="I80" s="56"/>
      <c r="J80" s="56"/>
      <c r="K80" s="56"/>
    </row>
    <row r="81" spans="1:11" x14ac:dyDescent="0.25">
      <c r="A81" s="21" t="s">
        <v>221</v>
      </c>
      <c r="B81" s="22" t="s">
        <v>135</v>
      </c>
      <c r="C81" s="58">
        <v>0.85408136697247705</v>
      </c>
      <c r="D81" s="58">
        <v>-7.5484315000000004</v>
      </c>
      <c r="E81" s="58">
        <v>-0.284609</v>
      </c>
      <c r="F81" s="8" t="s">
        <v>17</v>
      </c>
      <c r="G81" s="56"/>
      <c r="H81" s="56"/>
      <c r="I81" s="56"/>
      <c r="J81" s="56"/>
      <c r="K81" s="56"/>
    </row>
    <row r="82" spans="1:11" x14ac:dyDescent="0.25">
      <c r="A82" s="5" t="s">
        <v>239</v>
      </c>
      <c r="B82" s="7" t="s">
        <v>148</v>
      </c>
      <c r="C82" s="59">
        <v>0.83015337454128435</v>
      </c>
      <c r="D82" s="59">
        <v>-9.1947484999999993</v>
      </c>
      <c r="E82" s="59">
        <v>0.1065405</v>
      </c>
      <c r="F82" s="6" t="s">
        <v>161</v>
      </c>
      <c r="G82" s="56"/>
      <c r="H82" s="56"/>
      <c r="I82" s="56"/>
      <c r="J82" s="56"/>
      <c r="K82" s="56"/>
    </row>
    <row r="83" spans="1:11" x14ac:dyDescent="0.25">
      <c r="A83" s="21" t="s">
        <v>246</v>
      </c>
      <c r="B83" s="22" t="s">
        <v>152</v>
      </c>
      <c r="C83" s="58">
        <v>0.7395539685688074</v>
      </c>
      <c r="D83" s="58">
        <v>-5.1369005999999997</v>
      </c>
      <c r="E83" s="58">
        <v>-1.127203</v>
      </c>
      <c r="F83" s="8" t="s">
        <v>16</v>
      </c>
      <c r="G83" s="56"/>
      <c r="H83" s="56"/>
      <c r="I83" s="56"/>
      <c r="J83" s="56"/>
      <c r="K83" s="56"/>
    </row>
    <row r="84" spans="1:11" x14ac:dyDescent="0.25">
      <c r="A84" s="5" t="s">
        <v>231</v>
      </c>
      <c r="B84" s="7" t="s">
        <v>136</v>
      </c>
      <c r="C84" s="59">
        <v>0.69876823486238526</v>
      </c>
      <c r="D84" s="59">
        <v>-4.7103374999999996</v>
      </c>
      <c r="E84" s="59">
        <v>0.2686905</v>
      </c>
      <c r="F84" s="6" t="s">
        <v>17</v>
      </c>
      <c r="G84" s="56"/>
      <c r="H84" s="56"/>
      <c r="I84" s="56"/>
      <c r="J84" s="56"/>
      <c r="K84" s="56"/>
    </row>
    <row r="85" spans="1:11" x14ac:dyDescent="0.25">
      <c r="A85" s="21" t="s">
        <v>233</v>
      </c>
      <c r="B85" s="22" t="s">
        <v>86</v>
      </c>
      <c r="C85" s="58">
        <v>0.6930414587155963</v>
      </c>
      <c r="D85" s="58">
        <v>-1.5868500000000001</v>
      </c>
      <c r="E85" s="58">
        <v>1.9743120000000001</v>
      </c>
      <c r="F85" s="8" t="s">
        <v>11</v>
      </c>
      <c r="G85" s="56"/>
      <c r="H85" s="56"/>
      <c r="I85" s="56"/>
      <c r="J85" s="56"/>
      <c r="K85" s="56"/>
    </row>
    <row r="86" spans="1:11" x14ac:dyDescent="0.25">
      <c r="A86" s="5" t="s">
        <v>232</v>
      </c>
      <c r="B86" s="7" t="s">
        <v>126</v>
      </c>
      <c r="C86" s="59">
        <v>0.67365216880733947</v>
      </c>
      <c r="D86" s="59">
        <v>2.8396140000000001</v>
      </c>
      <c r="E86" s="59">
        <v>1.3624959999999999</v>
      </c>
      <c r="F86" s="6" t="s">
        <v>17</v>
      </c>
      <c r="G86" s="56"/>
      <c r="H86" s="56"/>
      <c r="I86" s="56"/>
      <c r="J86" s="56"/>
      <c r="K86" s="56"/>
    </row>
    <row r="87" spans="1:11" x14ac:dyDescent="0.25">
      <c r="A87" s="21" t="s">
        <v>242</v>
      </c>
      <c r="B87" s="22" t="s">
        <v>156</v>
      </c>
      <c r="C87" s="58">
        <v>0.65379073944954125</v>
      </c>
      <c r="D87" s="58">
        <v>-11.934932999999999</v>
      </c>
      <c r="E87" s="58">
        <v>-0.92113900000000004</v>
      </c>
      <c r="F87" s="8" t="s">
        <v>163</v>
      </c>
      <c r="G87" s="56"/>
      <c r="H87" s="56"/>
      <c r="I87" s="56"/>
      <c r="J87" s="56"/>
      <c r="K87" s="56"/>
    </row>
    <row r="88" spans="1:11" x14ac:dyDescent="0.25">
      <c r="A88" s="5" t="s">
        <v>245</v>
      </c>
      <c r="B88" s="7" t="s">
        <v>138</v>
      </c>
      <c r="C88" s="59">
        <v>0.63287517614678901</v>
      </c>
      <c r="D88" s="59">
        <v>-5.4224775000000003</v>
      </c>
      <c r="E88" s="59">
        <v>0.115026</v>
      </c>
      <c r="F88" s="6" t="s">
        <v>11</v>
      </c>
      <c r="G88" s="56"/>
      <c r="H88" s="56"/>
      <c r="I88" s="56"/>
      <c r="J88" s="56"/>
      <c r="K88" s="56"/>
    </row>
    <row r="89" spans="1:11" x14ac:dyDescent="0.25">
      <c r="A89" s="21" t="s">
        <v>236</v>
      </c>
      <c r="B89" s="22" t="s">
        <v>122</v>
      </c>
      <c r="C89" s="58">
        <v>0.63027216697247712</v>
      </c>
      <c r="D89" s="58">
        <v>-1.6028745</v>
      </c>
      <c r="E89" s="58">
        <v>-0.2397947</v>
      </c>
      <c r="F89" s="8" t="s">
        <v>162</v>
      </c>
      <c r="G89" s="56"/>
      <c r="H89" s="56"/>
      <c r="I89" s="56"/>
      <c r="J89" s="56"/>
      <c r="K89" s="56"/>
    </row>
    <row r="90" spans="1:11" x14ac:dyDescent="0.25">
      <c r="A90" s="5" t="s">
        <v>254</v>
      </c>
      <c r="B90" s="7" t="s">
        <v>255</v>
      </c>
      <c r="C90" s="59">
        <v>0.60567384220183473</v>
      </c>
      <c r="D90" s="59">
        <v>5.9334636999999999</v>
      </c>
      <c r="E90" s="59">
        <v>0.23444599999999999</v>
      </c>
      <c r="F90" s="6" t="s">
        <v>162</v>
      </c>
      <c r="G90" s="56"/>
      <c r="H90" s="56"/>
      <c r="I90" s="56"/>
      <c r="J90" s="56"/>
      <c r="K90" s="56"/>
    </row>
    <row r="91" spans="1:11" x14ac:dyDescent="0.25">
      <c r="A91" s="21" t="s">
        <v>229</v>
      </c>
      <c r="B91" s="22" t="s">
        <v>145</v>
      </c>
      <c r="C91" s="58">
        <v>0.57561934587155972</v>
      </c>
      <c r="D91" s="58">
        <v>-0.68861200000000022</v>
      </c>
      <c r="E91" s="58">
        <v>-0.1200495</v>
      </c>
      <c r="F91" s="8" t="s">
        <v>17</v>
      </c>
      <c r="G91" s="56"/>
      <c r="H91" s="56"/>
      <c r="I91" s="56"/>
      <c r="J91" s="56"/>
      <c r="K91" s="56"/>
    </row>
    <row r="92" spans="1:11" x14ac:dyDescent="0.25">
      <c r="A92" s="5" t="s">
        <v>250</v>
      </c>
      <c r="B92" s="7" t="s">
        <v>251</v>
      </c>
      <c r="C92" s="59">
        <v>0.5510716933027523</v>
      </c>
      <c r="D92" s="59">
        <v>-16.899954000000001</v>
      </c>
      <c r="E92" s="59">
        <v>-0.20584</v>
      </c>
      <c r="F92" s="6" t="s">
        <v>15</v>
      </c>
      <c r="G92" s="56"/>
      <c r="H92" s="56"/>
      <c r="I92" s="56"/>
      <c r="J92" s="56"/>
      <c r="K92" s="56"/>
    </row>
    <row r="93" spans="1:11" x14ac:dyDescent="0.25">
      <c r="A93" s="21" t="s">
        <v>237</v>
      </c>
      <c r="B93" s="22" t="s">
        <v>154</v>
      </c>
      <c r="C93" s="58">
        <v>0.53522119082568809</v>
      </c>
      <c r="D93" s="58">
        <v>-1.4310535</v>
      </c>
      <c r="E93" s="58">
        <v>8.3671999999999996E-2</v>
      </c>
      <c r="F93" s="8" t="s">
        <v>14</v>
      </c>
      <c r="G93" s="56"/>
      <c r="H93" s="56"/>
      <c r="I93" s="56"/>
      <c r="J93" s="56"/>
      <c r="K93" s="56"/>
    </row>
    <row r="94" spans="1:11" x14ac:dyDescent="0.25">
      <c r="A94" s="5" t="s">
        <v>247</v>
      </c>
      <c r="B94" s="7" t="s">
        <v>157</v>
      </c>
      <c r="C94" s="59">
        <v>0.49776781743119275</v>
      </c>
      <c r="D94" s="59">
        <v>0.90040200000000015</v>
      </c>
      <c r="E94" s="59">
        <v>0.28387400000000002</v>
      </c>
      <c r="F94" s="6" t="s">
        <v>14</v>
      </c>
      <c r="G94" s="56"/>
      <c r="H94" s="56"/>
      <c r="I94" s="56"/>
      <c r="J94" s="56"/>
      <c r="K94" s="56"/>
    </row>
    <row r="95" spans="1:11" x14ac:dyDescent="0.25">
      <c r="A95" s="21" t="s">
        <v>228</v>
      </c>
      <c r="B95" s="22" t="s">
        <v>124</v>
      </c>
      <c r="C95" s="58">
        <v>0.48895892294412852</v>
      </c>
      <c r="D95" s="58">
        <v>0.54593306107000028</v>
      </c>
      <c r="E95" s="58">
        <v>-1.9778005679999999E-2</v>
      </c>
      <c r="F95" s="8" t="s">
        <v>17</v>
      </c>
      <c r="G95" s="56"/>
      <c r="H95" s="56"/>
      <c r="I95" s="56"/>
      <c r="J95" s="56"/>
      <c r="K95" s="56"/>
    </row>
    <row r="96" spans="1:11" x14ac:dyDescent="0.25">
      <c r="A96" s="5" t="s">
        <v>243</v>
      </c>
      <c r="B96" s="7" t="s">
        <v>159</v>
      </c>
      <c r="C96" s="59">
        <v>0.43985661926605513</v>
      </c>
      <c r="D96" s="59">
        <v>-5.7022079999999997</v>
      </c>
      <c r="E96" s="59">
        <v>-0.35051900000000002</v>
      </c>
      <c r="F96" s="6" t="s">
        <v>10</v>
      </c>
      <c r="G96" s="56"/>
      <c r="H96" s="56"/>
      <c r="I96" s="56"/>
      <c r="J96" s="56"/>
      <c r="K96" s="56"/>
    </row>
    <row r="97" spans="1:11" x14ac:dyDescent="0.25">
      <c r="A97" s="21" t="s">
        <v>256</v>
      </c>
      <c r="B97" s="22" t="s">
        <v>257</v>
      </c>
      <c r="C97" s="58">
        <v>0.41960098899082571</v>
      </c>
      <c r="D97" s="58">
        <v>5.887861</v>
      </c>
      <c r="E97" s="58">
        <v>-0.35663700000000009</v>
      </c>
      <c r="F97" s="8" t="s">
        <v>11</v>
      </c>
      <c r="G97" s="56"/>
      <c r="H97" s="56"/>
      <c r="I97" s="56"/>
      <c r="J97" s="56"/>
      <c r="K97" s="56"/>
    </row>
    <row r="98" spans="1:11" x14ac:dyDescent="0.25">
      <c r="A98" s="5" t="s">
        <v>235</v>
      </c>
      <c r="B98" s="7" t="s">
        <v>155</v>
      </c>
      <c r="C98" s="59">
        <v>0.41586585049541291</v>
      </c>
      <c r="D98" s="59">
        <v>7.7049512594000005</v>
      </c>
      <c r="E98" s="59">
        <v>0.18323840990000001</v>
      </c>
      <c r="F98" s="6" t="s">
        <v>163</v>
      </c>
      <c r="G98" s="56"/>
      <c r="H98" s="56"/>
      <c r="I98" s="56"/>
      <c r="J98" s="56"/>
      <c r="K98" s="56"/>
    </row>
    <row r="99" spans="1:11" x14ac:dyDescent="0.25">
      <c r="A99" s="21" t="s">
        <v>244</v>
      </c>
      <c r="B99" s="22" t="s">
        <v>132</v>
      </c>
      <c r="C99" s="58">
        <v>0.37694256880733951</v>
      </c>
      <c r="D99" s="58">
        <v>-2.1144189999999998</v>
      </c>
      <c r="E99" s="58">
        <v>-0.3032685</v>
      </c>
      <c r="F99" s="8" t="s">
        <v>17</v>
      </c>
      <c r="G99" s="56"/>
      <c r="H99" s="56"/>
      <c r="I99" s="56"/>
      <c r="J99" s="56"/>
      <c r="K99" s="56"/>
    </row>
    <row r="100" spans="1:11" x14ac:dyDescent="0.25">
      <c r="A100" s="5" t="s">
        <v>262</v>
      </c>
      <c r="B100" s="7" t="s">
        <v>263</v>
      </c>
      <c r="C100" s="59">
        <v>0.3616760788990826</v>
      </c>
      <c r="D100" s="59">
        <v>0.7354927</v>
      </c>
      <c r="E100" s="59">
        <v>8.8167499999999996E-2</v>
      </c>
      <c r="F100" s="6" t="s">
        <v>11</v>
      </c>
      <c r="G100" s="56"/>
      <c r="H100" s="56"/>
      <c r="I100" s="56"/>
      <c r="J100" s="56"/>
      <c r="K100" s="56"/>
    </row>
    <row r="101" spans="1:11" x14ac:dyDescent="0.25">
      <c r="A101" s="79" t="s">
        <v>275</v>
      </c>
      <c r="B101" s="80" t="s">
        <v>277</v>
      </c>
      <c r="C101" s="81">
        <v>0.35534788990825689</v>
      </c>
      <c r="D101" s="81">
        <v>-8.2883999999999999E-2</v>
      </c>
      <c r="E101" s="81">
        <v>0.17761950000000001</v>
      </c>
      <c r="F101" s="9" t="s">
        <v>161</v>
      </c>
      <c r="G101" s="56"/>
      <c r="H101" s="56"/>
      <c r="I101" s="56"/>
      <c r="J101" s="56"/>
      <c r="K101" s="56"/>
    </row>
    <row r="102" spans="1:11" x14ac:dyDescent="0.25">
      <c r="A102" s="48"/>
      <c r="B102" s="10"/>
      <c r="C102" s="10"/>
      <c r="D102" s="10"/>
      <c r="E102" s="10"/>
      <c r="F102" s="49"/>
      <c r="H102" s="42"/>
      <c r="J102" s="43"/>
    </row>
    <row r="105" spans="1:11" x14ac:dyDescent="0.25">
      <c r="A105" s="11" t="s">
        <v>80</v>
      </c>
    </row>
    <row r="106" spans="1:11" x14ac:dyDescent="0.25">
      <c r="A106" s="11" t="s">
        <v>142</v>
      </c>
    </row>
    <row r="107" spans="1:11" x14ac:dyDescent="0.25">
      <c r="A107" s="11" t="s">
        <v>141</v>
      </c>
    </row>
    <row r="108" spans="1:11" x14ac:dyDescent="0.25">
      <c r="A108" s="11" t="s">
        <v>147</v>
      </c>
    </row>
    <row r="109" spans="1:11" x14ac:dyDescent="0.25">
      <c r="A109" s="11" t="s">
        <v>73</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3 B35 B66 B8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Skylar Sim</cp:lastModifiedBy>
  <cp:lastPrinted>2021-05-10T01:23:04Z</cp:lastPrinted>
  <dcterms:created xsi:type="dcterms:W3CDTF">2020-01-13T01:31:10Z</dcterms:created>
  <dcterms:modified xsi:type="dcterms:W3CDTF">2024-06-10T06:20:57Z</dcterms:modified>
</cp:coreProperties>
</file>