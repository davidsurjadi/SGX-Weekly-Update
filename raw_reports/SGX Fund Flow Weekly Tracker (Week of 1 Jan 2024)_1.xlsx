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F3D220FA-F1E6-4C92-AEB6-9AC1A0F02FCB}"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4" i="3"/>
  <c r="A3" i="3"/>
  <c r="A5" i="2"/>
  <c r="A4" i="2"/>
  <c r="A3" i="2"/>
  <c r="A6" i="2" l="1"/>
  <c r="A6" i="3" l="1"/>
  <c r="A1" i="5" l="1"/>
  <c r="C32" i="4" l="1"/>
  <c r="D32" i="4"/>
  <c r="A1" i="4" l="1"/>
  <c r="C18" i="1" l="1"/>
  <c r="F18" i="1" s="1"/>
  <c r="F5" i="1"/>
</calcChain>
</file>

<file path=xl/sharedStrings.xml><?xml version="1.0" encoding="utf-8"?>
<sst xmlns="http://schemas.openxmlformats.org/spreadsheetml/2006/main" count="520" uniqueCount="278">
  <si>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</si>
  <si>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</si>
  <si>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</si>
  <si>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</si>
  <si>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</si>
  <si>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</si>
  <si>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</si>
  <si>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</si>
  <si>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</si>
  <si>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</si>
  <si>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</si>
  <si>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</si>
  <si>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</si>
  <si>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</si>
  <si>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</si>
  <si>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</si>
  <si>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</si>
  <si>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</si>
  <si>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</si>
  <si>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</si>
  <si>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</si>
  <si>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</si>
  <si>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</si>
  <si>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</si>
  <si>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</si>
  <si>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</si>
  <si>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</si>
  <si>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</si>
  <si>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</si>
  <si>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</si>
  <si>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</si>
  <si>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</si>
  <si>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</si>
  <si>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</si>
  <si>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</si>
  <si>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</si>
  <si>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</si>
  <si>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</si>
  <si>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</si>
  <si>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</si>
  <si>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</si>
  <si>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</si>
  <si>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</si>
  <si>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</si>
  <si>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</si>
  <si>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</si>
  <si>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</si>
  <si>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</si>
  <si>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</si>
  <si>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</si>
  <si>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</si>
  <si>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</si>
  <si>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</si>
  <si>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</si>
  <si>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</si>
  <si>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</si>
  <si>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</si>
  <si>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</si>
  <si>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</si>
  <si>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</si>
  <si>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</si>
  <si>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</si>
  <si>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</si>
  <si>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</si>
  <si>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</si>
  <si>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</si>
  <si>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</si>
  <si>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</si>
  <si>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</si>
  <si>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</si>
  <si>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</si>
  <si>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</si>
  <si>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</si>
  <si>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</si>
  <si>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</si>
  <si>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</si>
  <si>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</si>
  <si>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</si>
  <si>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</si>
  <si>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</si>
  <si>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</si>
  <si>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</si>
  <si>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</si>
  <si>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</si>
  <si>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</si>
  <si>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</si>
  <si>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</si>
  <si>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</si>
  <si>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</si>
  <si>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</si>
  <si>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</si>
  <si>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</si>
  <si>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</si>
  <si>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</si>
  <si>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</si>
  <si>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</si>
  <si>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</si>
  <si>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</si>
  <si>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</si>
  <si>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</si>
  <si>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</si>
  <si>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</si>
  <si>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</si>
  <si>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</si>
  <si>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</si>
  <si>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</si>
  <si>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</si>
  <si>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</si>
  <si>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K71U</t>
  </si>
  <si>
    <t>ESR-LOGOS REIT</t>
  </si>
  <si>
    <t>J91U</t>
  </si>
  <si>
    <t>A7RU</t>
  </si>
  <si>
    <t>5WH</t>
  </si>
  <si>
    <t>Keppel Reit</t>
  </si>
  <si>
    <t>C52</t>
  </si>
  <si>
    <t>JYEU</t>
  </si>
  <si>
    <t>E5H</t>
  </si>
  <si>
    <t>J69U</t>
  </si>
  <si>
    <t>E28</t>
  </si>
  <si>
    <t>MZH</t>
  </si>
  <si>
    <t>YF8</t>
  </si>
  <si>
    <t>EB5</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</si>
  <si>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</si>
  <si>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</si>
  <si>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</si>
  <si>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</si>
  <si>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</si>
  <si>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</si>
  <si>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</si>
  <si>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</si>
  <si>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</si>
  <si>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</si>
  <si>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</si>
  <si>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</si>
  <si>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</si>
  <si>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</si>
  <si>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</si>
  <si>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</si>
  <si>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</si>
  <si>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</si>
  <si>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</si>
  <si>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</si>
  <si>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</si>
  <si>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</si>
  <si>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</si>
  <si>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</si>
  <si>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S59</t>
  </si>
  <si>
    <t>Q5T</t>
  </si>
  <si>
    <t>P40U</t>
  </si>
  <si>
    <t>F03</t>
  </si>
  <si>
    <t>P34</t>
  </si>
  <si>
    <t>CWBU</t>
  </si>
  <si>
    <t>5LY</t>
  </si>
  <si>
    <t>CapLand IntCom T</t>
  </si>
  <si>
    <t>YZJ Shipbldg SGD</t>
  </si>
  <si>
    <t>Genting Sing</t>
  </si>
  <si>
    <t>CapLand Ascendas REIT</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</si>
  <si>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</si>
  <si>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</si>
  <si>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</si>
  <si>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</si>
  <si>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</si>
  <si>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</si>
  <si>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</si>
  <si>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</si>
  <si>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</si>
  <si>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</si>
  <si>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</si>
  <si>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</si>
  <si>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</si>
  <si>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</si>
  <si>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</si>
  <si>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</si>
  <si>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</si>
  <si>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</si>
  <si>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</si>
  <si>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</si>
  <si>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</si>
  <si>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</si>
  <si>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</si>
  <si>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</si>
  <si>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</si>
  <si>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</si>
  <si>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</si>
  <si>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</si>
  <si>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</si>
  <si>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</si>
  <si>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</si>
  <si>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</si>
  <si>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</si>
  <si>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</si>
  <si>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</si>
  <si>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</si>
  <si>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</si>
  <si>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</si>
  <si>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</si>
  <si>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</si>
  <si>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</si>
  <si>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</si>
  <si>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</si>
  <si>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</si>
  <si>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</si>
  <si>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</si>
  <si>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</si>
  <si>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</si>
  <si>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</si>
  <si>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</si>
  <si>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</si>
  <si>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</si>
  <si>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Riverstone</t>
  </si>
  <si>
    <t>Prime US ReitUSD</t>
  </si>
  <si>
    <t>Sasseur Reit</t>
  </si>
  <si>
    <t>Yanlord Land</t>
  </si>
  <si>
    <t>Thomson Medical</t>
  </si>
  <si>
    <t>SingPost</t>
  </si>
  <si>
    <t>SIA Engineering</t>
  </si>
  <si>
    <t>Far East HTrust</t>
  </si>
  <si>
    <t>StarhillGbl Reit</t>
  </si>
  <si>
    <t>Medtecs Intl</t>
  </si>
  <si>
    <t>Food Empire</t>
  </si>
  <si>
    <t>Delfi</t>
  </si>
  <si>
    <t>KepPacOakReitUSD</t>
  </si>
  <si>
    <t>Cromwell Reit EUR</t>
  </si>
  <si>
    <t>MarcoPolo Marine</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</si>
  <si>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</si>
  <si>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</si>
  <si>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</si>
  <si>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</si>
  <si>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</si>
  <si>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</si>
  <si>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</si>
  <si>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</si>
  <si>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</si>
  <si>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</si>
  <si>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</si>
  <si>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</si>
  <si>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</si>
  <si>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</si>
  <si>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</si>
  <si>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</si>
  <si>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</si>
  <si>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</si>
  <si>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</si>
  <si>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</si>
  <si>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</si>
  <si>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Mapletree PanAsia Commercial Trust</t>
  </si>
  <si>
    <t>Keppel DC REIT</t>
  </si>
  <si>
    <t>First Reit</t>
  </si>
  <si>
    <t>AW9U</t>
  </si>
  <si>
    <t>Week of 1 January 2024</t>
  </si>
  <si>
    <t>Keppel</t>
  </si>
  <si>
    <t>COSCO SHP SG</t>
  </si>
  <si>
    <t>F83</t>
  </si>
  <si>
    <t>Chasen</t>
  </si>
  <si>
    <t>5NV</t>
  </si>
  <si>
    <t>UGHealthcare</t>
  </si>
  <si>
    <t>8K7</t>
  </si>
  <si>
    <t>Yoma Strategic</t>
  </si>
  <si>
    <t>Z59</t>
  </si>
  <si>
    <t>Abundante</t>
  </si>
  <si>
    <t>570</t>
  </si>
  <si>
    <t>Ley Choon</t>
  </si>
  <si>
    <t>Q0X</t>
  </si>
  <si>
    <t>SMI Vantage^</t>
  </si>
  <si>
    <t>Y45</t>
  </si>
  <si>
    <t>Valuetronics</t>
  </si>
  <si>
    <t>BN2</t>
  </si>
  <si>
    <t>Mermaid Maritime</t>
  </si>
  <si>
    <t>DU4</t>
  </si>
  <si>
    <t>Wing Tai</t>
  </si>
  <si>
    <t>W05</t>
  </si>
  <si>
    <t>Straits Trading</t>
  </si>
  <si>
    <t>S20</t>
  </si>
  <si>
    <r>
      <t>Institutional investors net</t>
    </r>
    <r>
      <rPr>
        <b/>
        <sz val="11"/>
        <rFont val="Arial"/>
        <family val="2"/>
      </rPr>
      <t xml:space="preserve"> buy</t>
    </r>
    <r>
      <rPr>
        <sz val="11"/>
        <rFont val="Arial"/>
        <family val="2"/>
      </rPr>
      <t xml:space="preserve"> (+S$16.8m) vs. (+S$96.7m) a week ago</t>
    </r>
  </si>
  <si>
    <r>
      <t>Retail investors net</t>
    </r>
    <r>
      <rPr>
        <b/>
        <sz val="11"/>
        <rFont val="Arial"/>
        <family val="2"/>
      </rPr>
      <t xml:space="preserve"> buy</t>
    </r>
    <r>
      <rPr>
        <sz val="11"/>
        <rFont val="Arial"/>
        <family val="2"/>
      </rPr>
      <t xml:space="preserve"> (+S$135.0m) vs. (-S$544.7m) a week ago</t>
    </r>
  </si>
  <si>
    <t>Geo Energy Resources</t>
  </si>
  <si>
    <t>Rex International</t>
  </si>
  <si>
    <t>Top Glove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</si>
</sst>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168" fontId="0" fillId="0" borderId="0" xfId="0" applyNumberFormat="1"/>
    <xf numFmtId="0" fontId="0" fillId="0" borderId="0" xfId="0" applyAlignment="1">
      <alignment horizontal="left"/>
    </xf>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249</v>
      </c>
    </row>
    <row r="2" spans="1:13" x14ac:dyDescent="0.25">
      <c r="A2" s="56" t="s">
        <v>273</v>
      </c>
    </row>
    <row r="3" spans="1:13" x14ac:dyDescent="0.25">
      <c r="A3" s="56" t="s">
        <v>274</v>
      </c>
    </row>
    <row r="5" spans="1:13" ht="29.25" customHeight="1" x14ac:dyDescent="0.25">
      <c r="A5" s="3" t="s">
        <v>0</v>
      </c>
      <c r="B5" s="3" t="s">
        <v>1</v>
      </c>
      <c r="C5" s="4" t="s">
        <v>249</v>
      </c>
      <c r="D5" s="45" t="s">
        <v>2</v>
      </c>
      <c r="E5" s="45" t="s">
        <v>1</v>
      </c>
      <c r="F5" s="57" t="str">
        <f>+C5</f>
        <v>Week of 1 January 2024</v>
      </c>
    </row>
    <row r="6" spans="1:13" ht="14.4" x14ac:dyDescent="0.3">
      <c r="A6" s="41" t="s">
        <v>27</v>
      </c>
      <c r="B6" s="39" t="s">
        <v>22</v>
      </c>
      <c r="C6" s="7">
        <v>29.039542000000001</v>
      </c>
      <c r="D6" s="41" t="s">
        <v>51</v>
      </c>
      <c r="E6" s="39" t="s">
        <v>49</v>
      </c>
      <c r="F6" s="7">
        <v>-37.257121299999987</v>
      </c>
      <c r="K6" s="53"/>
      <c r="L6"/>
      <c r="M6"/>
    </row>
    <row r="7" spans="1:13" ht="14.4" x14ac:dyDescent="0.3">
      <c r="A7" s="42" t="s">
        <v>29</v>
      </c>
      <c r="B7" s="11" t="s">
        <v>24</v>
      </c>
      <c r="C7" s="9">
        <v>23.695567</v>
      </c>
      <c r="D7" s="42" t="s">
        <v>88</v>
      </c>
      <c r="E7" s="11" t="s">
        <v>87</v>
      </c>
      <c r="F7" s="9">
        <v>-10.722864</v>
      </c>
      <c r="K7" s="53"/>
      <c r="L7"/>
      <c r="M7"/>
    </row>
    <row r="8" spans="1:13" ht="14.4" x14ac:dyDescent="0.3">
      <c r="A8" s="43" t="s">
        <v>35</v>
      </c>
      <c r="B8" s="39" t="s">
        <v>33</v>
      </c>
      <c r="C8" s="7">
        <v>12.608487999999999</v>
      </c>
      <c r="D8" s="43" t="s">
        <v>246</v>
      </c>
      <c r="E8" s="39" t="s">
        <v>80</v>
      </c>
      <c r="F8" s="7">
        <v>-7.8021659999999997</v>
      </c>
      <c r="K8" s="53"/>
      <c r="L8"/>
      <c r="M8"/>
    </row>
    <row r="9" spans="1:13" ht="14.4" x14ac:dyDescent="0.3">
      <c r="A9" s="42" t="s">
        <v>62</v>
      </c>
      <c r="B9" s="11" t="s">
        <v>53</v>
      </c>
      <c r="C9" s="9">
        <v>9.4607445000000006</v>
      </c>
      <c r="D9" s="42" t="s">
        <v>34</v>
      </c>
      <c r="E9" s="11" t="s">
        <v>32</v>
      </c>
      <c r="F9" s="9">
        <v>-7.7493179999999997</v>
      </c>
      <c r="K9" s="53"/>
      <c r="L9"/>
      <c r="M9"/>
    </row>
    <row r="10" spans="1:13" ht="14.4" x14ac:dyDescent="0.3">
      <c r="A10" s="43" t="s">
        <v>48</v>
      </c>
      <c r="B10" s="39" t="s">
        <v>45</v>
      </c>
      <c r="C10" s="7">
        <v>7.8410500000000001</v>
      </c>
      <c r="D10" s="43" t="s">
        <v>234</v>
      </c>
      <c r="E10" s="39" t="s">
        <v>93</v>
      </c>
      <c r="F10" s="7">
        <v>-7.5436050999999988</v>
      </c>
      <c r="K10" s="53"/>
      <c r="L10"/>
      <c r="M10"/>
    </row>
    <row r="11" spans="1:13" ht="14.4" x14ac:dyDescent="0.3">
      <c r="A11" s="42" t="s">
        <v>46</v>
      </c>
      <c r="B11" s="11" t="s">
        <v>43</v>
      </c>
      <c r="C11" s="9">
        <v>6.8523490000000002</v>
      </c>
      <c r="D11" s="42" t="s">
        <v>81</v>
      </c>
      <c r="E11" s="11" t="s">
        <v>58</v>
      </c>
      <c r="F11" s="9">
        <v>-5.9492649999999996</v>
      </c>
      <c r="K11" s="53"/>
      <c r="L11"/>
      <c r="M11"/>
    </row>
    <row r="12" spans="1:13" ht="14.4" x14ac:dyDescent="0.3">
      <c r="A12" s="43" t="s">
        <v>47</v>
      </c>
      <c r="B12" s="39" t="s">
        <v>44</v>
      </c>
      <c r="C12" s="7">
        <v>5.4679690000000001</v>
      </c>
      <c r="D12" s="43" t="s">
        <v>41</v>
      </c>
      <c r="E12" s="39" t="s">
        <v>39</v>
      </c>
      <c r="F12" s="7">
        <v>-5.53871</v>
      </c>
      <c r="K12" s="53"/>
      <c r="L12"/>
      <c r="M12"/>
    </row>
    <row r="13" spans="1:13" ht="14.4" x14ac:dyDescent="0.3">
      <c r="A13" s="42" t="s">
        <v>63</v>
      </c>
      <c r="B13" s="11" t="s">
        <v>55</v>
      </c>
      <c r="C13" s="9">
        <v>4.939648</v>
      </c>
      <c r="D13" s="42" t="s">
        <v>65</v>
      </c>
      <c r="E13" s="11" t="s">
        <v>56</v>
      </c>
      <c r="F13" s="9">
        <v>-4.4081539999999997</v>
      </c>
      <c r="K13" s="53"/>
      <c r="L13"/>
      <c r="M13"/>
    </row>
    <row r="14" spans="1:13" ht="14.4" x14ac:dyDescent="0.3">
      <c r="A14" s="43" t="s">
        <v>67</v>
      </c>
      <c r="B14" s="39" t="s">
        <v>61</v>
      </c>
      <c r="C14" s="7">
        <v>4.6389639999999996</v>
      </c>
      <c r="D14" s="43" t="s">
        <v>42</v>
      </c>
      <c r="E14" s="39" t="s">
        <v>40</v>
      </c>
      <c r="F14" s="7">
        <v>-3.8533189999999999</v>
      </c>
      <c r="K14" s="53"/>
      <c r="L14"/>
      <c r="M14"/>
    </row>
    <row r="15" spans="1:13" ht="14.4" x14ac:dyDescent="0.3">
      <c r="A15" s="44" t="s">
        <v>172</v>
      </c>
      <c r="B15" s="40" t="s">
        <v>114</v>
      </c>
      <c r="C15" s="10">
        <v>4.6156490000000003</v>
      </c>
      <c r="D15" s="44" t="s">
        <v>245</v>
      </c>
      <c r="E15" s="40" t="s">
        <v>60</v>
      </c>
      <c r="F15" s="10">
        <v>-3.087567</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1 January 2024</v>
      </c>
      <c r="D18" s="5" t="s">
        <v>4</v>
      </c>
      <c r="E18" s="45" t="s">
        <v>1</v>
      </c>
      <c r="F18" s="57" t="str">
        <f>+C18</f>
        <v>Week of 1 January 2024</v>
      </c>
    </row>
    <row r="19" spans="1:13" ht="14.4" x14ac:dyDescent="0.3">
      <c r="A19" s="41" t="s">
        <v>51</v>
      </c>
      <c r="B19" s="39" t="s">
        <v>49</v>
      </c>
      <c r="C19" s="7">
        <v>31.6872507</v>
      </c>
      <c r="D19" s="41" t="s">
        <v>63</v>
      </c>
      <c r="E19" s="39" t="s">
        <v>55</v>
      </c>
      <c r="F19" s="7">
        <v>-8.7640309999999992</v>
      </c>
      <c r="H19"/>
      <c r="I19" s="46"/>
      <c r="K19" s="53"/>
      <c r="L19"/>
      <c r="M19"/>
    </row>
    <row r="20" spans="1:13" ht="14.4" x14ac:dyDescent="0.3">
      <c r="A20" s="42" t="s">
        <v>88</v>
      </c>
      <c r="B20" s="11" t="s">
        <v>87</v>
      </c>
      <c r="C20" s="9">
        <v>20.915151999999999</v>
      </c>
      <c r="D20" s="42" t="s">
        <v>35</v>
      </c>
      <c r="E20" s="11" t="s">
        <v>33</v>
      </c>
      <c r="F20" s="9">
        <v>-4.2921589999999998</v>
      </c>
      <c r="H20"/>
      <c r="I20" s="46"/>
      <c r="K20" s="53"/>
      <c r="L20"/>
      <c r="M20"/>
    </row>
    <row r="21" spans="1:13" ht="14.4" x14ac:dyDescent="0.3">
      <c r="A21" s="43" t="s">
        <v>34</v>
      </c>
      <c r="B21" s="39" t="s">
        <v>32</v>
      </c>
      <c r="C21" s="7">
        <v>19.995293</v>
      </c>
      <c r="D21" s="43" t="s">
        <v>172</v>
      </c>
      <c r="E21" s="39" t="s">
        <v>114</v>
      </c>
      <c r="F21" s="7">
        <v>-3.802721</v>
      </c>
      <c r="H21"/>
      <c r="I21" s="46"/>
      <c r="K21" s="53"/>
      <c r="L21"/>
      <c r="M21"/>
    </row>
    <row r="22" spans="1:13" ht="14.4" x14ac:dyDescent="0.3">
      <c r="A22" s="42" t="s">
        <v>234</v>
      </c>
      <c r="B22" s="11" t="s">
        <v>93</v>
      </c>
      <c r="C22" s="9">
        <v>13.646247300000001</v>
      </c>
      <c r="D22" s="42" t="s">
        <v>29</v>
      </c>
      <c r="E22" s="11" t="s">
        <v>24</v>
      </c>
      <c r="F22" s="9">
        <v>-3.7592840000000001</v>
      </c>
      <c r="H22"/>
      <c r="I22" s="46"/>
      <c r="K22" s="53"/>
      <c r="L22"/>
      <c r="M22"/>
    </row>
    <row r="23" spans="1:13" ht="14.4" x14ac:dyDescent="0.3">
      <c r="A23" s="43" t="s">
        <v>28</v>
      </c>
      <c r="B23" s="39" t="s">
        <v>23</v>
      </c>
      <c r="C23" s="7">
        <v>10.119104</v>
      </c>
      <c r="D23" s="43" t="s">
        <v>62</v>
      </c>
      <c r="E23" s="39" t="s">
        <v>53</v>
      </c>
      <c r="F23" s="7">
        <v>-3.635195</v>
      </c>
      <c r="H23"/>
      <c r="I23" s="58"/>
      <c r="K23" s="53"/>
      <c r="L23"/>
      <c r="M23"/>
    </row>
    <row r="24" spans="1:13" ht="14.4" x14ac:dyDescent="0.3">
      <c r="A24" s="42" t="s">
        <v>246</v>
      </c>
      <c r="B24" s="11" t="s">
        <v>80</v>
      </c>
      <c r="C24" s="9">
        <v>7.9880279999999999</v>
      </c>
      <c r="D24" s="42" t="s">
        <v>47</v>
      </c>
      <c r="E24" s="11" t="s">
        <v>44</v>
      </c>
      <c r="F24" s="9">
        <v>-3.1696680000000002</v>
      </c>
      <c r="H24"/>
      <c r="I24" s="46"/>
      <c r="K24" s="53"/>
      <c r="L24"/>
      <c r="M24"/>
    </row>
    <row r="25" spans="1:13" ht="14.4" x14ac:dyDescent="0.3">
      <c r="A25" s="43" t="s">
        <v>65</v>
      </c>
      <c r="B25" s="39" t="s">
        <v>56</v>
      </c>
      <c r="C25" s="7">
        <v>5.5536719999999997</v>
      </c>
      <c r="D25" s="43" t="s">
        <v>275</v>
      </c>
      <c r="E25" s="39" t="s">
        <v>129</v>
      </c>
      <c r="F25" s="7">
        <v>-1.70644</v>
      </c>
      <c r="H25"/>
      <c r="I25" s="46"/>
      <c r="K25" s="53"/>
      <c r="L25"/>
      <c r="M25"/>
    </row>
    <row r="26" spans="1:13" ht="14.4" x14ac:dyDescent="0.3">
      <c r="A26" s="42" t="s">
        <v>41</v>
      </c>
      <c r="B26" s="11" t="s">
        <v>39</v>
      </c>
      <c r="C26" s="9">
        <v>5.2643149999999999</v>
      </c>
      <c r="D26" s="42" t="s">
        <v>38</v>
      </c>
      <c r="E26" s="11" t="s">
        <v>37</v>
      </c>
      <c r="F26" s="9">
        <v>-1.637337</v>
      </c>
      <c r="H26"/>
      <c r="I26" s="46"/>
      <c r="K26" s="53"/>
      <c r="L26"/>
      <c r="M26"/>
    </row>
    <row r="27" spans="1:13" ht="14.4" x14ac:dyDescent="0.3">
      <c r="A27" s="43" t="s">
        <v>245</v>
      </c>
      <c r="B27" s="39" t="s">
        <v>60</v>
      </c>
      <c r="C27" s="7">
        <v>4.2099510000000002</v>
      </c>
      <c r="D27" s="43" t="s">
        <v>276</v>
      </c>
      <c r="E27" s="39" t="s">
        <v>112</v>
      </c>
      <c r="F27" s="7">
        <v>-1.5725174</v>
      </c>
      <c r="H27"/>
      <c r="I27" s="46"/>
      <c r="K27" s="53"/>
      <c r="L27"/>
      <c r="M27"/>
    </row>
    <row r="28" spans="1:13" ht="14.4" x14ac:dyDescent="0.3">
      <c r="A28" s="44" t="s">
        <v>27</v>
      </c>
      <c r="B28" s="40" t="s">
        <v>22</v>
      </c>
      <c r="C28" s="10">
        <v>3.8637239999999999</v>
      </c>
      <c r="D28" s="44" t="s">
        <v>277</v>
      </c>
      <c r="E28" s="40" t="s">
        <v>134</v>
      </c>
      <c r="F28" s="10">
        <v>-1.5434095000000001</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72" t="s">
        <v>228</v>
      </c>
      <c r="B40" s="72"/>
      <c r="C40" s="72"/>
      <c r="D40" s="72"/>
      <c r="E40" s="72"/>
      <c r="F40" s="72"/>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73" t="s">
        <v>7</v>
      </c>
      <c r="B1" s="14" t="s">
        <v>8</v>
      </c>
      <c r="C1" s="75" t="s">
        <v>9</v>
      </c>
      <c r="D1" s="76"/>
      <c r="E1" s="76"/>
      <c r="F1" s="76"/>
      <c r="G1" s="76"/>
      <c r="H1" s="76"/>
      <c r="I1" s="76"/>
      <c r="J1" s="76"/>
      <c r="K1" s="76"/>
      <c r="L1" s="76"/>
      <c r="M1" s="76"/>
      <c r="N1" s="77"/>
    </row>
    <row r="2" spans="1:15" ht="65.849999999999994" customHeight="1" x14ac:dyDescent="0.25">
      <c r="A2" s="74"/>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 t="shared" ref="A3:A5" si="0">SUM(C3:N3)</f>
        <v>-205.94794530530999</v>
      </c>
      <c r="B3" s="17">
        <v>45271</v>
      </c>
      <c r="C3" s="18">
        <v>5.5163099211999986</v>
      </c>
      <c r="D3" s="18">
        <v>-90.865712033199983</v>
      </c>
      <c r="E3" s="18">
        <v>-0.91405799999999982</v>
      </c>
      <c r="F3" s="18">
        <v>-258.42861340000002</v>
      </c>
      <c r="G3" s="18">
        <v>8.0523925719999987</v>
      </c>
      <c r="H3" s="18">
        <v>28.560861260589995</v>
      </c>
      <c r="I3" s="18">
        <v>-2.3741729999999999</v>
      </c>
      <c r="J3" s="18">
        <v>28.346197890400003</v>
      </c>
      <c r="K3" s="18">
        <v>44.455297883700005</v>
      </c>
      <c r="L3" s="18">
        <v>-1.3248763000000023</v>
      </c>
      <c r="M3" s="18">
        <v>23.7306876</v>
      </c>
      <c r="N3" s="18">
        <v>9.2977402999999992</v>
      </c>
      <c r="O3" s="16"/>
    </row>
    <row r="4" spans="1:15" x14ac:dyDescent="0.25">
      <c r="A4" s="55">
        <f t="shared" si="0"/>
        <v>-97.406796433309978</v>
      </c>
      <c r="B4" s="13">
        <v>45278</v>
      </c>
      <c r="C4" s="15">
        <v>-21.178951034310003</v>
      </c>
      <c r="D4" s="15">
        <v>-8.4026811920999975</v>
      </c>
      <c r="E4" s="15">
        <v>2.6466263000000008</v>
      </c>
      <c r="F4" s="15">
        <v>-26.597389599999982</v>
      </c>
      <c r="G4" s="15">
        <v>-0.38549429840000005</v>
      </c>
      <c r="H4" s="15">
        <v>-30.154526895580005</v>
      </c>
      <c r="I4" s="15">
        <v>-0.13422740000000002</v>
      </c>
      <c r="J4" s="15">
        <v>-9.7759782066000014</v>
      </c>
      <c r="K4" s="15">
        <v>-36.14500270632</v>
      </c>
      <c r="L4" s="15">
        <v>7.707777799999997</v>
      </c>
      <c r="M4" s="15">
        <v>26.001811200000002</v>
      </c>
      <c r="N4" s="15">
        <v>-0.98876040000000009</v>
      </c>
      <c r="O4" s="16"/>
    </row>
    <row r="5" spans="1:15" x14ac:dyDescent="0.25">
      <c r="A5" s="55">
        <f t="shared" si="0"/>
        <v>96.683588294380002</v>
      </c>
      <c r="B5" s="17">
        <v>45285</v>
      </c>
      <c r="C5" s="18">
        <v>6.9952265831599991</v>
      </c>
      <c r="D5" s="18">
        <v>-5.7793501056000007</v>
      </c>
      <c r="E5" s="18">
        <v>2.0214915999999996</v>
      </c>
      <c r="F5" s="18">
        <v>61.069971203999998</v>
      </c>
      <c r="G5" s="18">
        <v>-1.4730751617000002</v>
      </c>
      <c r="H5" s="18">
        <v>31.131256463149995</v>
      </c>
      <c r="I5" s="18">
        <v>-2.0346279999999997</v>
      </c>
      <c r="J5" s="18">
        <v>1.8053069205999996</v>
      </c>
      <c r="K5" s="18">
        <v>-0.45310500922999958</v>
      </c>
      <c r="L5" s="18">
        <v>8.235247600000001</v>
      </c>
      <c r="M5" s="18">
        <v>-8.6506287999999998</v>
      </c>
      <c r="N5" s="18">
        <v>3.8158750000000001</v>
      </c>
      <c r="O5" s="16"/>
    </row>
    <row r="6" spans="1:15" x14ac:dyDescent="0.25">
      <c r="A6" s="55">
        <f t="shared" ref="A6" si="1">SUM(C6:N6)</f>
        <v>16.752756059900022</v>
      </c>
      <c r="B6" s="13">
        <v>45292</v>
      </c>
      <c r="C6" s="15">
        <v>4.5555078178099988</v>
      </c>
      <c r="D6" s="15">
        <v>12.540146491599996</v>
      </c>
      <c r="E6" s="15">
        <v>1.7560509000000002</v>
      </c>
      <c r="F6" s="15">
        <v>39.872766900000002</v>
      </c>
      <c r="G6" s="15">
        <v>0.37874231090000005</v>
      </c>
      <c r="H6" s="15">
        <v>7.6415061797800021</v>
      </c>
      <c r="I6" s="15">
        <v>-3.6133811000000002</v>
      </c>
      <c r="J6" s="15">
        <v>2.9148769887999997</v>
      </c>
      <c r="K6" s="15">
        <v>-22.23739982899</v>
      </c>
      <c r="L6" s="15">
        <v>3.6191916000000011</v>
      </c>
      <c r="M6" s="15">
        <v>-36.109989999999989</v>
      </c>
      <c r="N6" s="15">
        <v>5.4347377999999997</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s="66"/>
      <c r="D13" s="66"/>
      <c r="E13" s="66"/>
      <c r="F13" s="66"/>
      <c r="G13" s="66"/>
      <c r="H13" s="66"/>
      <c r="I13" s="66"/>
      <c r="J13" s="66"/>
      <c r="K13" s="66"/>
      <c r="L13" s="66"/>
      <c r="M13" s="66"/>
      <c r="N13" s="66"/>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s="65"/>
      <c r="D16" s="65"/>
      <c r="E16" s="65"/>
      <c r="F16" s="65"/>
      <c r="G16" s="65"/>
      <c r="H16" s="65"/>
      <c r="I16" s="65"/>
      <c r="J16" s="65"/>
      <c r="K16" s="65"/>
      <c r="L16" s="65"/>
      <c r="M16" s="65"/>
      <c r="N16" s="65"/>
      <c r="O16" s="65"/>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73" t="s">
        <v>7</v>
      </c>
      <c r="B1" s="14" t="s">
        <v>8</v>
      </c>
      <c r="C1" s="75" t="s">
        <v>9</v>
      </c>
      <c r="D1" s="76"/>
      <c r="E1" s="76"/>
      <c r="F1" s="76"/>
      <c r="G1" s="76"/>
      <c r="H1" s="76"/>
      <c r="I1" s="76"/>
      <c r="J1" s="76"/>
      <c r="K1" s="76"/>
      <c r="L1" s="76"/>
      <c r="M1" s="76"/>
      <c r="N1" s="77"/>
    </row>
    <row r="2" spans="1:18" ht="55.2" x14ac:dyDescent="0.25">
      <c r="A2" s="74"/>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 t="shared" ref="A3:A5" si="0">SUM(C3:N3)</f>
        <v>35.437321694999994</v>
      </c>
      <c r="B3" s="13">
        <v>45271</v>
      </c>
      <c r="C3" s="15">
        <v>-7.8422483851900031</v>
      </c>
      <c r="D3" s="15">
        <v>31.360625404200004</v>
      </c>
      <c r="E3" s="15">
        <v>-0.97063719999999987</v>
      </c>
      <c r="F3" s="15">
        <v>161.9899667</v>
      </c>
      <c r="G3" s="15">
        <v>-8.2486222279000021</v>
      </c>
      <c r="H3" s="15">
        <v>-15.367488055069989</v>
      </c>
      <c r="I3" s="15">
        <v>0.57449430000000001</v>
      </c>
      <c r="J3" s="15">
        <v>-22.667015924300003</v>
      </c>
      <c r="K3" s="15">
        <v>-53.39788731673999</v>
      </c>
      <c r="L3" s="15">
        <v>-1.5017573999999954</v>
      </c>
      <c r="M3" s="15">
        <v>-34.990941300000003</v>
      </c>
      <c r="N3" s="15">
        <v>-13.501166899999999</v>
      </c>
      <c r="O3" s="16"/>
    </row>
    <row r="4" spans="1:18" x14ac:dyDescent="0.25">
      <c r="A4" s="55">
        <f t="shared" si="0"/>
        <v>-36.578081913609999</v>
      </c>
      <c r="B4" s="17">
        <v>45278</v>
      </c>
      <c r="C4" s="18">
        <v>8.0131209609299994</v>
      </c>
      <c r="D4" s="18">
        <v>7.7789915102999974</v>
      </c>
      <c r="E4" s="18">
        <v>-5.9801178000000013</v>
      </c>
      <c r="F4" s="18">
        <v>-29.5259407</v>
      </c>
      <c r="G4" s="18">
        <v>2.2920613590000007</v>
      </c>
      <c r="H4" s="18">
        <v>-7.8694622972400001</v>
      </c>
      <c r="I4" s="18">
        <v>0.19570719999999997</v>
      </c>
      <c r="J4" s="18">
        <v>13.853507262599997</v>
      </c>
      <c r="K4" s="18">
        <v>11.9494774908</v>
      </c>
      <c r="L4" s="18">
        <v>-0.1853017999999968</v>
      </c>
      <c r="M4" s="18">
        <v>-36.238665500000003</v>
      </c>
      <c r="N4" s="18">
        <v>-0.86145959999999977</v>
      </c>
      <c r="O4" s="16"/>
    </row>
    <row r="5" spans="1:18" x14ac:dyDescent="0.25">
      <c r="A5" s="55">
        <f t="shared" si="0"/>
        <v>-544.69572383972002</v>
      </c>
      <c r="B5" s="13">
        <v>45285</v>
      </c>
      <c r="C5" s="15">
        <v>-17.831898602380004</v>
      </c>
      <c r="D5" s="15">
        <v>-16.737388610899998</v>
      </c>
      <c r="E5" s="15">
        <v>-2.2733573999999996</v>
      </c>
      <c r="F5" s="15">
        <v>-301.27868590400004</v>
      </c>
      <c r="G5" s="15">
        <v>0.27356084020000049</v>
      </c>
      <c r="H5" s="15">
        <v>-84.640876598720027</v>
      </c>
      <c r="I5" s="15">
        <v>2.0027780999999996</v>
      </c>
      <c r="J5" s="15">
        <v>-10.1510446739</v>
      </c>
      <c r="K5" s="15">
        <v>-40.801458090019992</v>
      </c>
      <c r="L5" s="15">
        <v>-21.608405299999998</v>
      </c>
      <c r="M5" s="15">
        <v>-34.546618699999989</v>
      </c>
      <c r="N5" s="15">
        <v>-17.1023289</v>
      </c>
      <c r="O5" s="16"/>
    </row>
    <row r="6" spans="1:18" x14ac:dyDescent="0.25">
      <c r="A6" s="55">
        <f>SUM(C6:N6)</f>
        <v>135.04870890604002</v>
      </c>
      <c r="B6" s="17">
        <v>45292</v>
      </c>
      <c r="C6" s="18">
        <v>3.9668050207800016</v>
      </c>
      <c r="D6" s="18">
        <v>3.6788268044000003</v>
      </c>
      <c r="E6" s="18">
        <v>-2.2887771999999993</v>
      </c>
      <c r="F6" s="18">
        <v>32.909492200000003</v>
      </c>
      <c r="G6" s="18">
        <v>5.2414420900000369E-2</v>
      </c>
      <c r="H6" s="18">
        <v>20.367000373960011</v>
      </c>
      <c r="I6" s="18">
        <v>3.9070897000000011</v>
      </c>
      <c r="J6" s="18">
        <v>9.706336327599999</v>
      </c>
      <c r="K6" s="18">
        <v>24.442620658399999</v>
      </c>
      <c r="L6" s="18">
        <v>10.036562499999999</v>
      </c>
      <c r="M6" s="18">
        <v>31.4090484</v>
      </c>
      <c r="N6" s="18">
        <v>-3.1387103000000001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s="66"/>
      <c r="D14" s="66"/>
      <c r="E14" s="66"/>
      <c r="F14" s="66"/>
      <c r="G14" s="66"/>
      <c r="H14" s="66"/>
      <c r="I14" s="66"/>
      <c r="J14" s="66"/>
      <c r="K14" s="66"/>
      <c r="L14" s="66"/>
      <c r="M14" s="66"/>
      <c r="N14" s="66"/>
      <c r="O14" s="52"/>
      <c r="P14"/>
      <c r="Q14"/>
      <c r="R14"/>
    </row>
    <row r="15" spans="1:18" ht="14.4" x14ac:dyDescent="0.3">
      <c r="B15"/>
      <c r="C15"/>
      <c r="D15"/>
      <c r="E15"/>
      <c r="F15"/>
      <c r="G15"/>
      <c r="H15"/>
      <c r="I15"/>
      <c r="J15"/>
      <c r="K15"/>
      <c r="L15"/>
      <c r="M15"/>
      <c r="N15"/>
      <c r="O15"/>
      <c r="P15"/>
      <c r="Q15"/>
      <c r="R15"/>
    </row>
    <row r="16" spans="1:18" ht="14.4" x14ac:dyDescent="0.3">
      <c r="C16" s="65"/>
      <c r="D16" s="65"/>
      <c r="E16" s="65"/>
      <c r="F16" s="65"/>
      <c r="G16" s="65"/>
      <c r="H16" s="65"/>
      <c r="I16" s="65"/>
      <c r="J16" s="65"/>
      <c r="K16" s="65"/>
      <c r="L16" s="65"/>
      <c r="M16" s="65"/>
      <c r="N16" s="65"/>
      <c r="O16"/>
    </row>
    <row r="17" spans="3:14" ht="14.4" x14ac:dyDescent="0.3">
      <c r="C17" s="50"/>
      <c r="D17" s="50"/>
      <c r="E17" s="50"/>
      <c r="F17" s="50"/>
      <c r="G17" s="50"/>
      <c r="H17" s="50"/>
      <c r="I17" s="50"/>
      <c r="J17" s="50"/>
      <c r="K17" s="50"/>
      <c r="L17" s="50"/>
      <c r="M17" s="50"/>
      <c r="N17" s="50"/>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1 January 2024</v>
      </c>
      <c r="B1" s="21" t="s">
        <v>1</v>
      </c>
      <c r="C1" s="22" t="s">
        <v>75</v>
      </c>
      <c r="D1" s="22" t="s">
        <v>76</v>
      </c>
    </row>
    <row r="2" spans="1:8" x14ac:dyDescent="0.3">
      <c r="A2" s="23" t="s">
        <v>92</v>
      </c>
      <c r="B2" s="24" t="s">
        <v>26</v>
      </c>
      <c r="C2" s="25">
        <v>2.0879940000000001</v>
      </c>
      <c r="D2" s="25">
        <v>2.3788710000000002</v>
      </c>
      <c r="E2" s="46"/>
      <c r="F2" s="50"/>
      <c r="H2" s="51"/>
    </row>
    <row r="3" spans="1:8" x14ac:dyDescent="0.3">
      <c r="A3" s="26" t="s">
        <v>81</v>
      </c>
      <c r="B3" s="27" t="s">
        <v>58</v>
      </c>
      <c r="C3" s="9">
        <v>-5.9492649999999996</v>
      </c>
      <c r="D3" s="9">
        <v>2.7368100000000002</v>
      </c>
      <c r="E3" s="46"/>
      <c r="F3" s="50"/>
      <c r="H3" s="51"/>
    </row>
    <row r="4" spans="1:8" x14ac:dyDescent="0.3">
      <c r="A4" s="6" t="s">
        <v>88</v>
      </c>
      <c r="B4" s="8" t="s">
        <v>87</v>
      </c>
      <c r="C4" s="7">
        <v>-10.722864</v>
      </c>
      <c r="D4" s="7">
        <v>20.915151999999999</v>
      </c>
      <c r="E4" s="46"/>
      <c r="F4" s="50"/>
      <c r="H4" s="51"/>
    </row>
    <row r="5" spans="1:8" x14ac:dyDescent="0.3">
      <c r="A5" s="26" t="s">
        <v>65</v>
      </c>
      <c r="B5" s="27" t="s">
        <v>56</v>
      </c>
      <c r="C5" s="9">
        <v>-4.4081539999999997</v>
      </c>
      <c r="D5" s="9">
        <v>5.5536719999999997</v>
      </c>
      <c r="E5" s="46"/>
      <c r="F5" s="50"/>
      <c r="H5" s="51"/>
    </row>
    <row r="6" spans="1:8" x14ac:dyDescent="0.3">
      <c r="A6" s="6" t="s">
        <v>89</v>
      </c>
      <c r="B6" s="8" t="s">
        <v>59</v>
      </c>
      <c r="C6" s="7">
        <v>-0.62885580840000022</v>
      </c>
      <c r="D6" s="7">
        <v>1.4340607044</v>
      </c>
      <c r="E6" s="46"/>
      <c r="F6" s="50"/>
      <c r="H6" s="51"/>
    </row>
    <row r="7" spans="1:8" x14ac:dyDescent="0.3">
      <c r="A7" s="26" t="s">
        <v>27</v>
      </c>
      <c r="B7" s="27" t="s">
        <v>22</v>
      </c>
      <c r="C7" s="9">
        <v>29.039542000000001</v>
      </c>
      <c r="D7" s="9">
        <v>3.8637239999999999</v>
      </c>
      <c r="E7" s="46"/>
      <c r="F7" s="50"/>
      <c r="H7" s="51"/>
    </row>
    <row r="8" spans="1:8" x14ac:dyDescent="0.3">
      <c r="A8" s="6" t="s">
        <v>90</v>
      </c>
      <c r="B8" s="8" t="s">
        <v>91</v>
      </c>
      <c r="C8" s="54">
        <v>-7.4916499999999997E-2</v>
      </c>
      <c r="D8" s="54">
        <v>1.60415E-2</v>
      </c>
      <c r="E8" s="46"/>
      <c r="F8" s="50"/>
      <c r="H8" s="51"/>
    </row>
    <row r="9" spans="1:8" x14ac:dyDescent="0.3">
      <c r="A9" s="26" t="s">
        <v>83</v>
      </c>
      <c r="B9" s="27" t="s">
        <v>82</v>
      </c>
      <c r="C9" s="9">
        <v>-1.8101609999999999</v>
      </c>
      <c r="D9" s="9">
        <v>1.1073580000000001</v>
      </c>
      <c r="E9" s="46"/>
      <c r="F9" s="50"/>
      <c r="H9" s="51"/>
    </row>
    <row r="10" spans="1:8" x14ac:dyDescent="0.3">
      <c r="A10" s="6" t="s">
        <v>38</v>
      </c>
      <c r="B10" s="8" t="s">
        <v>37</v>
      </c>
      <c r="C10" s="7">
        <v>2.9738365</v>
      </c>
      <c r="D10" s="7">
        <v>-1.637337</v>
      </c>
      <c r="E10" s="46"/>
      <c r="F10" s="50"/>
      <c r="H10" s="51"/>
    </row>
    <row r="11" spans="1:8" x14ac:dyDescent="0.3">
      <c r="A11" s="26" t="s">
        <v>66</v>
      </c>
      <c r="B11" s="27" t="s">
        <v>57</v>
      </c>
      <c r="C11" s="9">
        <v>3.9188527888000002</v>
      </c>
      <c r="D11" s="9">
        <v>-0.6088656724</v>
      </c>
      <c r="E11" s="46"/>
      <c r="F11" s="50"/>
      <c r="H11" s="51"/>
    </row>
    <row r="12" spans="1:8" x14ac:dyDescent="0.3">
      <c r="A12" s="6" t="s">
        <v>52</v>
      </c>
      <c r="B12" s="8" t="s">
        <v>50</v>
      </c>
      <c r="C12" s="7">
        <v>2.192939</v>
      </c>
      <c r="D12" s="7">
        <v>1.7695160000000001</v>
      </c>
      <c r="E12" s="46"/>
      <c r="F12" s="50"/>
      <c r="H12" s="51"/>
    </row>
    <row r="13" spans="1:8" x14ac:dyDescent="0.3">
      <c r="A13" s="26" t="s">
        <v>64</v>
      </c>
      <c r="B13" s="27" t="s">
        <v>54</v>
      </c>
      <c r="C13" s="9">
        <v>2.4094875936999989</v>
      </c>
      <c r="D13" s="9">
        <v>0.79205770010000009</v>
      </c>
      <c r="E13" s="46"/>
      <c r="F13" s="50"/>
      <c r="H13" s="51"/>
    </row>
    <row r="14" spans="1:8" x14ac:dyDescent="0.3">
      <c r="A14" s="6" t="s">
        <v>35</v>
      </c>
      <c r="B14" s="8" t="s">
        <v>33</v>
      </c>
      <c r="C14" s="7">
        <v>12.608487999999999</v>
      </c>
      <c r="D14" s="7">
        <v>-4.2921589999999998</v>
      </c>
      <c r="E14" s="46"/>
      <c r="F14" s="50"/>
      <c r="H14" s="51"/>
    </row>
    <row r="15" spans="1:8" x14ac:dyDescent="0.3">
      <c r="A15" s="26" t="s">
        <v>237</v>
      </c>
      <c r="B15" s="27" t="s">
        <v>60</v>
      </c>
      <c r="C15" s="9">
        <v>-3.087567</v>
      </c>
      <c r="D15" s="9">
        <v>4.2099510000000002</v>
      </c>
      <c r="E15" s="46"/>
      <c r="F15" s="50"/>
      <c r="H15" s="51"/>
    </row>
    <row r="16" spans="1:8" x14ac:dyDescent="0.3">
      <c r="A16" s="6" t="s">
        <v>79</v>
      </c>
      <c r="B16" s="8" t="s">
        <v>78</v>
      </c>
      <c r="C16" s="7">
        <v>-2.5992850000000001</v>
      </c>
      <c r="D16" s="7">
        <v>-1.158285</v>
      </c>
      <c r="E16" s="46"/>
      <c r="F16" s="50"/>
      <c r="H16" s="51"/>
    </row>
    <row r="17" spans="1:8" x14ac:dyDescent="0.3">
      <c r="A17" s="26" t="s">
        <v>42</v>
      </c>
      <c r="B17" s="27" t="s">
        <v>40</v>
      </c>
      <c r="C17" s="9">
        <v>-3.8533189999999999</v>
      </c>
      <c r="D17" s="9">
        <v>3.0639599999999998</v>
      </c>
      <c r="E17" s="46"/>
      <c r="F17" s="50"/>
      <c r="H17" s="51"/>
    </row>
    <row r="18" spans="1:8" x14ac:dyDescent="0.3">
      <c r="A18" s="6" t="s">
        <v>28</v>
      </c>
      <c r="B18" s="8" t="s">
        <v>23</v>
      </c>
      <c r="C18" s="7">
        <v>-0.97581700000000005</v>
      </c>
      <c r="D18" s="7">
        <v>10.119104</v>
      </c>
      <c r="E18" s="46"/>
      <c r="F18" s="50"/>
      <c r="H18" s="51"/>
    </row>
    <row r="19" spans="1:8" x14ac:dyDescent="0.3">
      <c r="A19" s="26" t="s">
        <v>36</v>
      </c>
      <c r="B19" s="27" t="s">
        <v>31</v>
      </c>
      <c r="C19" s="9">
        <v>2.6736620000000002</v>
      </c>
      <c r="D19" s="9">
        <v>-0.63590899999999995</v>
      </c>
      <c r="E19" s="46"/>
      <c r="F19" s="50"/>
      <c r="H19" s="51"/>
    </row>
    <row r="20" spans="1:8" x14ac:dyDescent="0.3">
      <c r="A20" s="6" t="s">
        <v>234</v>
      </c>
      <c r="B20" s="8" t="s">
        <v>93</v>
      </c>
      <c r="C20" s="7">
        <v>-7.5436050999999988</v>
      </c>
      <c r="D20" s="7">
        <v>13.646247300000001</v>
      </c>
      <c r="E20" s="46"/>
      <c r="F20" s="50"/>
      <c r="H20" s="51"/>
    </row>
    <row r="21" spans="1:8" x14ac:dyDescent="0.3">
      <c r="A21" s="26" t="s">
        <v>47</v>
      </c>
      <c r="B21" s="27" t="s">
        <v>44</v>
      </c>
      <c r="C21" s="9">
        <v>5.4679690000000001</v>
      </c>
      <c r="D21" s="9">
        <v>-3.1696680000000002</v>
      </c>
      <c r="E21" s="46"/>
      <c r="F21" s="50"/>
      <c r="H21" s="51"/>
    </row>
    <row r="22" spans="1:8" x14ac:dyDescent="0.3">
      <c r="A22" s="6" t="s">
        <v>30</v>
      </c>
      <c r="B22" s="8" t="s">
        <v>25</v>
      </c>
      <c r="C22" s="7">
        <v>-1.4051659999999999</v>
      </c>
      <c r="D22" s="7">
        <v>1.7822800000000001</v>
      </c>
      <c r="E22" s="46"/>
      <c r="F22" s="50"/>
      <c r="H22" s="51"/>
    </row>
    <row r="23" spans="1:8" x14ac:dyDescent="0.3">
      <c r="A23" s="26" t="s">
        <v>34</v>
      </c>
      <c r="B23" s="27" t="s">
        <v>32</v>
      </c>
      <c r="C23" s="9">
        <v>-7.7493179999999997</v>
      </c>
      <c r="D23" s="9">
        <v>19.995293</v>
      </c>
      <c r="E23" s="46"/>
      <c r="F23" s="50"/>
      <c r="H23" s="51"/>
    </row>
    <row r="24" spans="1:8" x14ac:dyDescent="0.3">
      <c r="A24" s="6" t="s">
        <v>51</v>
      </c>
      <c r="B24" s="8" t="s">
        <v>49</v>
      </c>
      <c r="C24" s="7">
        <v>-37.257121299999987</v>
      </c>
      <c r="D24" s="7">
        <v>31.6872507</v>
      </c>
      <c r="E24" s="46"/>
      <c r="F24" s="50"/>
      <c r="H24" s="51"/>
    </row>
    <row r="25" spans="1:8" x14ac:dyDescent="0.3">
      <c r="A25" s="26" t="s">
        <v>41</v>
      </c>
      <c r="B25" s="27" t="s">
        <v>39</v>
      </c>
      <c r="C25" s="9">
        <v>-5.53871</v>
      </c>
      <c r="D25" s="9">
        <v>5.2643149999999999</v>
      </c>
      <c r="E25" s="46"/>
      <c r="F25" s="50"/>
      <c r="H25" s="51"/>
    </row>
    <row r="26" spans="1:8" x14ac:dyDescent="0.3">
      <c r="A26" s="6" t="s">
        <v>62</v>
      </c>
      <c r="B26" s="8" t="s">
        <v>53</v>
      </c>
      <c r="C26" s="7">
        <v>9.4607445000000006</v>
      </c>
      <c r="D26" s="7">
        <v>-3.635195</v>
      </c>
      <c r="E26" s="46"/>
      <c r="F26" s="50"/>
      <c r="H26" s="51"/>
    </row>
    <row r="27" spans="1:8" x14ac:dyDescent="0.3">
      <c r="A27" s="26" t="s">
        <v>29</v>
      </c>
      <c r="B27" s="27" t="s">
        <v>24</v>
      </c>
      <c r="C27" s="9">
        <v>23.695567</v>
      </c>
      <c r="D27" s="9">
        <v>-3.7592840000000001</v>
      </c>
      <c r="E27" s="46"/>
      <c r="F27" s="50"/>
      <c r="H27" s="51"/>
    </row>
    <row r="28" spans="1:8" x14ac:dyDescent="0.3">
      <c r="A28" s="6" t="s">
        <v>67</v>
      </c>
      <c r="B28" s="8" t="s">
        <v>61</v>
      </c>
      <c r="C28" s="7">
        <v>4.6389639999999996</v>
      </c>
      <c r="D28" s="7">
        <v>3.2178680000000002</v>
      </c>
      <c r="E28" s="46"/>
      <c r="F28" s="50"/>
      <c r="H28" s="51"/>
    </row>
    <row r="29" spans="1:8" x14ac:dyDescent="0.3">
      <c r="A29" s="26" t="s">
        <v>48</v>
      </c>
      <c r="B29" s="27" t="s">
        <v>45</v>
      </c>
      <c r="C29" s="9">
        <v>7.8410500000000001</v>
      </c>
      <c r="D29" s="9">
        <v>-1.260834</v>
      </c>
      <c r="E29" s="46"/>
      <c r="F29" s="50"/>
      <c r="H29" s="51"/>
    </row>
    <row r="30" spans="1:8" x14ac:dyDescent="0.3">
      <c r="A30" s="6" t="s">
        <v>46</v>
      </c>
      <c r="B30" s="8" t="s">
        <v>43</v>
      </c>
      <c r="C30" s="7">
        <v>6.8523490000000002</v>
      </c>
      <c r="D30" s="7">
        <v>2.0960709999999998</v>
      </c>
      <c r="E30" s="46"/>
      <c r="F30" s="50"/>
      <c r="H30" s="51"/>
    </row>
    <row r="31" spans="1:8" ht="15" thickBot="1" x14ac:dyDescent="0.35">
      <c r="A31" s="26" t="s">
        <v>63</v>
      </c>
      <c r="B31" s="27" t="s">
        <v>55</v>
      </c>
      <c r="C31" s="9">
        <v>4.939648</v>
      </c>
      <c r="D31" s="9">
        <v>-8.7640309999999992</v>
      </c>
      <c r="E31" s="46"/>
      <c r="F31" s="50"/>
      <c r="H31" s="51"/>
    </row>
    <row r="32" spans="1:8" ht="21" customHeight="1" thickBot="1" x14ac:dyDescent="0.35">
      <c r="A32" s="78" t="s">
        <v>68</v>
      </c>
      <c r="B32" s="79"/>
      <c r="C32" s="28">
        <f>SUM(C2:C31)</f>
        <v>27.196968674100013</v>
      </c>
      <c r="D32" s="28">
        <f>SUM(D2:D31)</f>
        <v>106.72803523209998</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0" ht="55.2" x14ac:dyDescent="0.3">
      <c r="A1" s="38" t="str">
        <f>CONCATENATE("100 Most Traded Stocks YTD - ",'Weekly Top 10'!$C$5)</f>
        <v>100 Most Traded Stocks YTD - Week of 1 January 2024</v>
      </c>
      <c r="B1" s="21" t="s">
        <v>1</v>
      </c>
      <c r="C1" s="61" t="s">
        <v>105</v>
      </c>
      <c r="D1" s="22" t="s">
        <v>104</v>
      </c>
      <c r="E1" s="22" t="s">
        <v>106</v>
      </c>
      <c r="F1" s="22" t="s">
        <v>107</v>
      </c>
      <c r="H1" s="50"/>
    </row>
    <row r="2" spans="1:10" x14ac:dyDescent="0.3">
      <c r="A2" s="23" t="s">
        <v>27</v>
      </c>
      <c r="B2" s="24" t="s">
        <v>22</v>
      </c>
      <c r="C2" s="68">
        <v>80.250825985000006</v>
      </c>
      <c r="D2" s="68">
        <v>29.039542000000001</v>
      </c>
      <c r="E2" s="68">
        <v>57.187609000000002</v>
      </c>
      <c r="F2" s="25" t="s">
        <v>14</v>
      </c>
      <c r="G2" s="67"/>
      <c r="H2" s="67"/>
      <c r="I2" s="67"/>
      <c r="J2" s="51"/>
    </row>
    <row r="3" spans="1:10" x14ac:dyDescent="0.3">
      <c r="A3" s="26" t="s">
        <v>51</v>
      </c>
      <c r="B3" s="27" t="s">
        <v>49</v>
      </c>
      <c r="C3" s="69">
        <v>76.037222549999996</v>
      </c>
      <c r="D3" s="69">
        <v>-37.257121299999994</v>
      </c>
      <c r="E3" s="69">
        <v>-7.0136799999999985E-2</v>
      </c>
      <c r="F3" s="9" t="s">
        <v>224</v>
      </c>
      <c r="G3" s="67"/>
      <c r="H3" s="67"/>
      <c r="I3" s="67"/>
      <c r="J3" s="51"/>
    </row>
    <row r="4" spans="1:10" x14ac:dyDescent="0.3">
      <c r="A4" s="6" t="s">
        <v>29</v>
      </c>
      <c r="B4" s="8" t="s">
        <v>24</v>
      </c>
      <c r="C4" s="70">
        <v>44.21255575</v>
      </c>
      <c r="D4" s="70">
        <v>23.695567</v>
      </c>
      <c r="E4" s="70">
        <v>23.386395</v>
      </c>
      <c r="F4" s="7" t="s">
        <v>14</v>
      </c>
      <c r="G4" s="67"/>
      <c r="H4" s="67"/>
      <c r="I4" s="67"/>
      <c r="J4" s="51"/>
    </row>
    <row r="5" spans="1:10" x14ac:dyDescent="0.3">
      <c r="A5" s="26" t="s">
        <v>153</v>
      </c>
      <c r="B5" s="27" t="s">
        <v>58</v>
      </c>
      <c r="C5" s="69">
        <v>43.916189700000004</v>
      </c>
      <c r="D5" s="69">
        <v>-5.9492649999999978</v>
      </c>
      <c r="E5" s="69">
        <v>-4.5042369999999998</v>
      </c>
      <c r="F5" s="9" t="s">
        <v>18</v>
      </c>
      <c r="G5" s="67"/>
      <c r="H5" s="67"/>
      <c r="I5" s="67"/>
      <c r="J5" s="51"/>
    </row>
    <row r="6" spans="1:10" x14ac:dyDescent="0.3">
      <c r="A6" s="6" t="s">
        <v>231</v>
      </c>
      <c r="B6" s="8" t="s">
        <v>23</v>
      </c>
      <c r="C6" s="70">
        <v>43.220141499999997</v>
      </c>
      <c r="D6" s="70">
        <v>-0.97581700000000005</v>
      </c>
      <c r="E6" s="70">
        <v>12.291814</v>
      </c>
      <c r="F6" s="7" t="s">
        <v>14</v>
      </c>
      <c r="G6" s="67"/>
      <c r="H6" s="67"/>
      <c r="I6" s="67"/>
      <c r="J6" s="51"/>
    </row>
    <row r="7" spans="1:10" x14ac:dyDescent="0.3">
      <c r="A7" s="26" t="s">
        <v>154</v>
      </c>
      <c r="B7" s="27" t="s">
        <v>55</v>
      </c>
      <c r="C7" s="69">
        <v>30.027454124999998</v>
      </c>
      <c r="D7" s="69">
        <v>4.939648</v>
      </c>
      <c r="E7" s="69">
        <v>6.9670820000000004</v>
      </c>
      <c r="F7" s="9" t="s">
        <v>15</v>
      </c>
      <c r="G7" s="67"/>
      <c r="H7" s="67"/>
      <c r="I7" s="67"/>
      <c r="J7" s="51"/>
    </row>
    <row r="8" spans="1:10" x14ac:dyDescent="0.3">
      <c r="A8" s="6" t="s">
        <v>156</v>
      </c>
      <c r="B8" s="8" t="s">
        <v>26</v>
      </c>
      <c r="C8" s="70">
        <v>28.423833934999998</v>
      </c>
      <c r="D8" s="70">
        <v>2.0879940000000001</v>
      </c>
      <c r="E8" s="70">
        <v>7.4389029999999998</v>
      </c>
      <c r="F8" s="54" t="s">
        <v>18</v>
      </c>
      <c r="G8" s="67"/>
      <c r="H8" s="67"/>
      <c r="I8" s="67"/>
      <c r="J8" s="51"/>
    </row>
    <row r="9" spans="1:10" x14ac:dyDescent="0.3">
      <c r="A9" s="26" t="s">
        <v>234</v>
      </c>
      <c r="B9" s="27" t="s">
        <v>93</v>
      </c>
      <c r="C9" s="69">
        <v>25.993267383499997</v>
      </c>
      <c r="D9" s="69">
        <v>-7.5436051000000006</v>
      </c>
      <c r="E9" s="69">
        <v>-6.8056175000000039</v>
      </c>
      <c r="F9" s="9" t="s">
        <v>15</v>
      </c>
      <c r="G9" s="67"/>
      <c r="H9" s="67"/>
      <c r="I9" s="67"/>
      <c r="J9" s="51"/>
    </row>
    <row r="10" spans="1:10" x14ac:dyDescent="0.3">
      <c r="A10" s="6" t="s">
        <v>250</v>
      </c>
      <c r="B10" s="8" t="s">
        <v>33</v>
      </c>
      <c r="C10" s="70">
        <v>24.61104825</v>
      </c>
      <c r="D10" s="70">
        <v>12.608487999999999</v>
      </c>
      <c r="E10" s="70">
        <v>18.833355999999998</v>
      </c>
      <c r="F10" s="7" t="s">
        <v>15</v>
      </c>
      <c r="G10" s="67"/>
      <c r="H10" s="67"/>
      <c r="I10" s="67"/>
      <c r="J10" s="51"/>
    </row>
    <row r="11" spans="1:10" x14ac:dyDescent="0.3">
      <c r="A11" s="26" t="s">
        <v>159</v>
      </c>
      <c r="B11" s="27" t="s">
        <v>87</v>
      </c>
      <c r="C11" s="69">
        <v>21.636043999999998</v>
      </c>
      <c r="D11" s="69">
        <v>-10.722864</v>
      </c>
      <c r="E11" s="69">
        <v>-4.6579639999999998</v>
      </c>
      <c r="F11" s="9" t="s">
        <v>14</v>
      </c>
      <c r="G11" s="67"/>
      <c r="H11" s="67"/>
      <c r="I11" s="67"/>
      <c r="J11" s="51"/>
    </row>
    <row r="12" spans="1:10" x14ac:dyDescent="0.3">
      <c r="A12" s="6" t="s">
        <v>162</v>
      </c>
      <c r="B12" s="8" t="s">
        <v>53</v>
      </c>
      <c r="C12" s="70">
        <v>21.52600975</v>
      </c>
      <c r="D12" s="70">
        <v>9.4607445000000006</v>
      </c>
      <c r="E12" s="70">
        <v>10.4684855</v>
      </c>
      <c r="F12" s="7" t="s">
        <v>12</v>
      </c>
      <c r="G12" s="67"/>
      <c r="H12" s="67"/>
      <c r="I12" s="67"/>
      <c r="J12" s="51"/>
    </row>
    <row r="13" spans="1:10" x14ac:dyDescent="0.3">
      <c r="A13" s="26" t="s">
        <v>34</v>
      </c>
      <c r="B13" s="27" t="s">
        <v>32</v>
      </c>
      <c r="C13" s="69">
        <v>20.240417350000001</v>
      </c>
      <c r="D13" s="69">
        <v>-7.7493179999999997</v>
      </c>
      <c r="E13" s="69">
        <v>-9.0748449999999998</v>
      </c>
      <c r="F13" s="9" t="s">
        <v>15</v>
      </c>
      <c r="G13" s="67"/>
      <c r="H13" s="67"/>
      <c r="I13" s="67"/>
      <c r="J13" s="51"/>
    </row>
    <row r="14" spans="1:10" x14ac:dyDescent="0.3">
      <c r="A14" s="6" t="s">
        <v>155</v>
      </c>
      <c r="B14" s="8" t="s">
        <v>37</v>
      </c>
      <c r="C14" s="70">
        <v>20.107501374999998</v>
      </c>
      <c r="D14" s="70">
        <v>2.9738365</v>
      </c>
      <c r="E14" s="70">
        <v>7.5169110000000003</v>
      </c>
      <c r="F14" s="7" t="s">
        <v>11</v>
      </c>
      <c r="G14" s="67"/>
      <c r="H14" s="67"/>
      <c r="I14" s="67"/>
      <c r="J14" s="51"/>
    </row>
    <row r="15" spans="1:10" x14ac:dyDescent="0.3">
      <c r="A15" s="26" t="s">
        <v>157</v>
      </c>
      <c r="B15" s="27" t="s">
        <v>40</v>
      </c>
      <c r="C15" s="69">
        <v>17.300529399999999</v>
      </c>
      <c r="D15" s="69">
        <v>-3.8533189999999999</v>
      </c>
      <c r="E15" s="69">
        <v>-3.4973420000000002</v>
      </c>
      <c r="F15" s="9" t="s">
        <v>18</v>
      </c>
      <c r="G15" s="67"/>
      <c r="H15" s="67"/>
      <c r="I15" s="67"/>
      <c r="J15" s="51"/>
    </row>
    <row r="16" spans="1:10" x14ac:dyDescent="0.3">
      <c r="A16" s="6" t="s">
        <v>167</v>
      </c>
      <c r="B16" s="8" t="s">
        <v>45</v>
      </c>
      <c r="C16" s="70">
        <v>16.384665025</v>
      </c>
      <c r="D16" s="70">
        <v>7.8410500000000001</v>
      </c>
      <c r="E16" s="70">
        <v>7.6045369999999997</v>
      </c>
      <c r="F16" s="7" t="s">
        <v>225</v>
      </c>
      <c r="G16" s="67"/>
      <c r="H16" s="67"/>
      <c r="I16" s="67"/>
      <c r="J16" s="51"/>
    </row>
    <row r="17" spans="1:10" x14ac:dyDescent="0.3">
      <c r="A17" s="26" t="s">
        <v>158</v>
      </c>
      <c r="B17" s="27" t="s">
        <v>43</v>
      </c>
      <c r="C17" s="69">
        <v>14.204211000000001</v>
      </c>
      <c r="D17" s="69">
        <v>6.8523490000000002</v>
      </c>
      <c r="E17" s="69">
        <v>8.9752569999999992</v>
      </c>
      <c r="F17" s="9" t="s">
        <v>12</v>
      </c>
      <c r="G17" s="67"/>
      <c r="H17" s="67"/>
      <c r="I17" s="67"/>
      <c r="J17" s="51"/>
    </row>
    <row r="18" spans="1:10" x14ac:dyDescent="0.3">
      <c r="A18" s="6" t="s">
        <v>174</v>
      </c>
      <c r="B18" s="8" t="s">
        <v>61</v>
      </c>
      <c r="C18" s="70">
        <v>13.13179867</v>
      </c>
      <c r="D18" s="70">
        <v>4.6389639999999996</v>
      </c>
      <c r="E18" s="70">
        <v>5.884728</v>
      </c>
      <c r="F18" s="7" t="s">
        <v>17</v>
      </c>
      <c r="G18" s="67"/>
      <c r="H18" s="67"/>
      <c r="I18" s="67"/>
      <c r="J18" s="51"/>
    </row>
    <row r="19" spans="1:10" x14ac:dyDescent="0.3">
      <c r="A19" s="26" t="s">
        <v>41</v>
      </c>
      <c r="B19" s="27" t="s">
        <v>39</v>
      </c>
      <c r="C19" s="69">
        <v>11.93838</v>
      </c>
      <c r="D19" s="69">
        <v>-5.53871</v>
      </c>
      <c r="E19" s="69">
        <v>-4.2488570000000001</v>
      </c>
      <c r="F19" s="9" t="s">
        <v>15</v>
      </c>
      <c r="G19" s="67"/>
      <c r="H19" s="67"/>
      <c r="I19" s="67"/>
      <c r="J19" s="51"/>
    </row>
    <row r="20" spans="1:10" x14ac:dyDescent="0.3">
      <c r="A20" s="6" t="s">
        <v>169</v>
      </c>
      <c r="B20" s="8" t="s">
        <v>80</v>
      </c>
      <c r="C20" s="70">
        <v>11.359957</v>
      </c>
      <c r="D20" s="70">
        <v>-7.8021659999999997</v>
      </c>
      <c r="E20" s="70">
        <v>-7.1049470000000001</v>
      </c>
      <c r="F20" s="7" t="s">
        <v>18</v>
      </c>
      <c r="G20" s="67"/>
      <c r="H20" s="67"/>
      <c r="I20" s="67"/>
      <c r="J20" s="51"/>
    </row>
    <row r="21" spans="1:10" x14ac:dyDescent="0.3">
      <c r="A21" s="26" t="s">
        <v>160</v>
      </c>
      <c r="B21" s="27" t="s">
        <v>60</v>
      </c>
      <c r="C21" s="69">
        <v>10.846893400000001</v>
      </c>
      <c r="D21" s="69">
        <v>-3.087567</v>
      </c>
      <c r="E21" s="69">
        <v>-3.3354940000000002</v>
      </c>
      <c r="F21" s="9" t="s">
        <v>18</v>
      </c>
      <c r="G21" s="67"/>
      <c r="H21" s="67"/>
      <c r="I21" s="67"/>
      <c r="J21" s="51"/>
    </row>
    <row r="22" spans="1:10" x14ac:dyDescent="0.3">
      <c r="A22" s="6" t="s">
        <v>163</v>
      </c>
      <c r="B22" s="8" t="s">
        <v>44</v>
      </c>
      <c r="C22" s="70">
        <v>10.422597699999999</v>
      </c>
      <c r="D22" s="70">
        <v>5.4679690000000001</v>
      </c>
      <c r="E22" s="70">
        <v>8.9759100000000007</v>
      </c>
      <c r="F22" s="7" t="s">
        <v>20</v>
      </c>
      <c r="G22" s="67"/>
      <c r="H22" s="67"/>
      <c r="I22" s="67"/>
      <c r="J22" s="51"/>
    </row>
    <row r="23" spans="1:10" x14ac:dyDescent="0.3">
      <c r="A23" s="26" t="s">
        <v>165</v>
      </c>
      <c r="B23" s="27" t="s">
        <v>56</v>
      </c>
      <c r="C23" s="69">
        <v>9.8507762499999991</v>
      </c>
      <c r="D23" s="69">
        <v>-4.4081539999999997</v>
      </c>
      <c r="E23" s="69">
        <v>-3.8874309999999999</v>
      </c>
      <c r="F23" s="9" t="s">
        <v>17</v>
      </c>
      <c r="G23" s="67"/>
      <c r="H23" s="67"/>
      <c r="I23" s="67"/>
      <c r="J23" s="51"/>
    </row>
    <row r="24" spans="1:10" x14ac:dyDescent="0.3">
      <c r="A24" s="6" t="s">
        <v>170</v>
      </c>
      <c r="B24" s="8" t="s">
        <v>78</v>
      </c>
      <c r="C24" s="70">
        <v>9.5364085000000003</v>
      </c>
      <c r="D24" s="70">
        <v>-2.5992850000000001</v>
      </c>
      <c r="E24" s="70">
        <v>-3.1029089999999999</v>
      </c>
      <c r="F24" s="7" t="s">
        <v>18</v>
      </c>
      <c r="G24" s="67"/>
      <c r="H24" s="67"/>
      <c r="I24" s="67"/>
      <c r="J24" s="51"/>
    </row>
    <row r="25" spans="1:10" x14ac:dyDescent="0.3">
      <c r="A25" s="26" t="s">
        <v>30</v>
      </c>
      <c r="B25" s="27" t="s">
        <v>25</v>
      </c>
      <c r="C25" s="69">
        <v>9.0200867500000008</v>
      </c>
      <c r="D25" s="69">
        <v>-1.4051659999999999</v>
      </c>
      <c r="E25" s="69">
        <v>2.8491050000000002</v>
      </c>
      <c r="F25" s="9" t="s">
        <v>14</v>
      </c>
      <c r="G25" s="67"/>
      <c r="H25" s="67"/>
      <c r="I25" s="67"/>
      <c r="J25" s="51"/>
    </row>
    <row r="26" spans="1:10" x14ac:dyDescent="0.3">
      <c r="A26" s="6" t="s">
        <v>113</v>
      </c>
      <c r="B26" s="8" t="s">
        <v>108</v>
      </c>
      <c r="C26" s="70">
        <v>7.830606875</v>
      </c>
      <c r="D26" s="70">
        <v>0.52216450000000003</v>
      </c>
      <c r="E26" s="70">
        <v>0.67181100000000005</v>
      </c>
      <c r="F26" s="7" t="s">
        <v>18</v>
      </c>
      <c r="G26" s="67"/>
      <c r="H26" s="67"/>
      <c r="I26" s="67"/>
      <c r="J26" s="51"/>
    </row>
    <row r="27" spans="1:10" x14ac:dyDescent="0.3">
      <c r="A27" s="26" t="s">
        <v>166</v>
      </c>
      <c r="B27" s="27" t="s">
        <v>82</v>
      </c>
      <c r="C27" s="69">
        <v>7.7454947499999989</v>
      </c>
      <c r="D27" s="69">
        <v>-1.8101609999999999</v>
      </c>
      <c r="E27" s="69">
        <v>-2.5454270000000001</v>
      </c>
      <c r="F27" s="9" t="s">
        <v>18</v>
      </c>
      <c r="G27" s="67"/>
      <c r="H27" s="67"/>
      <c r="I27" s="67"/>
      <c r="J27" s="51"/>
    </row>
    <row r="28" spans="1:10" x14ac:dyDescent="0.3">
      <c r="A28" s="6" t="s">
        <v>164</v>
      </c>
      <c r="B28" s="8" t="s">
        <v>50</v>
      </c>
      <c r="C28" s="70">
        <v>7.4883005000000002</v>
      </c>
      <c r="D28" s="70">
        <v>2.192939</v>
      </c>
      <c r="E28" s="70">
        <v>4.324071</v>
      </c>
      <c r="F28" s="7" t="s">
        <v>11</v>
      </c>
      <c r="G28" s="67"/>
      <c r="H28" s="67"/>
      <c r="I28" s="67"/>
      <c r="J28" s="51"/>
    </row>
    <row r="29" spans="1:10" x14ac:dyDescent="0.3">
      <c r="A29" s="26" t="s">
        <v>161</v>
      </c>
      <c r="B29" s="27" t="s">
        <v>54</v>
      </c>
      <c r="C29" s="69">
        <v>7.2166840008500008</v>
      </c>
      <c r="D29" s="69">
        <v>2.4094875937000002</v>
      </c>
      <c r="E29" s="69">
        <v>4.5760216264999984</v>
      </c>
      <c r="F29" s="9" t="s">
        <v>15</v>
      </c>
      <c r="G29" s="67"/>
      <c r="H29" s="67"/>
      <c r="I29" s="67"/>
      <c r="J29" s="51"/>
    </row>
    <row r="30" spans="1:10" x14ac:dyDescent="0.3">
      <c r="A30" s="6" t="s">
        <v>172</v>
      </c>
      <c r="B30" s="8" t="s">
        <v>114</v>
      </c>
      <c r="C30" s="70">
        <v>7.1802524999999999</v>
      </c>
      <c r="D30" s="70">
        <v>4.6156490000000003</v>
      </c>
      <c r="E30" s="70">
        <v>6.4720209999999998</v>
      </c>
      <c r="F30" s="7" t="s">
        <v>15</v>
      </c>
      <c r="G30" s="67"/>
      <c r="H30" s="67"/>
      <c r="I30" s="67"/>
      <c r="J30" s="51"/>
    </row>
    <row r="31" spans="1:10" x14ac:dyDescent="0.3">
      <c r="A31" s="26" t="s">
        <v>36</v>
      </c>
      <c r="B31" s="27" t="s">
        <v>31</v>
      </c>
      <c r="C31" s="69">
        <v>6.3794152500000001</v>
      </c>
      <c r="D31" s="69">
        <v>2.6736620000000002</v>
      </c>
      <c r="E31" s="69">
        <v>3.624485</v>
      </c>
      <c r="F31" s="9" t="s">
        <v>15</v>
      </c>
      <c r="G31" s="67"/>
      <c r="H31" s="67"/>
      <c r="I31" s="67"/>
      <c r="J31" s="51"/>
    </row>
    <row r="32" spans="1:10" x14ac:dyDescent="0.3">
      <c r="A32" s="6" t="s">
        <v>171</v>
      </c>
      <c r="B32" s="8" t="s">
        <v>57</v>
      </c>
      <c r="C32" s="70">
        <v>5.9975496337000003</v>
      </c>
      <c r="D32" s="70">
        <v>3.9188527888000002</v>
      </c>
      <c r="E32" s="70">
        <v>4.2371454072000061</v>
      </c>
      <c r="F32" s="7" t="s">
        <v>17</v>
      </c>
      <c r="G32" s="67"/>
      <c r="H32" s="67"/>
      <c r="I32" s="67"/>
      <c r="J32" s="51"/>
    </row>
    <row r="33" spans="1:10" x14ac:dyDescent="0.3">
      <c r="A33" s="26" t="s">
        <v>175</v>
      </c>
      <c r="B33" s="27" t="s">
        <v>97</v>
      </c>
      <c r="C33" s="69">
        <v>5.931845</v>
      </c>
      <c r="D33" s="69">
        <v>-1.980945</v>
      </c>
      <c r="E33" s="69">
        <v>-1.450841</v>
      </c>
      <c r="F33" s="9" t="s">
        <v>18</v>
      </c>
      <c r="G33" s="67"/>
      <c r="H33" s="67"/>
      <c r="I33" s="67"/>
      <c r="J33" s="51"/>
    </row>
    <row r="34" spans="1:10" x14ac:dyDescent="0.3">
      <c r="A34" s="6" t="s">
        <v>179</v>
      </c>
      <c r="B34" s="8" t="s">
        <v>100</v>
      </c>
      <c r="C34" s="70">
        <v>4.9446975000000002</v>
      </c>
      <c r="D34" s="70">
        <v>0.31214799999999998</v>
      </c>
      <c r="E34" s="70">
        <v>0.27825050000000001</v>
      </c>
      <c r="F34" s="7" t="s">
        <v>15</v>
      </c>
      <c r="G34" s="67"/>
      <c r="H34" s="67"/>
      <c r="I34" s="67"/>
      <c r="J34" s="51"/>
    </row>
    <row r="35" spans="1:10" x14ac:dyDescent="0.3">
      <c r="A35" s="26" t="s">
        <v>181</v>
      </c>
      <c r="B35" s="27" t="s">
        <v>118</v>
      </c>
      <c r="C35" s="69">
        <v>4.9272126250000001</v>
      </c>
      <c r="D35" s="69">
        <v>-0.62245499999999998</v>
      </c>
      <c r="E35" s="69">
        <v>-0.84783699999999995</v>
      </c>
      <c r="F35" s="9" t="s">
        <v>225</v>
      </c>
      <c r="G35" s="67"/>
      <c r="H35" s="67"/>
      <c r="I35" s="67"/>
      <c r="J35" s="51"/>
    </row>
    <row r="36" spans="1:10" x14ac:dyDescent="0.3">
      <c r="A36" s="6" t="s">
        <v>189</v>
      </c>
      <c r="B36" s="8" t="s">
        <v>124</v>
      </c>
      <c r="C36" s="70">
        <v>4.6345405</v>
      </c>
      <c r="D36" s="70">
        <v>2.0782595000000001</v>
      </c>
      <c r="E36" s="70">
        <v>0.66121949999999996</v>
      </c>
      <c r="F36" s="7" t="s">
        <v>224</v>
      </c>
      <c r="G36" s="67"/>
      <c r="H36" s="67"/>
      <c r="I36" s="67"/>
      <c r="J36" s="51"/>
    </row>
    <row r="37" spans="1:10" x14ac:dyDescent="0.3">
      <c r="A37" s="26" t="s">
        <v>251</v>
      </c>
      <c r="B37" s="27" t="s">
        <v>252</v>
      </c>
      <c r="C37" s="69">
        <v>4.5200277499999997</v>
      </c>
      <c r="D37" s="69">
        <v>0.151978</v>
      </c>
      <c r="E37" s="69">
        <v>0.1387041</v>
      </c>
      <c r="F37" s="9" t="s">
        <v>15</v>
      </c>
      <c r="G37" s="67"/>
      <c r="H37" s="67"/>
      <c r="I37" s="67"/>
      <c r="J37" s="51"/>
    </row>
    <row r="38" spans="1:10" x14ac:dyDescent="0.3">
      <c r="A38" s="6" t="s">
        <v>218</v>
      </c>
      <c r="B38" s="8" t="s">
        <v>236</v>
      </c>
      <c r="C38" s="70">
        <v>4.0815355499999999</v>
      </c>
      <c r="D38" s="70">
        <v>-8.6785299999999982E-2</v>
      </c>
      <c r="E38" s="70">
        <v>-8.8535800000000012E-2</v>
      </c>
      <c r="F38" s="7" t="s">
        <v>226</v>
      </c>
      <c r="G38" s="67"/>
      <c r="H38" s="67"/>
      <c r="I38" s="67"/>
      <c r="J38" s="51"/>
    </row>
    <row r="39" spans="1:10" x14ac:dyDescent="0.3">
      <c r="A39" s="26" t="s">
        <v>201</v>
      </c>
      <c r="B39" s="27" t="s">
        <v>132</v>
      </c>
      <c r="C39" s="69">
        <v>4.0715764999999999</v>
      </c>
      <c r="D39" s="69">
        <v>-2.48027</v>
      </c>
      <c r="E39" s="69">
        <v>-2.6422569999999999</v>
      </c>
      <c r="F39" s="9" t="s">
        <v>225</v>
      </c>
      <c r="G39" s="67"/>
      <c r="H39" s="67"/>
      <c r="I39" s="67"/>
      <c r="J39" s="51"/>
    </row>
    <row r="40" spans="1:10" x14ac:dyDescent="0.3">
      <c r="A40" s="6" t="s">
        <v>195</v>
      </c>
      <c r="B40" s="8" t="s">
        <v>112</v>
      </c>
      <c r="C40" s="70">
        <v>3.9986762250000001</v>
      </c>
      <c r="D40" s="70">
        <v>1.5347280000000001</v>
      </c>
      <c r="E40" s="70">
        <v>1.7150651000000001</v>
      </c>
      <c r="F40" s="7" t="s">
        <v>227</v>
      </c>
      <c r="G40" s="67"/>
      <c r="H40" s="67"/>
      <c r="I40" s="67"/>
      <c r="J40" s="51"/>
    </row>
    <row r="41" spans="1:10" x14ac:dyDescent="0.3">
      <c r="A41" s="26" t="s">
        <v>168</v>
      </c>
      <c r="B41" s="27" t="s">
        <v>94</v>
      </c>
      <c r="C41" s="69">
        <v>3.9068955000000001</v>
      </c>
      <c r="D41" s="69">
        <v>1.9562809999999999</v>
      </c>
      <c r="E41" s="69">
        <v>1.1836009999999999</v>
      </c>
      <c r="F41" s="9" t="s">
        <v>18</v>
      </c>
      <c r="G41" s="67"/>
      <c r="H41" s="67"/>
      <c r="I41" s="67"/>
      <c r="J41" s="51"/>
    </row>
    <row r="42" spans="1:10" x14ac:dyDescent="0.3">
      <c r="A42" s="6" t="s">
        <v>173</v>
      </c>
      <c r="B42" s="8" t="s">
        <v>235</v>
      </c>
      <c r="C42" s="70">
        <v>3.6429812500000001</v>
      </c>
      <c r="D42" s="70">
        <v>0.13295000000000001</v>
      </c>
      <c r="E42" s="70">
        <v>-0.25573400000000002</v>
      </c>
      <c r="F42" s="7" t="s">
        <v>225</v>
      </c>
      <c r="G42" s="67"/>
      <c r="H42" s="67"/>
      <c r="I42" s="67"/>
      <c r="J42" s="51"/>
    </row>
    <row r="43" spans="1:10" x14ac:dyDescent="0.3">
      <c r="A43" s="26" t="s">
        <v>180</v>
      </c>
      <c r="B43" s="27" t="s">
        <v>117</v>
      </c>
      <c r="C43" s="69">
        <v>3.3064547499999999</v>
      </c>
      <c r="D43" s="69">
        <v>0.87266600000000005</v>
      </c>
      <c r="E43" s="69">
        <v>1.112681</v>
      </c>
      <c r="F43" s="9" t="s">
        <v>18</v>
      </c>
      <c r="G43" s="67"/>
      <c r="H43" s="67"/>
      <c r="I43" s="67"/>
      <c r="J43" s="51"/>
    </row>
    <row r="44" spans="1:10" x14ac:dyDescent="0.3">
      <c r="A44" s="6" t="s">
        <v>186</v>
      </c>
      <c r="B44" s="8" t="s">
        <v>96</v>
      </c>
      <c r="C44" s="70">
        <v>2.7049685000000001</v>
      </c>
      <c r="D44" s="70">
        <v>-2.1511300000000002</v>
      </c>
      <c r="E44" s="70">
        <v>-1.875154</v>
      </c>
      <c r="F44" s="7" t="s">
        <v>12</v>
      </c>
      <c r="G44" s="67"/>
      <c r="H44" s="67"/>
      <c r="I44" s="67"/>
      <c r="J44" s="51"/>
    </row>
    <row r="45" spans="1:10" x14ac:dyDescent="0.3">
      <c r="A45" s="26" t="s">
        <v>178</v>
      </c>
      <c r="B45" s="27" t="s">
        <v>95</v>
      </c>
      <c r="C45" s="69">
        <v>2.6728587500000001</v>
      </c>
      <c r="D45" s="69">
        <v>-1.209063</v>
      </c>
      <c r="E45" s="69">
        <v>1.9748000000000002E-2</v>
      </c>
      <c r="F45" s="9" t="s">
        <v>225</v>
      </c>
      <c r="G45" s="67"/>
      <c r="H45" s="67"/>
      <c r="I45" s="67"/>
      <c r="J45" s="51"/>
    </row>
    <row r="46" spans="1:10" x14ac:dyDescent="0.3">
      <c r="A46" s="6" t="s">
        <v>253</v>
      </c>
      <c r="B46" s="8" t="s">
        <v>254</v>
      </c>
      <c r="C46" s="70">
        <v>2.5795156000000001</v>
      </c>
      <c r="D46" s="70">
        <v>4.7887200000000046E-2</v>
      </c>
      <c r="E46" s="70">
        <v>3.8695600000000094E-2</v>
      </c>
      <c r="F46" s="7" t="s">
        <v>15</v>
      </c>
      <c r="G46" s="67"/>
      <c r="H46" s="67"/>
      <c r="I46" s="67"/>
      <c r="J46" s="51"/>
    </row>
    <row r="47" spans="1:10" x14ac:dyDescent="0.3">
      <c r="A47" s="26" t="s">
        <v>190</v>
      </c>
      <c r="B47" s="27" t="s">
        <v>125</v>
      </c>
      <c r="C47" s="69">
        <v>2.3229688048450003</v>
      </c>
      <c r="D47" s="69">
        <v>-0.35185337978999998</v>
      </c>
      <c r="E47" s="69">
        <v>-0.40739460203</v>
      </c>
      <c r="F47" s="9" t="s">
        <v>11</v>
      </c>
      <c r="G47" s="67"/>
      <c r="H47" s="67"/>
      <c r="I47" s="67"/>
      <c r="J47" s="51"/>
    </row>
    <row r="48" spans="1:10" x14ac:dyDescent="0.3">
      <c r="A48" s="6" t="s">
        <v>109</v>
      </c>
      <c r="B48" s="8" t="s">
        <v>110</v>
      </c>
      <c r="C48" s="70">
        <v>2.2656426249999999</v>
      </c>
      <c r="D48" s="70">
        <v>0.19606899999999999</v>
      </c>
      <c r="E48" s="70">
        <v>0.67099549999999997</v>
      </c>
      <c r="F48" s="7" t="s">
        <v>18</v>
      </c>
      <c r="G48" s="67"/>
      <c r="H48" s="67"/>
      <c r="I48" s="67"/>
      <c r="J48" s="51"/>
    </row>
    <row r="49" spans="1:10" x14ac:dyDescent="0.3">
      <c r="A49" s="26" t="s">
        <v>182</v>
      </c>
      <c r="B49" s="27" t="s">
        <v>119</v>
      </c>
      <c r="C49" s="69">
        <v>2.2203235000000001</v>
      </c>
      <c r="D49" s="69">
        <v>0.15649350000000001</v>
      </c>
      <c r="E49" s="69">
        <v>0.93250049999999995</v>
      </c>
      <c r="F49" s="9" t="s">
        <v>225</v>
      </c>
      <c r="G49" s="67"/>
      <c r="H49" s="67"/>
      <c r="I49" s="67"/>
      <c r="J49" s="51"/>
    </row>
    <row r="50" spans="1:10" x14ac:dyDescent="0.3">
      <c r="A50" s="6" t="s">
        <v>197</v>
      </c>
      <c r="B50" s="8" t="s">
        <v>129</v>
      </c>
      <c r="C50" s="70">
        <v>2.202984125</v>
      </c>
      <c r="D50" s="70">
        <v>0.89432999999999996</v>
      </c>
      <c r="E50" s="70">
        <v>1.082627</v>
      </c>
      <c r="F50" s="7" t="s">
        <v>227</v>
      </c>
      <c r="G50" s="67"/>
      <c r="H50" s="67"/>
      <c r="I50" s="67"/>
      <c r="J50" s="51"/>
    </row>
    <row r="51" spans="1:10" x14ac:dyDescent="0.3">
      <c r="A51" s="26" t="s">
        <v>176</v>
      </c>
      <c r="B51" s="27" t="s">
        <v>115</v>
      </c>
      <c r="C51" s="69">
        <v>2.0643456250000001</v>
      </c>
      <c r="D51" s="69">
        <v>-0.19826350000000001</v>
      </c>
      <c r="E51" s="69">
        <v>3.33455E-2</v>
      </c>
      <c r="F51" s="9" t="s">
        <v>18</v>
      </c>
      <c r="G51" s="67"/>
      <c r="H51" s="67"/>
      <c r="I51" s="67"/>
      <c r="J51" s="51"/>
    </row>
    <row r="52" spans="1:10" x14ac:dyDescent="0.3">
      <c r="A52" s="6" t="s">
        <v>207</v>
      </c>
      <c r="B52" s="8" t="s">
        <v>138</v>
      </c>
      <c r="C52" s="70">
        <v>2.0342128750000001</v>
      </c>
      <c r="D52" s="70">
        <v>-0.77838300000000005</v>
      </c>
      <c r="E52" s="70">
        <v>-0.56553900000000001</v>
      </c>
      <c r="F52" s="7" t="s">
        <v>227</v>
      </c>
      <c r="G52" s="67"/>
      <c r="H52" s="67"/>
      <c r="I52" s="67"/>
      <c r="J52" s="51"/>
    </row>
    <row r="53" spans="1:10" x14ac:dyDescent="0.3">
      <c r="A53" s="26" t="s">
        <v>203</v>
      </c>
      <c r="B53" s="27" t="s">
        <v>134</v>
      </c>
      <c r="C53" s="69">
        <v>1.8414051250000001</v>
      </c>
      <c r="D53" s="69">
        <v>0.169493</v>
      </c>
      <c r="E53" s="69">
        <v>0.20485600000000001</v>
      </c>
      <c r="F53" s="9" t="s">
        <v>226</v>
      </c>
      <c r="G53" s="67"/>
      <c r="H53" s="67"/>
      <c r="I53" s="67"/>
      <c r="J53" s="51"/>
    </row>
    <row r="54" spans="1:10" x14ac:dyDescent="0.3">
      <c r="A54" s="6" t="s">
        <v>194</v>
      </c>
      <c r="B54" s="8" t="s">
        <v>127</v>
      </c>
      <c r="C54" s="70">
        <v>1.8379197794375</v>
      </c>
      <c r="D54" s="70">
        <v>-0.25271202840000001</v>
      </c>
      <c r="E54" s="70">
        <v>-0.26234614600000028</v>
      </c>
      <c r="F54" s="7" t="s">
        <v>18</v>
      </c>
      <c r="G54" s="67"/>
      <c r="H54" s="67"/>
      <c r="I54" s="67"/>
      <c r="J54" s="51"/>
    </row>
    <row r="55" spans="1:10" x14ac:dyDescent="0.3">
      <c r="A55" s="26" t="s">
        <v>192</v>
      </c>
      <c r="B55" s="27" t="s">
        <v>59</v>
      </c>
      <c r="C55" s="69">
        <v>1.837213032175</v>
      </c>
      <c r="D55" s="69">
        <v>-0.62885580839999999</v>
      </c>
      <c r="E55" s="69">
        <v>0.57509228360000009</v>
      </c>
      <c r="F55" s="9" t="s">
        <v>12</v>
      </c>
      <c r="G55" s="67"/>
      <c r="H55" s="67"/>
      <c r="I55" s="67"/>
      <c r="J55" s="51"/>
    </row>
    <row r="56" spans="1:10" x14ac:dyDescent="0.3">
      <c r="A56" s="6" t="s">
        <v>193</v>
      </c>
      <c r="B56" s="8" t="s">
        <v>126</v>
      </c>
      <c r="C56" s="70">
        <v>1.6509069999999999</v>
      </c>
      <c r="D56" s="70">
        <v>-0.13515500000000019</v>
      </c>
      <c r="E56" s="70">
        <v>-2.6248000000000118E-2</v>
      </c>
      <c r="F56" s="7" t="s">
        <v>18</v>
      </c>
      <c r="G56" s="67"/>
      <c r="H56" s="67"/>
      <c r="I56" s="67"/>
      <c r="J56" s="51"/>
    </row>
    <row r="57" spans="1:10" x14ac:dyDescent="0.3">
      <c r="A57" s="26" t="s">
        <v>191</v>
      </c>
      <c r="B57" s="27" t="s">
        <v>111</v>
      </c>
      <c r="C57" s="69">
        <v>1.606714</v>
      </c>
      <c r="D57" s="69">
        <v>-0.84968600000000005</v>
      </c>
      <c r="E57" s="69">
        <v>-1.3235355</v>
      </c>
      <c r="F57" s="9" t="s">
        <v>16</v>
      </c>
      <c r="G57" s="67"/>
      <c r="H57" s="67"/>
      <c r="I57" s="67"/>
      <c r="J57" s="51"/>
    </row>
    <row r="58" spans="1:10" x14ac:dyDescent="0.3">
      <c r="A58" s="6" t="s">
        <v>177</v>
      </c>
      <c r="B58" s="8" t="s">
        <v>116</v>
      </c>
      <c r="C58" s="70">
        <v>1.534356125</v>
      </c>
      <c r="D58" s="70">
        <v>-0.178477</v>
      </c>
      <c r="E58" s="70">
        <v>-6.173E-2</v>
      </c>
      <c r="F58" s="7" t="s">
        <v>12</v>
      </c>
      <c r="G58" s="67"/>
      <c r="H58" s="67"/>
      <c r="I58" s="67"/>
      <c r="J58" s="51"/>
    </row>
    <row r="59" spans="1:10" x14ac:dyDescent="0.3">
      <c r="A59" s="26" t="s">
        <v>198</v>
      </c>
      <c r="B59" s="27" t="s">
        <v>130</v>
      </c>
      <c r="C59" s="69">
        <v>1.3203722499999999</v>
      </c>
      <c r="D59" s="69">
        <v>0.332042</v>
      </c>
      <c r="E59" s="69">
        <v>0.41780200000000001</v>
      </c>
      <c r="F59" s="9" t="s">
        <v>18</v>
      </c>
      <c r="G59" s="67"/>
      <c r="H59" s="67"/>
      <c r="I59" s="67"/>
      <c r="J59" s="51"/>
    </row>
    <row r="60" spans="1:10" x14ac:dyDescent="0.3">
      <c r="A60" s="6" t="s">
        <v>202</v>
      </c>
      <c r="B60" s="8" t="s">
        <v>133</v>
      </c>
      <c r="C60" s="70">
        <v>1.233885612715</v>
      </c>
      <c r="D60" s="70">
        <v>0.14335119651</v>
      </c>
      <c r="E60" s="70">
        <v>0.21198257651000002</v>
      </c>
      <c r="F60" s="7" t="s">
        <v>18</v>
      </c>
      <c r="G60" s="67"/>
      <c r="H60" s="67"/>
      <c r="I60" s="67"/>
      <c r="J60" s="51"/>
    </row>
    <row r="61" spans="1:10" x14ac:dyDescent="0.3">
      <c r="A61" s="26" t="s">
        <v>200</v>
      </c>
      <c r="B61" s="27" t="s">
        <v>131</v>
      </c>
      <c r="C61" s="69">
        <v>1.2121862250000002</v>
      </c>
      <c r="D61" s="69">
        <v>8.0038999999999996E-3</v>
      </c>
      <c r="E61" s="69">
        <v>1.2647200000000001E-2</v>
      </c>
      <c r="F61" s="9" t="s">
        <v>227</v>
      </c>
      <c r="G61" s="67"/>
      <c r="H61" s="67"/>
      <c r="I61" s="67"/>
      <c r="J61" s="51"/>
    </row>
    <row r="62" spans="1:10" x14ac:dyDescent="0.3">
      <c r="A62" s="6" t="s">
        <v>196</v>
      </c>
      <c r="B62" s="8" t="s">
        <v>128</v>
      </c>
      <c r="C62" s="70">
        <v>1.1937580000000001</v>
      </c>
      <c r="D62" s="70">
        <v>-0.59192400000000001</v>
      </c>
      <c r="E62" s="70">
        <v>-0.62515399999999999</v>
      </c>
      <c r="F62" s="7" t="s">
        <v>18</v>
      </c>
      <c r="G62" s="67"/>
      <c r="H62" s="67"/>
      <c r="I62" s="67"/>
      <c r="J62" s="51"/>
    </row>
    <row r="63" spans="1:10" x14ac:dyDescent="0.3">
      <c r="A63" s="26" t="s">
        <v>210</v>
      </c>
      <c r="B63" s="27" t="s">
        <v>141</v>
      </c>
      <c r="C63" s="69">
        <v>1.1545369958625</v>
      </c>
      <c r="D63" s="69">
        <v>4.4452260100000002E-2</v>
      </c>
      <c r="E63" s="69">
        <v>8.8642162099999991E-2</v>
      </c>
      <c r="F63" s="9" t="s">
        <v>18</v>
      </c>
      <c r="G63" s="67"/>
      <c r="H63" s="67"/>
      <c r="I63" s="67"/>
      <c r="J63" s="51"/>
    </row>
    <row r="64" spans="1:10" x14ac:dyDescent="0.3">
      <c r="A64" s="6" t="s">
        <v>221</v>
      </c>
      <c r="B64" s="8" t="s">
        <v>99</v>
      </c>
      <c r="C64" s="70">
        <v>1.150231129225</v>
      </c>
      <c r="D64" s="70">
        <v>0.38810652100000015</v>
      </c>
      <c r="E64" s="70">
        <v>-0.29994070780000021</v>
      </c>
      <c r="F64" s="7" t="s">
        <v>18</v>
      </c>
      <c r="G64" s="67"/>
      <c r="H64" s="67"/>
      <c r="I64" s="67"/>
      <c r="J64" s="51"/>
    </row>
    <row r="65" spans="1:10" x14ac:dyDescent="0.3">
      <c r="A65" s="26" t="s">
        <v>209</v>
      </c>
      <c r="B65" s="27" t="s">
        <v>140</v>
      </c>
      <c r="C65" s="69">
        <v>1.123200625</v>
      </c>
      <c r="D65" s="69">
        <v>0.54250949999999998</v>
      </c>
      <c r="E65" s="69">
        <v>0.53679500000000002</v>
      </c>
      <c r="F65" s="9" t="s">
        <v>226</v>
      </c>
      <c r="G65" s="67"/>
      <c r="H65" s="67"/>
      <c r="I65" s="67"/>
      <c r="J65" s="51"/>
    </row>
    <row r="66" spans="1:10" x14ac:dyDescent="0.3">
      <c r="A66" s="6" t="s">
        <v>185</v>
      </c>
      <c r="B66" s="8" t="s">
        <v>121</v>
      </c>
      <c r="C66" s="70">
        <v>1.121872</v>
      </c>
      <c r="D66" s="70">
        <v>0.57457599999999998</v>
      </c>
      <c r="E66" s="70">
        <v>0.69481499999999996</v>
      </c>
      <c r="F66" s="7" t="s">
        <v>12</v>
      </c>
      <c r="G66" s="67"/>
      <c r="H66" s="67"/>
      <c r="I66" s="67"/>
      <c r="J66" s="51"/>
    </row>
    <row r="67" spans="1:10" x14ac:dyDescent="0.3">
      <c r="A67" s="26" t="s">
        <v>184</v>
      </c>
      <c r="B67" s="27" t="s">
        <v>101</v>
      </c>
      <c r="C67" s="69">
        <v>1.110441</v>
      </c>
      <c r="D67" s="69">
        <v>-0.1127995</v>
      </c>
      <c r="E67" s="69">
        <v>-0.57243999999999995</v>
      </c>
      <c r="F67" s="9" t="s">
        <v>18</v>
      </c>
      <c r="G67" s="67"/>
      <c r="H67" s="67"/>
      <c r="I67" s="67"/>
      <c r="J67" s="51"/>
    </row>
    <row r="68" spans="1:10" x14ac:dyDescent="0.3">
      <c r="A68" s="6" t="s">
        <v>103</v>
      </c>
      <c r="B68" s="8" t="s">
        <v>102</v>
      </c>
      <c r="C68" s="70">
        <v>1.0509218500000002</v>
      </c>
      <c r="D68" s="70">
        <v>-1.3546825</v>
      </c>
      <c r="E68" s="70">
        <v>-1.3272435</v>
      </c>
      <c r="F68" s="7" t="s">
        <v>12</v>
      </c>
      <c r="G68" s="67"/>
      <c r="H68" s="67"/>
      <c r="I68" s="67"/>
      <c r="J68" s="51"/>
    </row>
    <row r="69" spans="1:10" x14ac:dyDescent="0.3">
      <c r="A69" s="26" t="s">
        <v>208</v>
      </c>
      <c r="B69" s="27" t="s">
        <v>139</v>
      </c>
      <c r="C69" s="69">
        <v>1.0424165000000001</v>
      </c>
      <c r="D69" s="69">
        <v>-0.85720799999999997</v>
      </c>
      <c r="E69" s="69">
        <v>-0.557979</v>
      </c>
      <c r="F69" s="9" t="s">
        <v>224</v>
      </c>
      <c r="G69" s="67"/>
      <c r="H69" s="67"/>
      <c r="I69" s="67"/>
      <c r="J69" s="51"/>
    </row>
    <row r="70" spans="1:10" x14ac:dyDescent="0.3">
      <c r="A70" s="6" t="s">
        <v>206</v>
      </c>
      <c r="B70" s="8" t="s">
        <v>137</v>
      </c>
      <c r="C70" s="70">
        <v>0.98286700000000005</v>
      </c>
      <c r="D70" s="70">
        <v>0.65920400000000001</v>
      </c>
      <c r="E70" s="70">
        <v>0.21145700000000001</v>
      </c>
      <c r="F70" s="7" t="s">
        <v>18</v>
      </c>
      <c r="G70" s="67"/>
      <c r="H70" s="67"/>
      <c r="I70" s="67"/>
      <c r="J70" s="51"/>
    </row>
    <row r="71" spans="1:10" x14ac:dyDescent="0.3">
      <c r="A71" s="26" t="s">
        <v>255</v>
      </c>
      <c r="B71" s="27" t="s">
        <v>256</v>
      </c>
      <c r="C71" s="69">
        <v>0.87345862500000004</v>
      </c>
      <c r="D71" s="69">
        <v>-0.13708629999999999</v>
      </c>
      <c r="E71" s="69">
        <v>-0.13668070000000002</v>
      </c>
      <c r="F71" s="9" t="s">
        <v>226</v>
      </c>
      <c r="G71" s="67"/>
      <c r="H71" s="67"/>
      <c r="I71" s="67"/>
      <c r="J71" s="51"/>
    </row>
    <row r="72" spans="1:10" x14ac:dyDescent="0.3">
      <c r="A72" s="6" t="s">
        <v>212</v>
      </c>
      <c r="B72" s="8" t="s">
        <v>143</v>
      </c>
      <c r="C72" s="70">
        <v>0.81350674999999995</v>
      </c>
      <c r="D72" s="70">
        <v>0.13210749999999999</v>
      </c>
      <c r="E72" s="70">
        <v>-0.37290499999999999</v>
      </c>
      <c r="F72" s="7" t="s">
        <v>17</v>
      </c>
      <c r="G72" s="67"/>
      <c r="H72" s="67"/>
      <c r="I72" s="67"/>
      <c r="J72" s="51"/>
    </row>
    <row r="73" spans="1:10" x14ac:dyDescent="0.3">
      <c r="A73" s="26" t="s">
        <v>240</v>
      </c>
      <c r="B73" s="27" t="s">
        <v>241</v>
      </c>
      <c r="C73" s="69">
        <v>0.80299762500000005</v>
      </c>
      <c r="D73" s="69">
        <v>0.18091450000000001</v>
      </c>
      <c r="E73" s="69">
        <v>0.20197899999999999</v>
      </c>
      <c r="F73" s="9" t="s">
        <v>225</v>
      </c>
      <c r="G73" s="67"/>
      <c r="H73" s="67"/>
      <c r="I73" s="67"/>
      <c r="J73" s="51"/>
    </row>
    <row r="74" spans="1:10" x14ac:dyDescent="0.3">
      <c r="A74" s="6" t="s">
        <v>199</v>
      </c>
      <c r="B74" s="8" t="s">
        <v>98</v>
      </c>
      <c r="C74" s="70">
        <v>0.74475714600749998</v>
      </c>
      <c r="D74" s="70">
        <v>0.37458948608000014</v>
      </c>
      <c r="E74" s="70">
        <v>0.15837074751999999</v>
      </c>
      <c r="F74" s="7" t="s">
        <v>15</v>
      </c>
      <c r="G74" s="67"/>
      <c r="H74" s="67"/>
      <c r="I74" s="67"/>
      <c r="J74" s="51"/>
    </row>
    <row r="75" spans="1:10" x14ac:dyDescent="0.3">
      <c r="A75" s="26" t="s">
        <v>257</v>
      </c>
      <c r="B75" s="27" t="s">
        <v>258</v>
      </c>
      <c r="C75" s="69">
        <v>0.72291005000000008</v>
      </c>
      <c r="D75" s="69">
        <v>-0.615703</v>
      </c>
      <c r="E75" s="69">
        <v>-0.61011640000000011</v>
      </c>
      <c r="F75" s="9" t="s">
        <v>17</v>
      </c>
      <c r="G75" s="67"/>
      <c r="H75" s="67"/>
      <c r="I75" s="67"/>
      <c r="J75" s="51"/>
    </row>
    <row r="76" spans="1:10" x14ac:dyDescent="0.3">
      <c r="A76" s="6" t="s">
        <v>259</v>
      </c>
      <c r="B76" s="8" t="s">
        <v>260</v>
      </c>
      <c r="C76" s="70">
        <v>0.70879274999999997</v>
      </c>
      <c r="D76" s="70">
        <v>-2.0474999999999999</v>
      </c>
      <c r="E76" s="70">
        <v>-2.0474999999999999</v>
      </c>
      <c r="F76" s="7" t="s">
        <v>16</v>
      </c>
      <c r="G76" s="67"/>
      <c r="H76" s="67"/>
      <c r="I76" s="67"/>
      <c r="J76" s="51"/>
    </row>
    <row r="77" spans="1:10" x14ac:dyDescent="0.3">
      <c r="A77" s="26" t="s">
        <v>187</v>
      </c>
      <c r="B77" s="27" t="s">
        <v>122</v>
      </c>
      <c r="C77" s="69">
        <v>0.68999675000000005</v>
      </c>
      <c r="D77" s="69">
        <v>-0.29361500000000001</v>
      </c>
      <c r="E77" s="69">
        <v>-0.69077999999999995</v>
      </c>
      <c r="F77" s="9" t="s">
        <v>226</v>
      </c>
      <c r="G77" s="67"/>
      <c r="H77" s="67"/>
      <c r="I77" s="67"/>
      <c r="J77" s="51"/>
    </row>
    <row r="78" spans="1:10" x14ac:dyDescent="0.3">
      <c r="A78" s="6" t="s">
        <v>232</v>
      </c>
      <c r="B78" s="8" t="s">
        <v>233</v>
      </c>
      <c r="C78" s="70">
        <v>0.67270312499999996</v>
      </c>
      <c r="D78" s="70">
        <v>4.6647000000000001E-2</v>
      </c>
      <c r="E78" s="70">
        <v>6.3819999999999997E-3</v>
      </c>
      <c r="F78" s="7" t="s">
        <v>17</v>
      </c>
      <c r="G78" s="67"/>
      <c r="H78" s="67"/>
      <c r="I78" s="67"/>
      <c r="J78" s="51"/>
    </row>
    <row r="79" spans="1:10" x14ac:dyDescent="0.3">
      <c r="A79" s="26" t="s">
        <v>261</v>
      </c>
      <c r="B79" s="27" t="s">
        <v>262</v>
      </c>
      <c r="C79" s="69">
        <v>0.63699022500000002</v>
      </c>
      <c r="D79" s="69">
        <v>2.8234000000000002E-3</v>
      </c>
      <c r="E79" s="69">
        <v>-2.1175999999999999E-3</v>
      </c>
      <c r="F79" s="9" t="s">
        <v>15</v>
      </c>
      <c r="G79" s="67"/>
      <c r="H79" s="67"/>
      <c r="I79" s="67"/>
      <c r="J79" s="51"/>
    </row>
    <row r="80" spans="1:10" x14ac:dyDescent="0.3">
      <c r="A80" s="6" t="s">
        <v>214</v>
      </c>
      <c r="B80" s="8" t="s">
        <v>145</v>
      </c>
      <c r="C80" s="70">
        <v>0.59742462500000004</v>
      </c>
      <c r="D80" s="70">
        <v>2.2741500000000001E-2</v>
      </c>
      <c r="E80" s="70">
        <v>4.31355E-2</v>
      </c>
      <c r="F80" s="7" t="s">
        <v>15</v>
      </c>
      <c r="G80" s="67"/>
      <c r="H80" s="67"/>
      <c r="I80" s="67"/>
      <c r="J80" s="51"/>
    </row>
    <row r="81" spans="1:10" x14ac:dyDescent="0.3">
      <c r="A81" s="26" t="s">
        <v>263</v>
      </c>
      <c r="B81" s="27" t="s">
        <v>264</v>
      </c>
      <c r="C81" s="69">
        <v>0.55314305000000008</v>
      </c>
      <c r="D81" s="69">
        <v>-3.4954400000000004E-2</v>
      </c>
      <c r="E81" s="69">
        <v>-0.20809239999999998</v>
      </c>
      <c r="F81" s="9" t="s">
        <v>14</v>
      </c>
      <c r="G81" s="67"/>
      <c r="H81" s="67"/>
      <c r="I81" s="67"/>
      <c r="J81" s="51"/>
    </row>
    <row r="82" spans="1:10" x14ac:dyDescent="0.3">
      <c r="A82" s="6" t="s">
        <v>183</v>
      </c>
      <c r="B82" s="8" t="s">
        <v>120</v>
      </c>
      <c r="C82" s="70">
        <v>0.55022475000000004</v>
      </c>
      <c r="D82" s="70">
        <v>0.31529849999999998</v>
      </c>
      <c r="E82" s="70">
        <v>0.35987400000000003</v>
      </c>
      <c r="F82" s="7" t="s">
        <v>14</v>
      </c>
      <c r="G82" s="67"/>
      <c r="H82" s="67"/>
      <c r="I82" s="67"/>
      <c r="J82" s="51"/>
    </row>
    <row r="83" spans="1:10" x14ac:dyDescent="0.3">
      <c r="A83" s="26" t="s">
        <v>265</v>
      </c>
      <c r="B83" s="27" t="s">
        <v>266</v>
      </c>
      <c r="C83" s="69">
        <v>0.53787775000000004</v>
      </c>
      <c r="D83" s="69">
        <v>0.43293199999999998</v>
      </c>
      <c r="E83" s="69">
        <v>0.47880450000000002</v>
      </c>
      <c r="F83" s="9" t="s">
        <v>225</v>
      </c>
      <c r="G83" s="67"/>
      <c r="H83" s="67"/>
      <c r="I83" s="67"/>
      <c r="J83" s="51"/>
    </row>
    <row r="84" spans="1:10" x14ac:dyDescent="0.3">
      <c r="A84" s="6" t="s">
        <v>204</v>
      </c>
      <c r="B84" s="8" t="s">
        <v>135</v>
      </c>
      <c r="C84" s="70">
        <v>0.52407075000000003</v>
      </c>
      <c r="D84" s="70">
        <v>-5.6386499999999999E-2</v>
      </c>
      <c r="E84" s="70">
        <v>2.26365E-2</v>
      </c>
      <c r="F84" s="7" t="s">
        <v>225</v>
      </c>
      <c r="G84" s="67"/>
      <c r="H84" s="67"/>
      <c r="I84" s="67"/>
      <c r="J84" s="51"/>
    </row>
    <row r="85" spans="1:10" x14ac:dyDescent="0.3">
      <c r="A85" s="26" t="s">
        <v>219</v>
      </c>
      <c r="B85" s="27" t="s">
        <v>149</v>
      </c>
      <c r="C85" s="69">
        <v>0.5131429999999999</v>
      </c>
      <c r="D85" s="69">
        <v>0.120019</v>
      </c>
      <c r="E85" s="69">
        <v>8.2420000000000118E-2</v>
      </c>
      <c r="F85" s="9" t="s">
        <v>12</v>
      </c>
      <c r="G85" s="67"/>
      <c r="H85" s="67"/>
      <c r="I85" s="67"/>
      <c r="J85" s="51"/>
    </row>
    <row r="86" spans="1:10" x14ac:dyDescent="0.3">
      <c r="A86" s="6" t="s">
        <v>217</v>
      </c>
      <c r="B86" s="8" t="s">
        <v>148</v>
      </c>
      <c r="C86" s="70">
        <v>0.48038275000000003</v>
      </c>
      <c r="D86" s="70">
        <v>-0.1265415</v>
      </c>
      <c r="E86" s="70">
        <v>-0.3896115</v>
      </c>
      <c r="F86" s="7" t="s">
        <v>18</v>
      </c>
      <c r="G86" s="67"/>
      <c r="H86" s="67"/>
      <c r="I86" s="67"/>
      <c r="J86" s="51"/>
    </row>
    <row r="87" spans="1:10" x14ac:dyDescent="0.3">
      <c r="A87" s="26" t="s">
        <v>238</v>
      </c>
      <c r="B87" s="27" t="s">
        <v>239</v>
      </c>
      <c r="C87" s="69">
        <v>0.45004899999999987</v>
      </c>
      <c r="D87" s="69">
        <v>7.145500000000026E-3</v>
      </c>
      <c r="E87" s="69">
        <v>4.0052999999999998E-2</v>
      </c>
      <c r="F87" s="9" t="s">
        <v>18</v>
      </c>
      <c r="G87" s="67"/>
      <c r="H87" s="67"/>
      <c r="I87" s="67"/>
      <c r="J87" s="51"/>
    </row>
    <row r="88" spans="1:10" x14ac:dyDescent="0.3">
      <c r="A88" s="6" t="s">
        <v>222</v>
      </c>
      <c r="B88" s="8" t="s">
        <v>151</v>
      </c>
      <c r="C88" s="70">
        <v>0.44772712612499999</v>
      </c>
      <c r="D88" s="70">
        <v>-0.29382510810000001</v>
      </c>
      <c r="E88" s="70">
        <v>-0.45141583510000011</v>
      </c>
      <c r="F88" s="7" t="s">
        <v>18</v>
      </c>
      <c r="G88" s="67"/>
      <c r="H88" s="67"/>
      <c r="I88" s="67"/>
      <c r="J88" s="51"/>
    </row>
    <row r="89" spans="1:10" x14ac:dyDescent="0.3">
      <c r="A89" s="26" t="s">
        <v>247</v>
      </c>
      <c r="B89" s="27" t="s">
        <v>248</v>
      </c>
      <c r="C89" s="69">
        <v>0.43277225000000002</v>
      </c>
      <c r="D89" s="69">
        <v>0.21670300000000001</v>
      </c>
      <c r="E89" s="69">
        <v>0.15651799999999999</v>
      </c>
      <c r="F89" s="9" t="s">
        <v>18</v>
      </c>
      <c r="G89" s="67"/>
      <c r="H89" s="67"/>
      <c r="I89" s="67"/>
      <c r="J89" s="51"/>
    </row>
    <row r="90" spans="1:10" x14ac:dyDescent="0.3">
      <c r="A90" s="6" t="s">
        <v>213</v>
      </c>
      <c r="B90" s="8" t="s">
        <v>144</v>
      </c>
      <c r="C90" s="70">
        <v>0.41596155000000001</v>
      </c>
      <c r="D90" s="70">
        <v>-0.27497920000000003</v>
      </c>
      <c r="E90" s="70">
        <v>-0.26538519999999988</v>
      </c>
      <c r="F90" s="7" t="s">
        <v>226</v>
      </c>
      <c r="G90" s="67"/>
      <c r="H90" s="67"/>
      <c r="I90" s="67"/>
      <c r="J90" s="51"/>
    </row>
    <row r="91" spans="1:10" x14ac:dyDescent="0.3">
      <c r="A91" s="26" t="s">
        <v>205</v>
      </c>
      <c r="B91" s="27" t="s">
        <v>136</v>
      </c>
      <c r="C91" s="69">
        <v>0.40528575</v>
      </c>
      <c r="D91" s="69">
        <v>-0.26567849999999998</v>
      </c>
      <c r="E91" s="69">
        <v>-0.25878600000000002</v>
      </c>
      <c r="F91" s="9" t="s">
        <v>18</v>
      </c>
      <c r="G91" s="67"/>
      <c r="H91" s="67"/>
      <c r="I91" s="67"/>
      <c r="J91" s="51"/>
    </row>
    <row r="92" spans="1:10" x14ac:dyDescent="0.3">
      <c r="A92" s="6" t="s">
        <v>216</v>
      </c>
      <c r="B92" s="8" t="s">
        <v>147</v>
      </c>
      <c r="C92" s="70">
        <v>0.39532887500000002</v>
      </c>
      <c r="D92" s="70">
        <v>0.19136900000000001</v>
      </c>
      <c r="E92" s="70">
        <v>0.247756</v>
      </c>
      <c r="F92" s="7" t="s">
        <v>18</v>
      </c>
      <c r="G92" s="67"/>
      <c r="H92" s="67"/>
      <c r="I92" s="67"/>
      <c r="J92" s="51"/>
    </row>
    <row r="93" spans="1:10" x14ac:dyDescent="0.3">
      <c r="A93" s="26" t="s">
        <v>223</v>
      </c>
      <c r="B93" s="27" t="s">
        <v>152</v>
      </c>
      <c r="C93" s="69">
        <v>0.39116734999999997</v>
      </c>
      <c r="D93" s="69">
        <v>-0.15333240000000001</v>
      </c>
      <c r="E93" s="69">
        <v>-0.1903649</v>
      </c>
      <c r="F93" s="9" t="s">
        <v>15</v>
      </c>
      <c r="G93" s="67"/>
      <c r="H93" s="67"/>
      <c r="I93" s="67"/>
      <c r="J93" s="51"/>
    </row>
    <row r="94" spans="1:10" x14ac:dyDescent="0.3">
      <c r="A94" s="6" t="s">
        <v>267</v>
      </c>
      <c r="B94" s="8" t="s">
        <v>268</v>
      </c>
      <c r="C94" s="70">
        <v>0.34168034999999997</v>
      </c>
      <c r="D94" s="70">
        <v>7.2485499999999994E-2</v>
      </c>
      <c r="E94" s="70">
        <v>9.6236400000000014E-2</v>
      </c>
      <c r="F94" s="7" t="s">
        <v>227</v>
      </c>
      <c r="G94" s="67"/>
      <c r="H94" s="67"/>
      <c r="I94" s="67"/>
      <c r="J94" s="51"/>
    </row>
    <row r="95" spans="1:10" x14ac:dyDescent="0.3">
      <c r="A95" s="26" t="s">
        <v>188</v>
      </c>
      <c r="B95" s="27" t="s">
        <v>123</v>
      </c>
      <c r="C95" s="69">
        <v>0.3393835</v>
      </c>
      <c r="D95" s="69">
        <v>-3.4576000000000003E-2</v>
      </c>
      <c r="E95" s="69">
        <v>-4.9120999999999998E-2</v>
      </c>
      <c r="F95" s="9" t="s">
        <v>11</v>
      </c>
      <c r="G95" s="67"/>
      <c r="H95" s="67"/>
      <c r="I95" s="67"/>
      <c r="J95" s="51"/>
    </row>
    <row r="96" spans="1:10" x14ac:dyDescent="0.3">
      <c r="A96" s="6" t="s">
        <v>215</v>
      </c>
      <c r="B96" s="8" t="s">
        <v>146</v>
      </c>
      <c r="C96" s="70">
        <v>0.33067400000000002</v>
      </c>
      <c r="D96" s="70">
        <v>0.19366800000000001</v>
      </c>
      <c r="E96" s="70">
        <v>0.18324399999999999</v>
      </c>
      <c r="F96" s="7" t="s">
        <v>15</v>
      </c>
      <c r="G96" s="67"/>
      <c r="H96" s="67"/>
      <c r="I96" s="67"/>
      <c r="J96" s="51"/>
    </row>
    <row r="97" spans="1:10" x14ac:dyDescent="0.3">
      <c r="A97" s="26" t="s">
        <v>211</v>
      </c>
      <c r="B97" s="27" t="s">
        <v>142</v>
      </c>
      <c r="C97" s="69">
        <v>0.32315525</v>
      </c>
      <c r="D97" s="69">
        <v>-0.14667849999999999</v>
      </c>
      <c r="E97" s="69">
        <v>-0.3732895</v>
      </c>
      <c r="F97" s="9" t="s">
        <v>18</v>
      </c>
      <c r="G97" s="67"/>
      <c r="H97" s="67"/>
      <c r="I97" s="67"/>
      <c r="J97" s="51"/>
    </row>
    <row r="98" spans="1:10" x14ac:dyDescent="0.3">
      <c r="A98" s="6" t="s">
        <v>220</v>
      </c>
      <c r="B98" s="8" t="s">
        <v>150</v>
      </c>
      <c r="C98" s="70">
        <v>0.30521199999999998</v>
      </c>
      <c r="D98" s="70">
        <v>9.7595999999999974E-2</v>
      </c>
      <c r="E98" s="70">
        <v>8.9431999999999998E-2</v>
      </c>
      <c r="F98" s="7" t="s">
        <v>12</v>
      </c>
      <c r="G98" s="67"/>
      <c r="H98" s="67"/>
      <c r="I98" s="67"/>
      <c r="J98" s="51"/>
    </row>
    <row r="99" spans="1:10" x14ac:dyDescent="0.3">
      <c r="A99" s="26" t="s">
        <v>243</v>
      </c>
      <c r="B99" s="27" t="s">
        <v>244</v>
      </c>
      <c r="C99" s="69">
        <v>0.30432025000000001</v>
      </c>
      <c r="D99" s="69">
        <v>-0.33395249999999999</v>
      </c>
      <c r="E99" s="69">
        <v>-0.332513</v>
      </c>
      <c r="F99" s="9" t="s">
        <v>225</v>
      </c>
      <c r="G99" s="67"/>
      <c r="H99" s="67"/>
      <c r="I99" s="67"/>
      <c r="J99" s="51"/>
    </row>
    <row r="100" spans="1:10" x14ac:dyDescent="0.3">
      <c r="A100" s="6" t="s">
        <v>269</v>
      </c>
      <c r="B100" s="8" t="s">
        <v>270</v>
      </c>
      <c r="C100" s="70">
        <v>0.30359950000000002</v>
      </c>
      <c r="D100" s="70">
        <v>-0.36310500000000001</v>
      </c>
      <c r="E100" s="70">
        <v>-0.60728000000000004</v>
      </c>
      <c r="F100" s="7" t="s">
        <v>17</v>
      </c>
      <c r="G100" s="67"/>
      <c r="H100" s="67"/>
      <c r="I100" s="67"/>
      <c r="J100" s="51"/>
    </row>
    <row r="101" spans="1:10" x14ac:dyDescent="0.3">
      <c r="A101" s="62" t="s">
        <v>271</v>
      </c>
      <c r="B101" s="63" t="s">
        <v>272</v>
      </c>
      <c r="C101" s="71">
        <v>0.272503</v>
      </c>
      <c r="D101" s="71">
        <v>-0.34800199999999998</v>
      </c>
      <c r="E101" s="71">
        <v>-0.41442800000000002</v>
      </c>
      <c r="F101" s="10" t="s">
        <v>16</v>
      </c>
      <c r="G101" s="67"/>
      <c r="H101" s="67"/>
      <c r="I101" s="67"/>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230</v>
      </c>
    </row>
    <row r="107" spans="1:10" x14ac:dyDescent="0.3">
      <c r="A107" s="12" t="s">
        <v>229</v>
      </c>
    </row>
    <row r="108" spans="1:10" x14ac:dyDescent="0.3">
      <c r="A108" s="12" t="s">
        <v>242</v>
      </c>
    </row>
    <row r="109" spans="1:10" x14ac:dyDescent="0.3">
      <c r="A109" s="12" t="s">
        <v>77</v>
      </c>
    </row>
  </sheetData>
  <conditionalFormatting sqref="D2:E101">
    <cfRule type="cellIs" dxfId="0" priority="1" operator="lessThan">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2024-01-15T06:01:34Z</dcterms:modified>
</cp:coreProperties>
</file>