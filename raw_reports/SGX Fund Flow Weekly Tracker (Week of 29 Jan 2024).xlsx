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029"/>
  <workbookPr codeName="ThisWorkbook"/>
  <mc:AlternateContent xmlns:mc="http://schemas.openxmlformats.org/markup-compatibility/2006">
    <mc:Choice Requires="x15">
      <x15ac:absPath xmlns:x15ac="http://schemas.microsoft.com/office/spreadsheetml/2010/11/ac" url="\\sgxfs\EQUITIES\Research &amp; Retail &amp; Intermed\Research\Production\Insti fund flow tracker files\Draft reports\Final reports\Weekly excel files\"/>
    </mc:Choice>
  </mc:AlternateContent>
  <xr:revisionPtr revIDLastSave="0" documentId="13_ncr:1_{FC4D3848-448D-407A-BAB7-7FAEB2C1A221}" xr6:coauthVersionLast="47" xr6:coauthVersionMax="47" xr10:uidLastSave="{00000000-0000-0000-0000-000000000000}"/>
  <bookViews>
    <workbookView xWindow="5730" yWindow="420" windowWidth="22095" windowHeight="15180" xr2:uid="{00000000-000D-0000-FFFF-FFFF00000000}"/>
  </bookViews>
  <sheets>
    <sheet name="Weekly Top 10" sheetId="1" r:id="rId1"/>
    <sheet name="Institutional" sheetId="2" r:id="rId2"/>
    <sheet name="Retail" sheetId="3" r:id="rId3"/>
    <sheet name="STI Constituents" sheetId="4" r:id="rId4"/>
    <sheet name="100 Most Traded Stocks" sheetId="5" r:id="rId5"/>
  </sheets>
  <definedNames>
    <definedName name="_xlnm._FilterDatabase" localSheetId="4" hidden="1">'100 Most Traded Stocks'!$A$1:$F$101</definedName>
    <definedName name="_xlnm._FilterDatabase" localSheetId="3" hidden="1">'STI Constituents'!$A$1:$D$1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1" i="4" l="1"/>
  <c r="A6" i="2"/>
  <c r="A6" i="3"/>
  <c r="A5" i="3"/>
  <c r="A5" i="2"/>
  <c r="A4" i="3"/>
  <c r="A4" i="2"/>
  <c r="A3" i="3"/>
  <c r="A3" i="2"/>
  <c r="A1" i="5" l="1"/>
  <c r="C32" i="4" l="1"/>
  <c r="D32" i="4"/>
  <c r="C18" i="1" l="1"/>
  <c r="F18" i="1" s="1"/>
  <c r="F5" i="1"/>
</calcChain>
</file>

<file path=xl/sharedStrings.xml><?xml version="1.0" encoding="utf-8"?>
<sst xmlns="http://schemas.openxmlformats.org/spreadsheetml/2006/main" count="520" uniqueCount="276">
  <si>
    <t>Top 10 Institution Net Buy (+) Stocks (S$M)</t>
  </si>
  <si>
    <t>Stock Code</t>
  </si>
  <si>
    <t>Top 10 Institution Net Sell (-) Stocks (S$M)</t>
  </si>
  <si>
    <t>Top 10 Retail Net Buy (+) Stocks (S$M)</t>
  </si>
  <si>
    <t>Top 10 Retail Net Sell (-) Stocks (S$M)</t>
  </si>
  <si>
    <t>Source: Singapore Exchange. Sectors are categorized by SGX. REITs refer to Real Estate Investment Trusts.</t>
  </si>
  <si>
    <t>Note: Fund flow data for all SGX-listed companies only</t>
  </si>
  <si>
    <t>Overall</t>
  </si>
  <si>
    <t>SGX Sector Classification</t>
  </si>
  <si>
    <t>Institutional Investors net buy/sell (S$M)</t>
  </si>
  <si>
    <t>Consumer Cyclicals</t>
  </si>
  <si>
    <t>Consumer Non-Cyclicals</t>
  </si>
  <si>
    <t>Energy/
Oil &amp; Gas</t>
  </si>
  <si>
    <t>Financial Services</t>
  </si>
  <si>
    <t>Industrials</t>
  </si>
  <si>
    <t>Materials &amp; Resources</t>
  </si>
  <si>
    <t>Real Estate (excl. REITs)</t>
  </si>
  <si>
    <t>REITs</t>
  </si>
  <si>
    <t>Technology (Hardware/
Software)</t>
  </si>
  <si>
    <t>Utilities</t>
  </si>
  <si>
    <t>Retail Investors net buy/sell (S$M)</t>
  </si>
  <si>
    <t>D05</t>
  </si>
  <si>
    <t>O39</t>
  </si>
  <si>
    <t>U11</t>
  </si>
  <si>
    <t>S68</t>
  </si>
  <si>
    <t>A17U</t>
  </si>
  <si>
    <t>DBS</t>
  </si>
  <si>
    <t>OCBC</t>
  </si>
  <si>
    <t>UOB</t>
  </si>
  <si>
    <t>SGX</t>
  </si>
  <si>
    <t>S58</t>
  </si>
  <si>
    <t>C6L</t>
  </si>
  <si>
    <t>BN4</t>
  </si>
  <si>
    <t>SIA</t>
  </si>
  <si>
    <t>SATS</t>
  </si>
  <si>
    <t>G13</t>
  </si>
  <si>
    <t>Genting Singapore</t>
  </si>
  <si>
    <t>S63</t>
  </si>
  <si>
    <t>M44U</t>
  </si>
  <si>
    <t>ST Engineering</t>
  </si>
  <si>
    <t>Mapletree Logistics Trust</t>
  </si>
  <si>
    <t>F34</t>
  </si>
  <si>
    <t>U96</t>
  </si>
  <si>
    <t>V03</t>
  </si>
  <si>
    <t>Wilmar International</t>
  </si>
  <si>
    <t>Sembcorp Industries</t>
  </si>
  <si>
    <t>Venture Corporation</t>
  </si>
  <si>
    <t>Z74</t>
  </si>
  <si>
    <t>C07</t>
  </si>
  <si>
    <t>Singtel</t>
  </si>
  <si>
    <t>Jardine Cycle &amp; Carriage</t>
  </si>
  <si>
    <t>Y92</t>
  </si>
  <si>
    <t>J36</t>
  </si>
  <si>
    <t>BS6</t>
  </si>
  <si>
    <t>C09</t>
  </si>
  <si>
    <t>H78</t>
  </si>
  <si>
    <t>C38U</t>
  </si>
  <si>
    <t>D01</t>
  </si>
  <si>
    <t>N2IU</t>
  </si>
  <si>
    <t>U14</t>
  </si>
  <si>
    <t>Thai Beverage</t>
  </si>
  <si>
    <t>Yangzijiang Shipbuilding</t>
  </si>
  <si>
    <t>Jardine Matheson</t>
  </si>
  <si>
    <t>City Developments</t>
  </si>
  <si>
    <t>Hongkong Land</t>
  </si>
  <si>
    <t>UOL Group</t>
  </si>
  <si>
    <t>Overall Net Buy (+) / Net Sell (-) (S$M)</t>
  </si>
  <si>
    <t>Source: Singapore Exchange.</t>
  </si>
  <si>
    <t>Contact Us</t>
  </si>
  <si>
    <t>To sign up for daily market updates or for more information, please contact research@sgx.com.</t>
  </si>
  <si>
    <t>sgx.com/research</t>
  </si>
  <si>
    <t>Health
care</t>
  </si>
  <si>
    <t>Telcos</t>
  </si>
  <si>
    <t>Institution
Net Buy (+) / Net Sell (-) (S$M)</t>
  </si>
  <si>
    <t>Retail
Net Buy (+) / Net Sell (-) (S$M)</t>
  </si>
  <si>
    <t>https://www2.sgx.com/research-education/data-reports</t>
  </si>
  <si>
    <t>ME8U</t>
  </si>
  <si>
    <t>Mapletree Industrial Trust</t>
  </si>
  <si>
    <t>AJBU</t>
  </si>
  <si>
    <t>CapitaLand Integrated Commercial Trust</t>
  </si>
  <si>
    <t>BUOU</t>
  </si>
  <si>
    <t>Frasers Logistics &amp; Commercial Trust</t>
  </si>
  <si>
    <t>Definition: Institutional fund flow is derived by subtracting retail account flow and MMAT flow from TOTAL ST markets flows. Net buy/sell amount is derived by subtracting total sell amount from total buy amount</t>
  </si>
  <si>
    <t>Definition: Retail fund flow is derived by subtracting institutional investors account flow and MMAT flow from TOTAL ST markets flows. Net buy/sell amount is derived by subtracting total sell amount from total buy amount</t>
  </si>
  <si>
    <t>Definition: Retail fund flows derived by subtracting institutional investors account flow and MMAT flow from TOTAL ST markets flows. Net buy/sell amount derived by subtracting total sell amount from total buy amount</t>
  </si>
  <si>
    <t>9CI</t>
  </si>
  <si>
    <t>CapitaLand Investment</t>
  </si>
  <si>
    <t>DFI Retail Group</t>
  </si>
  <si>
    <t>Emperador Inc</t>
  </si>
  <si>
    <t>EMI</t>
  </si>
  <si>
    <t>CapitaLand Ascendas REIT</t>
  </si>
  <si>
    <t>S51</t>
  </si>
  <si>
    <t>T82U</t>
  </si>
  <si>
    <t>AWX</t>
  </si>
  <si>
    <t>OV8</t>
  </si>
  <si>
    <t>HMN</t>
  </si>
  <si>
    <t>NS8U</t>
  </si>
  <si>
    <t>CMOU</t>
  </si>
  <si>
    <t>S56</t>
  </si>
  <si>
    <t>AU8U</t>
  </si>
  <si>
    <t>VC2</t>
  </si>
  <si>
    <t>YTD Institution
Net Buy (+) / Net Sell (-) (S$M)</t>
  </si>
  <si>
    <t>YTD Avg Daily Turnover (S$M)</t>
  </si>
  <si>
    <t>Past 5 Sessions Institution Net Buy (+) / Net Sell (-) (S$M)</t>
  </si>
  <si>
    <t>Sector</t>
  </si>
  <si>
    <t>K71U</t>
  </si>
  <si>
    <t>ESR-LOGOS REIT</t>
  </si>
  <si>
    <t>J91U</t>
  </si>
  <si>
    <t>A7RU</t>
  </si>
  <si>
    <t>5WH</t>
  </si>
  <si>
    <t>C52</t>
  </si>
  <si>
    <t>JYEU</t>
  </si>
  <si>
    <t>E5H</t>
  </si>
  <si>
    <t>J69U</t>
  </si>
  <si>
    <t>E28</t>
  </si>
  <si>
    <t>MZH</t>
  </si>
  <si>
    <t>YF8</t>
  </si>
  <si>
    <t>EB5</t>
  </si>
  <si>
    <t>BSL</t>
  </si>
  <si>
    <t>CGN</t>
  </si>
  <si>
    <t>CJLU</t>
  </si>
  <si>
    <t>NIO</t>
  </si>
  <si>
    <t>CY6U</t>
  </si>
  <si>
    <t>DCRU</t>
  </si>
  <si>
    <t>J85</t>
  </si>
  <si>
    <t>RE4</t>
  </si>
  <si>
    <t>C2PU</t>
  </si>
  <si>
    <t>T13</t>
  </si>
  <si>
    <t>AIY</t>
  </si>
  <si>
    <t>BTOU</t>
  </si>
  <si>
    <t>BVA</t>
  </si>
  <si>
    <t>SK6U</t>
  </si>
  <si>
    <t>O5RU</t>
  </si>
  <si>
    <t>NO4</t>
  </si>
  <si>
    <t>CC3</t>
  </si>
  <si>
    <t>AP4</t>
  </si>
  <si>
    <t>OXMU</t>
  </si>
  <si>
    <t>CRPU</t>
  </si>
  <si>
    <t>Z25</t>
  </si>
  <si>
    <t>S08</t>
  </si>
  <si>
    <t>Q5T</t>
  </si>
  <si>
    <t>P40U</t>
  </si>
  <si>
    <t>F03</t>
  </si>
  <si>
    <t>P34</t>
  </si>
  <si>
    <t>CWBU</t>
  </si>
  <si>
    <t>YZJ Shipbldg SGD</t>
  </si>
  <si>
    <t>CapitaLandInvest</t>
  </si>
  <si>
    <t>JMH USD</t>
  </si>
  <si>
    <t>Sembcorp Ind</t>
  </si>
  <si>
    <t>Jardine C&amp;C</t>
  </si>
  <si>
    <t>Venture</t>
  </si>
  <si>
    <t>ComfortDelGro</t>
  </si>
  <si>
    <t>UMS</t>
  </si>
  <si>
    <t>UOL</t>
  </si>
  <si>
    <t>Golden Agri-Res</t>
  </si>
  <si>
    <t>SamuderaShipping</t>
  </si>
  <si>
    <t>Frencken</t>
  </si>
  <si>
    <t>First Resources</t>
  </si>
  <si>
    <t>CapLand India T</t>
  </si>
  <si>
    <t>DigiCore Reit USD</t>
  </si>
  <si>
    <t>Geo Energy Res</t>
  </si>
  <si>
    <t>HPH Trust USD</t>
  </si>
  <si>
    <t>Top Glove</t>
  </si>
  <si>
    <t>Medtecs Intl</t>
  </si>
  <si>
    <t>Telecommunications</t>
  </si>
  <si>
    <t>Technology (Hardware/ Software)</t>
  </si>
  <si>
    <t>Healthcare</t>
  </si>
  <si>
    <t>Energy/ Oil &amp; Gas</t>
  </si>
  <si>
    <t>This document/material is not intended for distribution to, or for use by or to be acted on by any person or entity located in    any jurisdiction where such distribution, use or action would be contrary to applicable laws or regulations or would subject SGX (“SGX”) and/or its affiliates (collectively with SGX, the “SGX Group Companies”) to any registration or licensing requirement. This document/material is not an offer or solicitation to buy or sell, nor financial advice or recommendation for any investment product. This document/material has been published for general circulation only. It   does not address the specific investment objectives, financial situation or particular needs of any person. Advice should be sought from a   financial adviser regarding the suitability of any investment product before investing or adopting any investment strategies. Use of and/or reliance on this document/material is entirely at the reader’s own risk. Investment products are subject to significant investment risks, including the possible loss of the principal amount invested.  Past  performance of  investment products is  not indicative of their future performance. Any forecast, prediction or projection in    this document/material is not necessarily indicative of the future or likely performance of the product. Examples (if any) provided are for illustrative purposes only. While each of the SGX Group Companies have taken reasonable care to ensure the accuracy and completeness of the information provided, each of the SGX  Group Companies disclaims any  and all guarantees, representations and warranties, expressed or implied, in relation to this document/material and shall not be responsible or liable (whether under contract, tort (including negligence) or otherwise)  for any  loss or damage of any kind (whether direct, indirect or consequential losses or other economic loss of any kind, including without limitation loss of profit, loss of reputation and loss of opportunity) suffered or incurred by any person due to any omission, error, inaccuracy, incompleteness, or otherwise, any  reliance  on such information, or arising from and/or  in connection with this  document/material. The  information  in  this document/material may have been obtained via third party sources and which have not been independently verified by any SGX Group Company. No SGX Group Company endorses or shall be liable for the content of information provided by  third parties (if any).  The SGX Group Companies may deal in  investment products in the usual course of their  business, and may be on the opposite side of any trades. Each of SGX, Singapore Exchange Securities Trading   and Singapore Exchange Bond Trading Pte.  . is an exempt financial adviser under the Financial Advisers Act (Cap. 110) of Singapore. The information in this document/material is subject to change without notice. This  document/material shall not be reproduced, republished, uploaded, linked, posted, transmitted, adapted, copied, translated, modified, edited or otherwise displayed or distributed in  any manner without SGX’s prior written consent. Please note that the general disclaimers and jurisdiction specific disclaimers found on SGX’s website at http://www.sgx.com/terms-use are also incorporated into and applicable to this document/material.</t>
  </si>
  <si>
    <t>Note ^ on SGX Watchlist</t>
  </si>
  <si>
    <t>All stocks tabled above consolidates counters relevant to the stock (e.g. fund flow for Singtel includes counters Z74 and Z77)</t>
  </si>
  <si>
    <t>OCBC Bank</t>
  </si>
  <si>
    <t>Seatrium</t>
  </si>
  <si>
    <t>558</t>
  </si>
  <si>
    <t>546</t>
  </si>
  <si>
    <t>TS0U</t>
  </si>
  <si>
    <t>8AZ</t>
  </si>
  <si>
    <t xml:space="preserve">Note that the above list of 100 most traded stocks is on a year-to-date basis and may include stocks that are currently suspended for trading. </t>
  </si>
  <si>
    <t>544</t>
  </si>
  <si>
    <t>Keppel</t>
  </si>
  <si>
    <t>F83</t>
  </si>
  <si>
    <t>Chasen</t>
  </si>
  <si>
    <t>5NV</t>
  </si>
  <si>
    <t>8K7</t>
  </si>
  <si>
    <t>Z59</t>
  </si>
  <si>
    <t>Y45</t>
  </si>
  <si>
    <t>Valuetronics</t>
  </si>
  <si>
    <t>BN2</t>
  </si>
  <si>
    <t>Mermaid Maritime</t>
  </si>
  <si>
    <t>DU4</t>
  </si>
  <si>
    <t xml:space="preserve">DBS </t>
  </si>
  <si>
    <t>Mapletree Pan-Asia Commercial Trust</t>
  </si>
  <si>
    <t>Beng Kuang^</t>
  </si>
  <si>
    <t>BEZ</t>
  </si>
  <si>
    <t>G92</t>
  </si>
  <si>
    <t>T14</t>
  </si>
  <si>
    <t>TQ5</t>
  </si>
  <si>
    <t>UMS Holdings</t>
  </si>
  <si>
    <t>Novo Tellus SPAC</t>
  </si>
  <si>
    <t>NTA</t>
  </si>
  <si>
    <t>CapLand IntCom T</t>
  </si>
  <si>
    <t>CapLand Ascendas REIT</t>
  </si>
  <si>
    <t>Mapletree Log Tr</t>
  </si>
  <si>
    <t>Genting Sing</t>
  </si>
  <si>
    <t>ThaiBev</t>
  </si>
  <si>
    <t>Wilmar Intl</t>
  </si>
  <si>
    <t>Keppel Reit</t>
  </si>
  <si>
    <t>Keppel DC Reit</t>
  </si>
  <si>
    <t>Mapletree PanAsia Com Tr</t>
  </si>
  <si>
    <t>Mapletree Ind Tr</t>
  </si>
  <si>
    <t>CityDev</t>
  </si>
  <si>
    <t>HongkongLand USD</t>
  </si>
  <si>
    <t>Frasers L&amp;C Tr</t>
  </si>
  <si>
    <t>AEM SGD</t>
  </si>
  <si>
    <t>CapLand Ascott T</t>
  </si>
  <si>
    <t>Suntec Reit</t>
  </si>
  <si>
    <t>Frasers Cpt Tr</t>
  </si>
  <si>
    <t>COSCO SHP SG</t>
  </si>
  <si>
    <t>NetLink NBN Tr</t>
  </si>
  <si>
    <t>IFAST</t>
  </si>
  <si>
    <t>Rex Intl</t>
  </si>
  <si>
    <t>NIO Inc. USD OV</t>
  </si>
  <si>
    <t>Nanofilm</t>
  </si>
  <si>
    <t>Lendlease Reit</t>
  </si>
  <si>
    <t>CDL HTrust</t>
  </si>
  <si>
    <t>CapLand China T</t>
  </si>
  <si>
    <t>Dyna-Mac</t>
  </si>
  <si>
    <t>DFIRG USD</t>
  </si>
  <si>
    <t>Sheng Siong</t>
  </si>
  <si>
    <t>YZJ Fin Hldg</t>
  </si>
  <si>
    <t>Yanlord Land</t>
  </si>
  <si>
    <t>ParkwayLife Reit</t>
  </si>
  <si>
    <t>Kep Infra Tr</t>
  </si>
  <si>
    <t>ManulifeReit USD</t>
  </si>
  <si>
    <t>Food Empire</t>
  </si>
  <si>
    <t>Far East HTrust</t>
  </si>
  <si>
    <t>StarHub</t>
  </si>
  <si>
    <t>Prime US ReitUSD</t>
  </si>
  <si>
    <t>AIMS APAC Reit</t>
  </si>
  <si>
    <t>Cromwell Reit EUR</t>
  </si>
  <si>
    <t>Raffles Medical</t>
  </si>
  <si>
    <t>KepPacOakReitUSD</t>
  </si>
  <si>
    <t>Riverstone</t>
  </si>
  <si>
    <t>Olam Group</t>
  </si>
  <si>
    <t>SingPost</t>
  </si>
  <si>
    <t>RH PetroGas</t>
  </si>
  <si>
    <t>StarhillGbl Reit</t>
  </si>
  <si>
    <t>PARAGONREIT</t>
  </si>
  <si>
    <t>Aztech Gbl</t>
  </si>
  <si>
    <t>Best World</t>
  </si>
  <si>
    <t>Emperador Inc.</t>
  </si>
  <si>
    <t>China Aviation</t>
  </si>
  <si>
    <t>CSE Global</t>
  </si>
  <si>
    <t>SMI Vantage^</t>
  </si>
  <si>
    <t>UGHealthcare</t>
  </si>
  <si>
    <t>Sasseur Reit</t>
  </si>
  <si>
    <t>TJ DaRenTang USD</t>
  </si>
  <si>
    <t>Frasers Property</t>
  </si>
  <si>
    <t>Yoma Strategic</t>
  </si>
  <si>
    <t>Delfi</t>
  </si>
  <si>
    <t>Frasers Centrepoint Trust</t>
  </si>
  <si>
    <t>Haw Par</t>
  </si>
  <si>
    <t>SIA Engineering</t>
  </si>
  <si>
    <t>H02</t>
  </si>
  <si>
    <t>S59</t>
  </si>
  <si>
    <t>Frencken Group</t>
  </si>
  <si>
    <t>Week of 29 January 2024</t>
  </si>
  <si>
    <r>
      <t xml:space="preserve">Week of </t>
    </r>
    <r>
      <rPr>
        <b/>
        <sz val="11"/>
        <color rgb="FFFFFFFF"/>
        <rFont val="Arial"/>
        <family val="2"/>
      </rPr>
      <t>29 Jan</t>
    </r>
  </si>
  <si>
    <r>
      <t>Institutional investors net</t>
    </r>
    <r>
      <rPr>
        <b/>
        <sz val="11"/>
        <rFont val="Arial"/>
        <family val="2"/>
      </rPr>
      <t xml:space="preserve"> sell </t>
    </r>
    <r>
      <rPr>
        <sz val="11"/>
        <rFont val="Arial"/>
        <family val="2"/>
      </rPr>
      <t>(-S$284.4m)</t>
    </r>
    <r>
      <rPr>
        <b/>
        <sz val="11"/>
        <rFont val="Arial"/>
        <family val="2"/>
      </rPr>
      <t xml:space="preserve"> vs. </t>
    </r>
    <r>
      <rPr>
        <sz val="11"/>
        <rFont val="Arial"/>
        <family val="2"/>
      </rPr>
      <t>(-S$214.0m) a week ago</t>
    </r>
  </si>
  <si>
    <r>
      <t xml:space="preserve">Retail investors net </t>
    </r>
    <r>
      <rPr>
        <b/>
        <sz val="11"/>
        <rFont val="Arial"/>
        <family val="2"/>
      </rPr>
      <t xml:space="preserve">sell </t>
    </r>
    <r>
      <rPr>
        <sz val="11"/>
        <rFont val="Arial"/>
        <family val="2"/>
      </rPr>
      <t>(-S$12.8m) vs.</t>
    </r>
    <r>
      <rPr>
        <b/>
        <sz val="11"/>
        <rFont val="Arial"/>
        <family val="2"/>
      </rPr>
      <t xml:space="preserve"> </t>
    </r>
    <r>
      <rPr>
        <sz val="11"/>
        <rFont val="Arial"/>
        <family val="2"/>
      </rPr>
      <t>(+S$83.4m) a week ago</t>
    </r>
  </si>
  <si>
    <t>Keppel DC REIT</t>
  </si>
  <si>
    <t>OUEREIT</t>
  </si>
  <si>
    <t>MarcoPolo Marine</t>
  </si>
  <si>
    <t>5LY</t>
  </si>
  <si>
    <t>TheHourGlass</t>
  </si>
  <si>
    <t>AGS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</si>
</sst>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_(* \(#,##0.00\);_(* &quot;-&quot;??_);_(@_)"/>
    <numFmt numFmtId="164" formatCode="0.0_);[Red]\(0.0\)"/>
    <numFmt numFmtId="165" formatCode="[$-409]d\-mmm\-yy;@"/>
    <numFmt numFmtId="166" formatCode="#,##0.0_);\(#,##0.0\)"/>
    <numFmt numFmtId="167" formatCode="#,##0.0_);[Red]\(#,##0.0\)"/>
    <numFmt numFmtId="168" formatCode="_(* #,##0.0_);_(* \(#,##0.0\);_(* &quot;-&quot;??_);_(@_)"/>
    <numFmt numFmtId="169" formatCode="_(* #,##0.0_);_(* \(#,##0.0\);_(* &quot;-&quot;?_);_(@_)"/>
    <numFmt numFmtId="170" formatCode="0.00_);[Red]\(0.00\)"/>
  </numFmts>
  <fonts count="19" x14ac:knownFonts="1">
    <font>
      <sz val="11"/>
      <color theme="1"/>
      <name val="Calibri"/>
      <family val="2"/>
      <scheme val="minor"/>
    </font>
    <font>
      <sz val="11"/>
      <color theme="1"/>
      <name val="Calibri"/>
      <family val="2"/>
      <scheme val="minor"/>
    </font>
    <font>
      <b/>
      <u/>
      <sz val="11"/>
      <color theme="1"/>
      <name val="Arial"/>
      <family val="2"/>
    </font>
    <font>
      <sz val="11"/>
      <color theme="1"/>
      <name val="Arial"/>
      <family val="2"/>
    </font>
    <font>
      <b/>
      <sz val="11"/>
      <color theme="1"/>
      <name val="Arial"/>
      <family val="2"/>
    </font>
    <font>
      <b/>
      <sz val="11"/>
      <color indexed="9"/>
      <name val="Arial"/>
      <family val="2"/>
    </font>
    <font>
      <i/>
      <sz val="11"/>
      <color theme="1"/>
      <name val="Arial"/>
      <family val="2"/>
    </font>
    <font>
      <b/>
      <sz val="11"/>
      <color theme="0"/>
      <name val="Arial"/>
      <family val="2"/>
    </font>
    <font>
      <b/>
      <sz val="11"/>
      <color rgb="FF002060"/>
      <name val="Arial"/>
      <family val="2"/>
    </font>
    <font>
      <b/>
      <sz val="12"/>
      <color rgb="FF0B236B"/>
      <name val="Calibri"/>
      <family val="2"/>
      <scheme val="minor"/>
    </font>
    <font>
      <sz val="10"/>
      <color rgb="FF616363"/>
      <name val="Calibri"/>
      <family val="2"/>
      <scheme val="minor"/>
    </font>
    <font>
      <b/>
      <sz val="10.5"/>
      <color rgb="FF616363"/>
      <name val="Calibri"/>
      <family val="2"/>
      <scheme val="minor"/>
    </font>
    <font>
      <sz val="12"/>
      <color theme="1"/>
      <name val="Arial"/>
      <family val="2"/>
    </font>
    <font>
      <sz val="8"/>
      <color theme="1" tint="0.34998626667073579"/>
      <name val="Arial"/>
      <family val="2"/>
    </font>
    <font>
      <sz val="11"/>
      <color rgb="FF000000"/>
      <name val="Arial"/>
      <family val="2"/>
    </font>
    <font>
      <sz val="11"/>
      <name val="Arial"/>
      <family val="2"/>
    </font>
    <font>
      <b/>
      <sz val="11"/>
      <name val="Arial"/>
      <family val="2"/>
    </font>
    <font>
      <b/>
      <sz val="11"/>
      <name val="Calibri"/>
      <family val="2"/>
      <scheme val="minor"/>
    </font>
    <font>
      <b/>
      <sz val="11"/>
      <color rgb="FFFFFFFF"/>
      <name val="Arial"/>
      <family val="2"/>
    </font>
  </fonts>
  <fills count="9">
    <fill>
      <patternFill patternType="none"/>
    </fill>
    <fill>
      <patternFill patternType="gray125"/>
    </fill>
    <fill>
      <patternFill patternType="solid">
        <fgColor indexed="56"/>
        <bgColor indexed="9"/>
      </patternFill>
    </fill>
    <fill>
      <patternFill patternType="solid">
        <fgColor rgb="FFFF0000"/>
        <bgColor indexed="9"/>
      </patternFill>
    </fill>
    <fill>
      <patternFill patternType="solid">
        <fgColor theme="0" tint="-4.9989318521683403E-2"/>
        <bgColor indexed="64"/>
      </patternFill>
    </fill>
    <fill>
      <patternFill patternType="solid">
        <fgColor rgb="FFF2F2F2"/>
        <bgColor indexed="64"/>
      </patternFill>
    </fill>
    <fill>
      <patternFill patternType="solid">
        <fgColor rgb="FF00B050"/>
        <bgColor indexed="64"/>
      </patternFill>
    </fill>
    <fill>
      <patternFill patternType="solid">
        <fgColor rgb="FFFF0000"/>
        <bgColor indexed="64"/>
      </patternFill>
    </fill>
    <fill>
      <patternFill patternType="solid">
        <fgColor theme="0"/>
        <bgColor indexed="64"/>
      </patternFill>
    </fill>
  </fills>
  <borders count="18">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31"/>
      </right>
      <top style="thin">
        <color indexed="64"/>
      </top>
      <bottom style="thin">
        <color indexed="64"/>
      </bottom>
      <diagonal/>
    </border>
    <border>
      <left/>
      <right style="thin">
        <color indexed="31"/>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style="thin">
        <color indexed="64"/>
      </left>
      <right/>
      <top/>
      <bottom/>
      <diagonal/>
    </border>
    <border>
      <left style="medium">
        <color indexed="64"/>
      </left>
      <right/>
      <top style="medium">
        <color indexed="64"/>
      </top>
      <bottom style="medium">
        <color indexed="64"/>
      </bottom>
      <diagonal/>
    </border>
    <border>
      <left/>
      <right style="medium">
        <color rgb="FF002060"/>
      </right>
      <top style="medium">
        <color indexed="64"/>
      </top>
      <bottom style="medium">
        <color indexed="64"/>
      </bottom>
      <diagonal/>
    </border>
    <border>
      <left style="medium">
        <color rgb="FF002060"/>
      </left>
      <right style="medium">
        <color rgb="FF002060"/>
      </right>
      <top style="medium">
        <color indexed="64"/>
      </top>
      <bottom style="medium">
        <color indexed="64"/>
      </bottom>
      <diagonal/>
    </border>
    <border>
      <left style="medium">
        <color rgb="FF002060"/>
      </left>
      <right style="medium">
        <color indexed="64"/>
      </right>
      <top style="medium">
        <color indexed="64"/>
      </top>
      <bottom style="medium">
        <color indexed="64"/>
      </bottom>
      <diagonal/>
    </border>
  </borders>
  <cellStyleXfs count="2">
    <xf numFmtId="0" fontId="0" fillId="0" borderId="0"/>
    <xf numFmtId="43" fontId="1" fillId="0" borderId="0" applyFont="0" applyFill="0" applyBorder="0" applyAlignment="0" applyProtection="0"/>
  </cellStyleXfs>
  <cellXfs count="99">
    <xf numFmtId="0" fontId="0" fillId="0" borderId="0" xfId="0"/>
    <xf numFmtId="0" fontId="2" fillId="0" borderId="0" xfId="0" applyFont="1"/>
    <xf numFmtId="0" fontId="3" fillId="0" borderId="0" xfId="0" applyFont="1"/>
    <xf numFmtId="49" fontId="5" fillId="2" borderId="1" xfId="0" applyNumberFormat="1" applyFont="1" applyFill="1" applyBorder="1" applyAlignment="1">
      <alignment vertical="center" wrapText="1"/>
    </xf>
    <xf numFmtId="49" fontId="5" fillId="2" borderId="2" xfId="0" applyNumberFormat="1" applyFont="1" applyFill="1" applyBorder="1" applyAlignment="1">
      <alignment horizontal="right" vertical="center" wrapText="1"/>
    </xf>
    <xf numFmtId="164" fontId="3" fillId="4" borderId="4" xfId="0" applyNumberFormat="1" applyFont="1" applyFill="1" applyBorder="1" applyAlignment="1">
      <alignment horizontal="left"/>
    </xf>
    <xf numFmtId="164" fontId="3" fillId="4" borderId="4" xfId="0" applyNumberFormat="1" applyFont="1" applyFill="1" applyBorder="1" applyAlignment="1">
      <alignment horizontal="right"/>
    </xf>
    <xf numFmtId="0" fontId="3" fillId="4" borderId="4" xfId="0" applyFont="1" applyFill="1" applyBorder="1" applyAlignment="1">
      <alignment horizontal="left"/>
    </xf>
    <xf numFmtId="164" fontId="3" fillId="0" borderId="4" xfId="0" applyNumberFormat="1" applyFont="1" applyBorder="1" applyAlignment="1">
      <alignment horizontal="right"/>
    </xf>
    <xf numFmtId="164" fontId="3" fillId="0" borderId="5" xfId="0" applyNumberFormat="1" applyFont="1" applyBorder="1" applyAlignment="1">
      <alignment horizontal="right"/>
    </xf>
    <xf numFmtId="0" fontId="3" fillId="0" borderId="0" xfId="0" applyFont="1" applyAlignment="1">
      <alignment horizontal="left"/>
    </xf>
    <xf numFmtId="0" fontId="6" fillId="0" borderId="0" xfId="0" applyFont="1" applyAlignment="1">
      <alignment horizontal="left"/>
    </xf>
    <xf numFmtId="165" fontId="3" fillId="0" borderId="0" xfId="0" applyNumberFormat="1" applyFont="1" applyAlignment="1">
      <alignment horizontal="left"/>
    </xf>
    <xf numFmtId="49" fontId="5" fillId="2" borderId="6" xfId="0" applyNumberFormat="1" applyFont="1" applyFill="1" applyBorder="1" applyAlignment="1">
      <alignment horizontal="left" vertical="center" wrapText="1"/>
    </xf>
    <xf numFmtId="167" fontId="3" fillId="0" borderId="0" xfId="1" applyNumberFormat="1" applyFont="1" applyFill="1" applyAlignment="1">
      <alignment horizontal="center" vertical="center"/>
    </xf>
    <xf numFmtId="167" fontId="3" fillId="0" borderId="0" xfId="0" applyNumberFormat="1" applyFont="1"/>
    <xf numFmtId="165" fontId="3" fillId="4" borderId="0" xfId="0" applyNumberFormat="1" applyFont="1" applyFill="1" applyAlignment="1">
      <alignment horizontal="left"/>
    </xf>
    <xf numFmtId="167" fontId="3" fillId="4" borderId="0" xfId="1" applyNumberFormat="1" applyFont="1" applyFill="1" applyAlignment="1">
      <alignment horizontal="center" vertical="center"/>
    </xf>
    <xf numFmtId="49" fontId="5" fillId="2" borderId="8" xfId="0" applyNumberFormat="1" applyFont="1" applyFill="1" applyBorder="1" applyAlignment="1">
      <alignment vertical="center" wrapText="1"/>
    </xf>
    <xf numFmtId="49" fontId="5" fillId="2" borderId="9" xfId="0" applyNumberFormat="1" applyFont="1" applyFill="1" applyBorder="1" applyAlignment="1">
      <alignment horizontal="right" vertical="center" wrapText="1"/>
    </xf>
    <xf numFmtId="164" fontId="3" fillId="4" borderId="9" xfId="0" applyNumberFormat="1" applyFont="1" applyFill="1" applyBorder="1" applyAlignment="1">
      <alignment horizontal="left"/>
    </xf>
    <xf numFmtId="0" fontId="3" fillId="4" borderId="9" xfId="0" applyFont="1" applyFill="1" applyBorder="1" applyAlignment="1">
      <alignment horizontal="left"/>
    </xf>
    <xf numFmtId="164" fontId="3" fillId="4" borderId="9" xfId="0" applyNumberFormat="1" applyFont="1" applyFill="1" applyBorder="1" applyAlignment="1">
      <alignment horizontal="right"/>
    </xf>
    <xf numFmtId="164" fontId="3" fillId="0" borderId="4" xfId="0" applyNumberFormat="1" applyFont="1" applyBorder="1" applyAlignment="1">
      <alignment horizontal="left"/>
    </xf>
    <xf numFmtId="0" fontId="3" fillId="0" borderId="4" xfId="0" applyFont="1" applyBorder="1" applyAlignment="1">
      <alignment horizontal="left"/>
    </xf>
    <xf numFmtId="0" fontId="9" fillId="0" borderId="0" xfId="0" applyFont="1"/>
    <xf numFmtId="0" fontId="1" fillId="0" borderId="0" xfId="0" applyFont="1"/>
    <xf numFmtId="0" fontId="1" fillId="0" borderId="0" xfId="0" applyFont="1" applyAlignment="1">
      <alignment wrapText="1"/>
    </xf>
    <xf numFmtId="0" fontId="10" fillId="0" borderId="0" xfId="0" applyFont="1"/>
    <xf numFmtId="0" fontId="11" fillId="0" borderId="0" xfId="0" applyFont="1" applyAlignment="1">
      <alignment vertical="top"/>
    </xf>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12" fillId="0" borderId="0" xfId="0" applyFont="1"/>
    <xf numFmtId="0" fontId="5" fillId="2" borderId="8" xfId="0" applyFont="1" applyFill="1" applyBorder="1" applyAlignment="1">
      <alignment vertical="center" wrapText="1"/>
    </xf>
    <xf numFmtId="0" fontId="3" fillId="0" borderId="12" xfId="0" applyFont="1" applyBorder="1" applyAlignment="1">
      <alignment horizontal="left"/>
    </xf>
    <xf numFmtId="0" fontId="14" fillId="5" borderId="9" xfId="0" applyFont="1" applyFill="1" applyBorder="1" applyAlignment="1">
      <alignment vertical="center"/>
    </xf>
    <xf numFmtId="0" fontId="14" fillId="0" borderId="4" xfId="0" applyFont="1" applyBorder="1" applyAlignment="1">
      <alignment vertical="center"/>
    </xf>
    <xf numFmtId="0" fontId="14" fillId="5" borderId="4" xfId="0" applyFont="1" applyFill="1" applyBorder="1" applyAlignment="1">
      <alignment vertical="center"/>
    </xf>
    <xf numFmtId="0" fontId="14" fillId="0" borderId="5" xfId="0" applyFont="1" applyBorder="1" applyAlignment="1">
      <alignment vertical="center"/>
    </xf>
    <xf numFmtId="168" fontId="0" fillId="0" borderId="0" xfId="1" applyNumberFormat="1" applyFont="1"/>
    <xf numFmtId="49" fontId="7" fillId="2" borderId="1" xfId="0" applyNumberFormat="1" applyFont="1" applyFill="1" applyBorder="1" applyAlignment="1">
      <alignment vertical="center" wrapText="1"/>
    </xf>
    <xf numFmtId="168" fontId="3" fillId="0" borderId="0" xfId="1" applyNumberFormat="1" applyFont="1"/>
    <xf numFmtId="168" fontId="0" fillId="0" borderId="0" xfId="1" applyNumberFormat="1" applyFont="1" applyAlignment="1">
      <alignment vertical="top"/>
    </xf>
    <xf numFmtId="169" fontId="0" fillId="0" borderId="0" xfId="0" applyNumberFormat="1"/>
    <xf numFmtId="164" fontId="0" fillId="0" borderId="0" xfId="0" applyNumberFormat="1"/>
    <xf numFmtId="167" fontId="0" fillId="0" borderId="0" xfId="0" applyNumberFormat="1"/>
    <xf numFmtId="169" fontId="3" fillId="0" borderId="0" xfId="0" applyNumberFormat="1" applyFont="1"/>
    <xf numFmtId="170" fontId="3" fillId="4" borderId="4" xfId="0" applyNumberFormat="1" applyFont="1" applyFill="1" applyBorder="1" applyAlignment="1">
      <alignment horizontal="right"/>
    </xf>
    <xf numFmtId="166" fontId="7" fillId="6" borderId="11" xfId="0" applyNumberFormat="1" applyFont="1" applyFill="1" applyBorder="1" applyAlignment="1">
      <alignment horizontal="center"/>
    </xf>
    <xf numFmtId="0" fontId="14" fillId="0" borderId="0" xfId="0" applyFont="1" applyAlignment="1">
      <alignment vertical="center"/>
    </xf>
    <xf numFmtId="164" fontId="3" fillId="0" borderId="0" xfId="0" applyNumberFormat="1" applyFont="1" applyAlignment="1">
      <alignment horizontal="left"/>
    </xf>
    <xf numFmtId="164" fontId="3" fillId="0" borderId="0" xfId="0" applyNumberFormat="1" applyFont="1" applyAlignment="1">
      <alignment horizontal="right"/>
    </xf>
    <xf numFmtId="49" fontId="5" fillId="2" borderId="8" xfId="0" applyNumberFormat="1" applyFont="1" applyFill="1" applyBorder="1" applyAlignment="1">
      <alignment horizontal="right" vertical="center" wrapText="1"/>
    </xf>
    <xf numFmtId="164" fontId="3" fillId="0" borderId="5" xfId="0" applyNumberFormat="1" applyFont="1" applyBorder="1" applyAlignment="1">
      <alignment horizontal="left"/>
    </xf>
    <xf numFmtId="0" fontId="3" fillId="0" borderId="5" xfId="0" applyFont="1" applyBorder="1" applyAlignment="1">
      <alignment horizontal="left"/>
    </xf>
    <xf numFmtId="0" fontId="17" fillId="0" borderId="0" xfId="0" applyFont="1"/>
    <xf numFmtId="168" fontId="0" fillId="0" borderId="0" xfId="0" applyNumberFormat="1"/>
    <xf numFmtId="168" fontId="3" fillId="0" borderId="0" xfId="1" applyNumberFormat="1" applyFont="1" applyFill="1"/>
    <xf numFmtId="164" fontId="3" fillId="0" borderId="0" xfId="0" applyNumberFormat="1" applyFont="1" applyAlignment="1">
      <alignment horizontal="center" vertical="center"/>
    </xf>
    <xf numFmtId="15" fontId="3" fillId="0" borderId="0" xfId="0" applyNumberFormat="1" applyFont="1" applyAlignment="1">
      <alignment horizontal="left" vertical="center"/>
    </xf>
    <xf numFmtId="164" fontId="3" fillId="0" borderId="0" xfId="0" applyNumberFormat="1" applyFont="1"/>
    <xf numFmtId="43" fontId="0" fillId="0" borderId="0" xfId="0" applyNumberFormat="1"/>
    <xf numFmtId="168" fontId="3" fillId="4" borderId="9" xfId="1" applyNumberFormat="1" applyFont="1" applyFill="1" applyBorder="1" applyAlignment="1">
      <alignment horizontal="right"/>
    </xf>
    <xf numFmtId="168" fontId="3" fillId="0" borderId="4" xfId="1" applyNumberFormat="1" applyFont="1" applyBorder="1" applyAlignment="1">
      <alignment horizontal="right"/>
    </xf>
    <xf numFmtId="168" fontId="3" fillId="4" borderId="4" xfId="1" applyNumberFormat="1" applyFont="1" applyFill="1" applyBorder="1" applyAlignment="1">
      <alignment horizontal="right"/>
    </xf>
    <xf numFmtId="168" fontId="3" fillId="0" borderId="5" xfId="1" applyNumberFormat="1" applyFont="1" applyBorder="1" applyAlignment="1">
      <alignment horizontal="right"/>
    </xf>
    <xf numFmtId="164" fontId="15" fillId="0" borderId="4" xfId="0" applyNumberFormat="1" applyFont="1" applyBorder="1" applyAlignment="1">
      <alignment horizontal="left"/>
    </xf>
    <xf numFmtId="164" fontId="15" fillId="4" borderId="4" xfId="0" applyNumberFormat="1" applyFont="1" applyFill="1" applyBorder="1" applyAlignment="1">
      <alignment horizontal="left"/>
    </xf>
    <xf numFmtId="15" fontId="3" fillId="4" borderId="0" xfId="0" applyNumberFormat="1" applyFont="1" applyFill="1" applyAlignment="1">
      <alignment horizontal="left" vertical="center"/>
    </xf>
    <xf numFmtId="164" fontId="3" fillId="4" borderId="0" xfId="0" applyNumberFormat="1" applyFont="1" applyFill="1" applyAlignment="1">
      <alignment horizontal="center" vertical="center"/>
    </xf>
    <xf numFmtId="165" fontId="3" fillId="8" borderId="0" xfId="0" applyNumberFormat="1" applyFont="1" applyFill="1" applyAlignment="1">
      <alignment horizontal="left"/>
    </xf>
    <xf numFmtId="167" fontId="3" fillId="8" borderId="0" xfId="1" applyNumberFormat="1" applyFont="1" applyFill="1" applyAlignment="1">
      <alignment horizontal="center" vertical="center"/>
    </xf>
    <xf numFmtId="166" fontId="7" fillId="0" borderId="0" xfId="0" applyNumberFormat="1" applyFont="1" applyAlignment="1">
      <alignment horizontal="center"/>
    </xf>
    <xf numFmtId="166" fontId="7" fillId="7" borderId="11" xfId="0" applyNumberFormat="1" applyFont="1" applyFill="1" applyBorder="1" applyAlignment="1">
      <alignment horizontal="center"/>
    </xf>
    <xf numFmtId="166" fontId="7" fillId="7" borderId="0" xfId="0" applyNumberFormat="1" applyFont="1" applyFill="1" applyAlignment="1">
      <alignment horizontal="center"/>
    </xf>
    <xf numFmtId="166" fontId="7" fillId="6" borderId="0" xfId="0" applyNumberFormat="1" applyFont="1" applyFill="1" applyAlignment="1">
      <alignment horizontal="center"/>
    </xf>
    <xf numFmtId="165" fontId="3" fillId="4" borderId="13" xfId="0" applyNumberFormat="1" applyFont="1" applyFill="1" applyBorder="1" applyAlignment="1">
      <alignment horizontal="left"/>
    </xf>
    <xf numFmtId="15" fontId="3" fillId="0" borderId="13" xfId="0" applyNumberFormat="1" applyFont="1" applyBorder="1" applyAlignment="1">
      <alignment horizontal="left" vertical="center"/>
    </xf>
    <xf numFmtId="0" fontId="14" fillId="4" borderId="4" xfId="0" applyFont="1" applyFill="1" applyBorder="1" applyAlignment="1">
      <alignment vertical="center"/>
    </xf>
    <xf numFmtId="164" fontId="3" fillId="4" borderId="4" xfId="0" applyNumberFormat="1" applyFont="1" applyFill="1" applyBorder="1"/>
    <xf numFmtId="164" fontId="4" fillId="0" borderId="16" xfId="0" applyNumberFormat="1" applyFont="1" applyBorder="1" applyAlignment="1">
      <alignment horizontal="right" vertical="center" wrapText="1"/>
    </xf>
    <xf numFmtId="164" fontId="4" fillId="0" borderId="17" xfId="0" applyNumberFormat="1" applyFont="1" applyBorder="1" applyAlignment="1">
      <alignment horizontal="right" vertical="center" wrapText="1"/>
    </xf>
    <xf numFmtId="49" fontId="5" fillId="3" borderId="2" xfId="0" applyNumberFormat="1" applyFont="1" applyFill="1" applyBorder="1" applyAlignment="1">
      <alignment horizontal="left" vertical="center" wrapText="1"/>
    </xf>
    <xf numFmtId="49" fontId="5" fillId="3" borderId="2" xfId="0" applyNumberFormat="1" applyFont="1" applyFill="1" applyBorder="1" applyAlignment="1">
      <alignment horizontal="right" vertical="center" wrapText="1"/>
    </xf>
    <xf numFmtId="49" fontId="5" fillId="3" borderId="2" xfId="0" applyNumberFormat="1" applyFont="1" applyFill="1" applyBorder="1" applyAlignment="1">
      <alignment vertical="center" wrapText="1"/>
    </xf>
    <xf numFmtId="165" fontId="3" fillId="8" borderId="13" xfId="0" applyNumberFormat="1" applyFont="1" applyFill="1" applyBorder="1" applyAlignment="1">
      <alignment horizontal="left"/>
    </xf>
    <xf numFmtId="43" fontId="0" fillId="0" borderId="0" xfId="1" applyFont="1"/>
    <xf numFmtId="0" fontId="15" fillId="0" borderId="0" xfId="0" applyFont="1"/>
    <xf numFmtId="0" fontId="3" fillId="4" borderId="0" xfId="0" applyFont="1" applyFill="1" applyAlignment="1">
      <alignment horizontal="left"/>
    </xf>
    <xf numFmtId="15" fontId="3" fillId="4" borderId="13" xfId="0" applyNumberFormat="1" applyFont="1" applyFill="1" applyBorder="1" applyAlignment="1">
      <alignment horizontal="left" vertical="center"/>
    </xf>
    <xf numFmtId="0" fontId="13" fillId="0" borderId="0" xfId="0" applyFont="1" applyAlignment="1">
      <alignment horizontal="left" wrapText="1"/>
    </xf>
    <xf numFmtId="49" fontId="5" fillId="2" borderId="10" xfId="0" applyNumberFormat="1" applyFont="1" applyFill="1" applyBorder="1" applyAlignment="1">
      <alignment horizontal="center" vertical="center" wrapText="1"/>
    </xf>
    <xf numFmtId="49" fontId="5" fillId="2" borderId="11" xfId="0" applyNumberFormat="1" applyFont="1" applyFill="1" applyBorder="1" applyAlignment="1">
      <alignment horizontal="center" vertical="center" wrapText="1"/>
    </xf>
    <xf numFmtId="49" fontId="5" fillId="2" borderId="1" xfId="0" applyNumberFormat="1" applyFont="1" applyFill="1" applyBorder="1" applyAlignment="1">
      <alignment horizontal="center" vertical="center" wrapText="1"/>
    </xf>
    <xf numFmtId="49" fontId="5" fillId="2" borderId="3" xfId="0" applyNumberFormat="1" applyFont="1" applyFill="1" applyBorder="1" applyAlignment="1">
      <alignment horizontal="center" vertical="center" wrapText="1"/>
    </xf>
    <xf numFmtId="49" fontId="5" fillId="2" borderId="7" xfId="0" applyNumberFormat="1" applyFont="1" applyFill="1" applyBorder="1" applyAlignment="1">
      <alignment horizontal="center" vertical="center" wrapText="1"/>
    </xf>
    <xf numFmtId="49" fontId="8" fillId="0" borderId="14" xfId="0" applyNumberFormat="1" applyFont="1" applyBorder="1" applyAlignment="1">
      <alignment horizontal="left" vertical="center" wrapText="1"/>
    </xf>
    <xf numFmtId="49" fontId="8" fillId="0" borderId="15" xfId="0" applyNumberFormat="1" applyFont="1" applyBorder="1" applyAlignment="1">
      <alignment horizontal="left" vertical="center" wrapText="1"/>
    </xf>
  </cellXfs>
  <cellStyles count="2">
    <cellStyle name="Comma" xfId="1" builtinId="3"/>
    <cellStyle name="Normal" xfId="0" builtinId="0"/>
  </cellStyles>
  <dxfs count="1">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57"/>
  <sheetViews>
    <sheetView showGridLines="0" tabSelected="1" zoomScaleNormal="100" workbookViewId="0"/>
  </sheetViews>
  <sheetFormatPr defaultColWidth="9.42578125" defaultRowHeight="14.25" x14ac:dyDescent="0.2"/>
  <cols>
    <col min="1" max="1" width="43.42578125" style="2" customWidth="1"/>
    <col min="2" max="2" width="7" style="2" customWidth="1"/>
    <col min="3" max="3" width="17.42578125" style="2" customWidth="1"/>
    <col min="4" max="4" width="41.5703125" style="2" customWidth="1"/>
    <col min="5" max="5" width="7" style="2" customWidth="1"/>
    <col min="6" max="6" width="17.42578125" style="2" customWidth="1"/>
    <col min="7" max="7" width="26.42578125" style="2" customWidth="1"/>
    <col min="8" max="8" width="9.42578125" style="2"/>
    <col min="9" max="9" width="17" style="42" bestFit="1" customWidth="1"/>
    <col min="10" max="10" width="10.42578125" style="2" bestFit="1" customWidth="1"/>
    <col min="11" max="11" width="9.42578125" style="2"/>
    <col min="12" max="12" width="10.5703125" style="2" bestFit="1" customWidth="1"/>
    <col min="13" max="16384" width="9.42578125" style="2"/>
  </cols>
  <sheetData>
    <row r="1" spans="1:13" ht="15" x14ac:dyDescent="0.25">
      <c r="A1" s="1" t="s">
        <v>266</v>
      </c>
    </row>
    <row r="2" spans="1:13" ht="15" x14ac:dyDescent="0.25">
      <c r="A2" s="88" t="s">
        <v>268</v>
      </c>
      <c r="I2" s="58"/>
    </row>
    <row r="3" spans="1:13" ht="15" x14ac:dyDescent="0.25">
      <c r="A3" s="88" t="s">
        <v>269</v>
      </c>
      <c r="I3" s="58"/>
    </row>
    <row r="5" spans="1:13" ht="29.25" customHeight="1" x14ac:dyDescent="0.2">
      <c r="A5" s="3" t="s">
        <v>0</v>
      </c>
      <c r="B5" s="3" t="s">
        <v>1</v>
      </c>
      <c r="C5" s="4" t="s">
        <v>266</v>
      </c>
      <c r="D5" s="83" t="s">
        <v>2</v>
      </c>
      <c r="E5" s="83" t="s">
        <v>1</v>
      </c>
      <c r="F5" s="84" t="str">
        <f>+C5</f>
        <v>Week of 29 January 2024</v>
      </c>
    </row>
    <row r="6" spans="1:13" ht="15" x14ac:dyDescent="0.25">
      <c r="A6" s="36" t="s">
        <v>179</v>
      </c>
      <c r="B6" s="89" t="s">
        <v>32</v>
      </c>
      <c r="C6" s="6">
        <v>34.707332999999998</v>
      </c>
      <c r="D6" s="36" t="s">
        <v>26</v>
      </c>
      <c r="E6" s="89" t="s">
        <v>21</v>
      </c>
      <c r="F6" s="6">
        <v>-118.966239</v>
      </c>
      <c r="G6" s="61"/>
      <c r="K6" s="47"/>
      <c r="L6"/>
      <c r="M6"/>
    </row>
    <row r="7" spans="1:13" ht="15" x14ac:dyDescent="0.25">
      <c r="A7" s="37" t="s">
        <v>45</v>
      </c>
      <c r="B7" s="10" t="s">
        <v>42</v>
      </c>
      <c r="C7" s="8">
        <v>19.587152</v>
      </c>
      <c r="D7" s="37" t="s">
        <v>27</v>
      </c>
      <c r="E7" s="10" t="s">
        <v>22</v>
      </c>
      <c r="F7" s="8">
        <v>-41.024991999999997</v>
      </c>
      <c r="G7" s="61"/>
      <c r="K7" s="47"/>
      <c r="L7"/>
      <c r="M7"/>
    </row>
    <row r="8" spans="1:13" ht="15" x14ac:dyDescent="0.25">
      <c r="A8" s="38" t="s">
        <v>260</v>
      </c>
      <c r="B8" s="89" t="s">
        <v>113</v>
      </c>
      <c r="C8" s="6">
        <v>17.045007999999999</v>
      </c>
      <c r="D8" s="38" t="s">
        <v>29</v>
      </c>
      <c r="E8" s="89" t="s">
        <v>24</v>
      </c>
      <c r="F8" s="6">
        <v>-32.571834000000003</v>
      </c>
      <c r="G8" s="61"/>
      <c r="K8" s="47"/>
      <c r="L8"/>
      <c r="M8"/>
    </row>
    <row r="9" spans="1:13" ht="15" x14ac:dyDescent="0.25">
      <c r="A9" s="37" t="s">
        <v>79</v>
      </c>
      <c r="B9" s="10" t="s">
        <v>56</v>
      </c>
      <c r="C9" s="8">
        <v>9.7784180000000003</v>
      </c>
      <c r="D9" s="37" t="s">
        <v>270</v>
      </c>
      <c r="E9" s="10" t="s">
        <v>78</v>
      </c>
      <c r="F9" s="8">
        <v>-29.969289</v>
      </c>
      <c r="G9" s="61"/>
      <c r="K9" s="47"/>
      <c r="L9"/>
      <c r="M9"/>
    </row>
    <row r="10" spans="1:13" ht="15" x14ac:dyDescent="0.25">
      <c r="A10" s="38" t="s">
        <v>28</v>
      </c>
      <c r="B10" s="89" t="s">
        <v>23</v>
      </c>
      <c r="C10" s="6">
        <v>8.3130749999999995</v>
      </c>
      <c r="D10" s="38" t="s">
        <v>39</v>
      </c>
      <c r="E10" s="89" t="s">
        <v>37</v>
      </c>
      <c r="F10" s="6">
        <v>-20.430782000000001</v>
      </c>
      <c r="G10" s="61"/>
      <c r="K10" s="47"/>
      <c r="L10"/>
      <c r="M10"/>
    </row>
    <row r="11" spans="1:13" ht="15" x14ac:dyDescent="0.25">
      <c r="A11" s="37" t="s">
        <v>77</v>
      </c>
      <c r="B11" s="10" t="s">
        <v>76</v>
      </c>
      <c r="C11" s="8">
        <v>6.7954150000000002</v>
      </c>
      <c r="D11" s="37" t="s">
        <v>90</v>
      </c>
      <c r="E11" s="10" t="s">
        <v>25</v>
      </c>
      <c r="F11" s="8">
        <v>-19.301082000000001</v>
      </c>
      <c r="G11" s="61"/>
      <c r="K11" s="47"/>
      <c r="L11"/>
      <c r="M11"/>
    </row>
    <row r="12" spans="1:13" ht="15" x14ac:dyDescent="0.25">
      <c r="A12" s="38" t="s">
        <v>36</v>
      </c>
      <c r="B12" s="89" t="s">
        <v>35</v>
      </c>
      <c r="C12" s="6">
        <v>6.4929930000000002</v>
      </c>
      <c r="D12" s="38" t="s">
        <v>172</v>
      </c>
      <c r="E12" s="89" t="s">
        <v>91</v>
      </c>
      <c r="F12" s="6">
        <v>-19.263881699999999</v>
      </c>
      <c r="G12" s="61"/>
      <c r="K12" s="47"/>
      <c r="L12"/>
      <c r="M12"/>
    </row>
    <row r="13" spans="1:13" ht="15" x14ac:dyDescent="0.25">
      <c r="A13" s="37" t="s">
        <v>61</v>
      </c>
      <c r="B13" s="10" t="s">
        <v>53</v>
      </c>
      <c r="C13" s="8">
        <v>5.9312240000000003</v>
      </c>
      <c r="D13" s="37" t="s">
        <v>63</v>
      </c>
      <c r="E13" s="10" t="s">
        <v>54</v>
      </c>
      <c r="F13" s="8">
        <v>-18.851047000000001</v>
      </c>
      <c r="G13" s="61"/>
      <c r="K13" s="47"/>
      <c r="L13"/>
      <c r="M13"/>
    </row>
    <row r="14" spans="1:13" ht="15" x14ac:dyDescent="0.25">
      <c r="A14" s="38" t="s">
        <v>46</v>
      </c>
      <c r="B14" s="89" t="s">
        <v>43</v>
      </c>
      <c r="C14" s="6">
        <v>5.2866669999999996</v>
      </c>
      <c r="D14" s="38" t="s">
        <v>50</v>
      </c>
      <c r="E14" s="89" t="s">
        <v>48</v>
      </c>
      <c r="F14" s="6">
        <v>-13.555059999999999</v>
      </c>
      <c r="G14" s="61"/>
      <c r="K14" s="47"/>
      <c r="L14"/>
      <c r="M14"/>
    </row>
    <row r="15" spans="1:13" ht="15" x14ac:dyDescent="0.25">
      <c r="A15" s="39" t="s">
        <v>33</v>
      </c>
      <c r="B15" s="35" t="s">
        <v>31</v>
      </c>
      <c r="C15" s="9">
        <v>4.8450319999999998</v>
      </c>
      <c r="D15" s="39" t="s">
        <v>40</v>
      </c>
      <c r="E15" s="35" t="s">
        <v>38</v>
      </c>
      <c r="F15" s="9">
        <v>-13.253500000000001</v>
      </c>
      <c r="G15" s="61"/>
      <c r="K15" s="47"/>
      <c r="L15"/>
      <c r="M15"/>
    </row>
    <row r="16" spans="1:13" ht="15" x14ac:dyDescent="0.2">
      <c r="A16" s="10"/>
      <c r="B16" s="10"/>
      <c r="C16" s="10"/>
      <c r="D16" s="33"/>
      <c r="E16" s="10"/>
      <c r="F16" s="10"/>
    </row>
    <row r="17" spans="1:13" x14ac:dyDescent="0.2">
      <c r="A17" s="10"/>
      <c r="B17" s="10"/>
      <c r="C17" s="10"/>
      <c r="D17" s="10"/>
      <c r="E17" s="10"/>
      <c r="F17" s="10"/>
    </row>
    <row r="18" spans="1:13" ht="28.5" customHeight="1" x14ac:dyDescent="0.2">
      <c r="A18" s="41" t="s">
        <v>3</v>
      </c>
      <c r="B18" s="3" t="s">
        <v>1</v>
      </c>
      <c r="C18" s="4" t="str">
        <f>C5</f>
        <v>Week of 29 January 2024</v>
      </c>
      <c r="D18" s="85" t="s">
        <v>4</v>
      </c>
      <c r="E18" s="83" t="s">
        <v>1</v>
      </c>
      <c r="F18" s="84" t="str">
        <f>+C18</f>
        <v>Week of 29 January 2024</v>
      </c>
    </row>
    <row r="19" spans="1:13" ht="15" x14ac:dyDescent="0.25">
      <c r="A19" s="79" t="s">
        <v>26</v>
      </c>
      <c r="B19" s="89" t="s">
        <v>21</v>
      </c>
      <c r="C19" s="6">
        <v>42.445467000000001</v>
      </c>
      <c r="D19" s="36" t="s">
        <v>179</v>
      </c>
      <c r="E19" s="89" t="s">
        <v>32</v>
      </c>
      <c r="F19" s="6">
        <v>-75.100432999999995</v>
      </c>
      <c r="G19" s="61"/>
      <c r="H19"/>
      <c r="I19" s="40"/>
      <c r="K19" s="47"/>
      <c r="L19"/>
      <c r="M19"/>
    </row>
    <row r="20" spans="1:13" ht="15" x14ac:dyDescent="0.25">
      <c r="A20" s="37" t="s">
        <v>172</v>
      </c>
      <c r="B20" s="10" t="s">
        <v>91</v>
      </c>
      <c r="C20" s="8">
        <v>30.441376999999999</v>
      </c>
      <c r="D20" s="37" t="s">
        <v>28</v>
      </c>
      <c r="E20" s="10" t="s">
        <v>23</v>
      </c>
      <c r="F20" s="8">
        <v>-32.973213999999999</v>
      </c>
      <c r="G20" s="61"/>
      <c r="H20"/>
      <c r="I20" s="40"/>
      <c r="K20" s="47"/>
      <c r="L20"/>
      <c r="M20"/>
    </row>
    <row r="21" spans="1:13" ht="15" x14ac:dyDescent="0.25">
      <c r="A21" s="38" t="s">
        <v>270</v>
      </c>
      <c r="B21" s="89" t="s">
        <v>78</v>
      </c>
      <c r="C21" s="6">
        <v>22.366266</v>
      </c>
      <c r="D21" s="38" t="s">
        <v>45</v>
      </c>
      <c r="E21" s="89" t="s">
        <v>42</v>
      </c>
      <c r="F21" s="6">
        <v>-30.875802</v>
      </c>
      <c r="G21" s="61"/>
      <c r="H21"/>
      <c r="I21" s="40"/>
      <c r="K21" s="47"/>
      <c r="L21"/>
      <c r="M21"/>
    </row>
    <row r="22" spans="1:13" ht="15" x14ac:dyDescent="0.25">
      <c r="A22" s="37" t="s">
        <v>63</v>
      </c>
      <c r="B22" s="10" t="s">
        <v>54</v>
      </c>
      <c r="C22" s="8">
        <v>21.268791</v>
      </c>
      <c r="D22" s="37" t="s">
        <v>33</v>
      </c>
      <c r="E22" s="10" t="s">
        <v>31</v>
      </c>
      <c r="F22" s="8">
        <v>-26.350898999999998</v>
      </c>
      <c r="G22" s="61"/>
      <c r="H22"/>
      <c r="I22" s="40"/>
      <c r="K22" s="47"/>
      <c r="L22"/>
      <c r="M22"/>
    </row>
    <row r="23" spans="1:13" ht="15" x14ac:dyDescent="0.25">
      <c r="A23" s="38" t="s">
        <v>29</v>
      </c>
      <c r="B23" s="89" t="s">
        <v>24</v>
      </c>
      <c r="C23" s="6">
        <v>17.900877000000001</v>
      </c>
      <c r="D23" s="38" t="s">
        <v>49</v>
      </c>
      <c r="E23" s="89" t="s">
        <v>47</v>
      </c>
      <c r="F23" s="6">
        <v>-19.610479099999999</v>
      </c>
      <c r="G23" s="61"/>
      <c r="H23"/>
      <c r="I23" s="50"/>
      <c r="K23" s="47"/>
      <c r="L23"/>
      <c r="M23"/>
    </row>
    <row r="24" spans="1:13" ht="15" x14ac:dyDescent="0.25">
      <c r="A24" s="37" t="s">
        <v>197</v>
      </c>
      <c r="B24" s="10" t="s">
        <v>173</v>
      </c>
      <c r="C24" s="8">
        <v>14.612522999999999</v>
      </c>
      <c r="D24" s="37" t="s">
        <v>79</v>
      </c>
      <c r="E24" s="10" t="s">
        <v>56</v>
      </c>
      <c r="F24" s="8">
        <v>-12.118366</v>
      </c>
      <c r="G24" s="61"/>
      <c r="H24"/>
      <c r="I24" s="40"/>
      <c r="K24" s="47"/>
      <c r="L24"/>
      <c r="M24"/>
    </row>
    <row r="25" spans="1:13" ht="15" x14ac:dyDescent="0.25">
      <c r="A25" s="38" t="s">
        <v>39</v>
      </c>
      <c r="B25" s="89" t="s">
        <v>37</v>
      </c>
      <c r="C25" s="6">
        <v>12.36595</v>
      </c>
      <c r="D25" s="38" t="s">
        <v>260</v>
      </c>
      <c r="E25" s="89" t="s">
        <v>113</v>
      </c>
      <c r="F25" s="6">
        <v>-10.070626000000001</v>
      </c>
      <c r="G25" s="61"/>
      <c r="H25"/>
      <c r="I25" s="40"/>
      <c r="K25" s="47"/>
      <c r="L25"/>
      <c r="M25"/>
    </row>
    <row r="26" spans="1:13" ht="15" x14ac:dyDescent="0.25">
      <c r="A26" s="37" t="s">
        <v>90</v>
      </c>
      <c r="B26" s="10" t="s">
        <v>25</v>
      </c>
      <c r="C26" s="8">
        <v>7.8495100000000004</v>
      </c>
      <c r="D26" s="37" t="s">
        <v>61</v>
      </c>
      <c r="E26" s="10" t="s">
        <v>53</v>
      </c>
      <c r="F26" s="8">
        <v>-8.5297160000000005</v>
      </c>
      <c r="G26" s="61"/>
      <c r="H26"/>
      <c r="I26" s="40"/>
      <c r="K26" s="47"/>
      <c r="L26"/>
      <c r="M26"/>
    </row>
    <row r="27" spans="1:13" ht="15" x14ac:dyDescent="0.25">
      <c r="A27" s="38" t="s">
        <v>40</v>
      </c>
      <c r="B27" s="89" t="s">
        <v>38</v>
      </c>
      <c r="C27" s="6">
        <v>7.8139690000000002</v>
      </c>
      <c r="D27" s="38" t="s">
        <v>46</v>
      </c>
      <c r="E27" s="89" t="s">
        <v>43</v>
      </c>
      <c r="F27" s="6">
        <v>-8.1905619999999999</v>
      </c>
      <c r="G27" s="61"/>
      <c r="H27"/>
      <c r="I27" s="40"/>
      <c r="K27" s="47"/>
      <c r="L27"/>
      <c r="M27"/>
    </row>
    <row r="28" spans="1:13" ht="15" x14ac:dyDescent="0.25">
      <c r="A28" s="39" t="s">
        <v>265</v>
      </c>
      <c r="B28" s="35" t="s">
        <v>114</v>
      </c>
      <c r="C28" s="9">
        <v>4.9596470000000004</v>
      </c>
      <c r="D28" s="39" t="s">
        <v>86</v>
      </c>
      <c r="E28" s="35" t="s">
        <v>85</v>
      </c>
      <c r="F28" s="9">
        <v>-7.4812240000000001</v>
      </c>
      <c r="G28" s="61"/>
      <c r="H28"/>
      <c r="I28" s="40"/>
      <c r="K28" s="47"/>
      <c r="L28"/>
      <c r="M28"/>
    </row>
    <row r="29" spans="1:13" x14ac:dyDescent="0.2">
      <c r="A29" s="10"/>
      <c r="B29" s="10"/>
      <c r="C29" s="10"/>
      <c r="D29" s="10"/>
      <c r="E29" s="10"/>
      <c r="F29" s="10"/>
    </row>
    <row r="30" spans="1:13" x14ac:dyDescent="0.2">
      <c r="A30" s="11" t="s">
        <v>67</v>
      </c>
      <c r="B30" s="11"/>
      <c r="C30" s="10"/>
      <c r="D30" s="10"/>
      <c r="E30" s="10"/>
      <c r="F30" s="10"/>
    </row>
    <row r="31" spans="1:13" x14ac:dyDescent="0.2">
      <c r="A31" s="11" t="s">
        <v>82</v>
      </c>
      <c r="B31" s="11"/>
      <c r="C31" s="10"/>
      <c r="D31" s="10"/>
      <c r="E31" s="10"/>
      <c r="F31" s="10"/>
    </row>
    <row r="32" spans="1:13" x14ac:dyDescent="0.2">
      <c r="A32" s="11" t="s">
        <v>83</v>
      </c>
      <c r="B32" s="11"/>
      <c r="C32" s="10"/>
      <c r="D32" s="10"/>
      <c r="E32" s="10"/>
      <c r="F32" s="10"/>
    </row>
    <row r="33" spans="1:9" x14ac:dyDescent="0.2">
      <c r="A33" s="11" t="s">
        <v>6</v>
      </c>
      <c r="B33" s="11"/>
      <c r="C33" s="10"/>
      <c r="D33" s="10"/>
      <c r="E33" s="10"/>
      <c r="F33" s="10"/>
    </row>
    <row r="34" spans="1:9" x14ac:dyDescent="0.2">
      <c r="A34" s="11" t="s">
        <v>75</v>
      </c>
      <c r="B34" s="11"/>
      <c r="C34" s="10"/>
      <c r="D34" s="10"/>
      <c r="E34" s="10"/>
      <c r="F34" s="10"/>
    </row>
    <row r="35" spans="1:9" x14ac:dyDescent="0.2">
      <c r="A35" s="11"/>
      <c r="B35" s="11"/>
      <c r="C35" s="10"/>
      <c r="D35" s="10"/>
      <c r="E35" s="10"/>
      <c r="F35" s="10"/>
    </row>
    <row r="36" spans="1:9" x14ac:dyDescent="0.2">
      <c r="A36" s="11"/>
      <c r="B36" s="11"/>
      <c r="C36" s="10"/>
      <c r="D36" s="10"/>
      <c r="E36" s="10"/>
      <c r="F36" s="10"/>
    </row>
    <row r="37" spans="1:9" customFormat="1" ht="15.75" x14ac:dyDescent="0.25">
      <c r="A37" s="25" t="s">
        <v>68</v>
      </c>
      <c r="B37" s="26"/>
      <c r="C37" s="27"/>
      <c r="D37" s="27"/>
      <c r="E37" s="26"/>
      <c r="F37" s="26"/>
      <c r="I37" s="40"/>
    </row>
    <row r="38" spans="1:9" customFormat="1" ht="15" x14ac:dyDescent="0.25">
      <c r="A38" s="28" t="s">
        <v>69</v>
      </c>
      <c r="B38" s="26"/>
      <c r="C38" s="27"/>
      <c r="D38" s="27"/>
      <c r="E38" s="26"/>
      <c r="F38" s="26"/>
      <c r="I38" s="40"/>
    </row>
    <row r="39" spans="1:9" s="32" customFormat="1" ht="19.350000000000001" customHeight="1" x14ac:dyDescent="0.25">
      <c r="A39" s="29" t="s">
        <v>70</v>
      </c>
      <c r="B39" s="30"/>
      <c r="C39" s="31"/>
      <c r="D39" s="31"/>
      <c r="E39" s="30"/>
      <c r="F39" s="30"/>
      <c r="I39" s="43"/>
    </row>
    <row r="40" spans="1:9" ht="169.35" customHeight="1" x14ac:dyDescent="0.2">
      <c r="A40" s="91" t="s">
        <v>168</v>
      </c>
      <c r="B40" s="91"/>
      <c r="C40" s="91"/>
      <c r="D40" s="91"/>
      <c r="E40" s="91"/>
      <c r="F40" s="91"/>
    </row>
    <row r="41" spans="1:9" x14ac:dyDescent="0.2">
      <c r="A41" s="10"/>
      <c r="B41" s="10"/>
      <c r="C41" s="10"/>
      <c r="D41" s="10"/>
      <c r="E41" s="10"/>
      <c r="F41" s="10"/>
    </row>
    <row r="42" spans="1:9" x14ac:dyDescent="0.2">
      <c r="A42" s="10"/>
      <c r="B42" s="10"/>
      <c r="C42" s="10"/>
      <c r="D42" s="10"/>
      <c r="E42" s="10"/>
      <c r="F42" s="10"/>
    </row>
    <row r="43" spans="1:9" x14ac:dyDescent="0.2">
      <c r="A43" s="10"/>
      <c r="B43" s="10"/>
      <c r="C43" s="10"/>
      <c r="D43" s="10"/>
      <c r="E43" s="10"/>
      <c r="F43" s="10"/>
    </row>
    <row r="44" spans="1:9" x14ac:dyDescent="0.2">
      <c r="A44" s="10"/>
      <c r="B44" s="10"/>
      <c r="C44" s="10"/>
      <c r="D44" s="10"/>
      <c r="E44" s="10"/>
      <c r="F44" s="10"/>
    </row>
    <row r="45" spans="1:9" x14ac:dyDescent="0.2">
      <c r="A45" s="10"/>
      <c r="B45" s="10"/>
      <c r="C45" s="10"/>
      <c r="D45" s="10"/>
      <c r="E45" s="10"/>
      <c r="F45" s="10"/>
    </row>
    <row r="46" spans="1:9" x14ac:dyDescent="0.2">
      <c r="A46" s="10"/>
      <c r="B46" s="10"/>
      <c r="C46" s="10"/>
      <c r="D46" s="10"/>
      <c r="E46" s="10"/>
      <c r="F46" s="10"/>
    </row>
    <row r="47" spans="1:9" x14ac:dyDescent="0.2">
      <c r="A47" s="10"/>
      <c r="B47" s="10"/>
      <c r="C47" s="10"/>
      <c r="D47" s="10"/>
      <c r="E47" s="10"/>
      <c r="F47" s="10"/>
    </row>
    <row r="48" spans="1:9" x14ac:dyDescent="0.2">
      <c r="A48" s="10"/>
      <c r="B48" s="10"/>
      <c r="C48" s="10"/>
      <c r="D48" s="10"/>
      <c r="E48" s="10"/>
      <c r="F48" s="10"/>
    </row>
    <row r="49" spans="1:6" x14ac:dyDescent="0.2">
      <c r="A49" s="10"/>
      <c r="B49" s="10"/>
      <c r="C49" s="10"/>
      <c r="D49" s="10"/>
      <c r="E49" s="10"/>
      <c r="F49" s="10"/>
    </row>
    <row r="50" spans="1:6" x14ac:dyDescent="0.2">
      <c r="A50" s="12"/>
      <c r="B50" s="12"/>
      <c r="C50" s="12"/>
      <c r="D50" s="12"/>
      <c r="E50" s="12"/>
      <c r="F50" s="12"/>
    </row>
    <row r="51" spans="1:6" x14ac:dyDescent="0.2">
      <c r="A51" s="12"/>
      <c r="B51" s="12"/>
      <c r="C51" s="12"/>
      <c r="D51" s="12"/>
      <c r="E51" s="12"/>
      <c r="F51" s="12"/>
    </row>
    <row r="52" spans="1:6" x14ac:dyDescent="0.2">
      <c r="A52" s="12"/>
      <c r="B52" s="12"/>
      <c r="C52" s="12"/>
      <c r="D52" s="12"/>
      <c r="E52" s="12"/>
      <c r="F52" s="12"/>
    </row>
    <row r="53" spans="1:6" x14ac:dyDescent="0.2">
      <c r="A53" s="12"/>
      <c r="B53" s="12"/>
      <c r="C53" s="12"/>
      <c r="D53" s="12"/>
      <c r="E53" s="12"/>
      <c r="F53" s="12"/>
    </row>
    <row r="54" spans="1:6" x14ac:dyDescent="0.2">
      <c r="A54" s="12"/>
      <c r="B54" s="12"/>
      <c r="C54" s="12"/>
      <c r="D54" s="12"/>
      <c r="E54" s="12"/>
      <c r="F54" s="12"/>
    </row>
    <row r="55" spans="1:6" x14ac:dyDescent="0.2">
      <c r="A55" s="12"/>
      <c r="B55" s="12"/>
      <c r="C55" s="12"/>
      <c r="D55" s="12"/>
      <c r="E55" s="12"/>
      <c r="F55" s="12"/>
    </row>
    <row r="56" spans="1:6" x14ac:dyDescent="0.2">
      <c r="A56" s="12"/>
      <c r="B56" s="12"/>
      <c r="C56" s="12"/>
      <c r="D56" s="12"/>
      <c r="E56" s="12"/>
      <c r="F56" s="12"/>
    </row>
    <row r="57" spans="1:6" x14ac:dyDescent="0.2">
      <c r="A57" s="12"/>
      <c r="B57" s="12"/>
      <c r="C57" s="12"/>
      <c r="D57" s="12"/>
      <c r="E57" s="12"/>
      <c r="F57" s="12"/>
    </row>
  </sheetData>
  <mergeCells count="1">
    <mergeCell ref="A40:F40"/>
  </mergeCells>
  <pageMargins left="0.7" right="0.7" top="0.75" bottom="0.75" header="0.3" footer="0.3"/>
  <pageSetup paperSize="9" orientation="portrait" verticalDpi="90" r:id="rId1"/>
  <ignoredErrors>
    <ignoredError sqref="B24"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O23"/>
  <sheetViews>
    <sheetView showGridLines="0" zoomScaleNormal="100" workbookViewId="0">
      <selection sqref="A1:A2"/>
    </sheetView>
  </sheetViews>
  <sheetFormatPr defaultColWidth="9.42578125" defaultRowHeight="14.25" x14ac:dyDescent="0.2"/>
  <cols>
    <col min="1" max="1" width="9.42578125" style="2"/>
    <col min="2" max="2" width="16.42578125" style="2" customWidth="1"/>
    <col min="3" max="4" width="11.42578125" style="2" customWidth="1"/>
    <col min="5" max="5" width="10.5703125" style="2" customWidth="1"/>
    <col min="6" max="6" width="10" style="2" bestFit="1" customWidth="1"/>
    <col min="7" max="7" width="7.5703125" style="2" bestFit="1" customWidth="1"/>
    <col min="8" max="8" width="11.5703125" style="2" customWidth="1"/>
    <col min="9" max="9" width="12.42578125" style="2" bestFit="1" customWidth="1"/>
    <col min="10" max="10" width="7.85546875" style="2" bestFit="1" customWidth="1"/>
    <col min="11" max="11" width="7.140625" style="2" customWidth="1"/>
    <col min="12" max="12" width="13.85546875" style="2" customWidth="1"/>
    <col min="13" max="13" width="7.85546875" style="2" customWidth="1"/>
    <col min="14" max="14" width="8.7109375" style="2" customWidth="1"/>
    <col min="15" max="16384" width="9.42578125" style="2"/>
  </cols>
  <sheetData>
    <row r="1" spans="1:15" ht="17.25" customHeight="1" x14ac:dyDescent="0.2">
      <c r="A1" s="92" t="s">
        <v>7</v>
      </c>
      <c r="B1" s="13" t="s">
        <v>267</v>
      </c>
      <c r="C1" s="94" t="s">
        <v>8</v>
      </c>
      <c r="D1" s="95"/>
      <c r="E1" s="95"/>
      <c r="F1" s="95"/>
      <c r="G1" s="95"/>
      <c r="H1" s="95"/>
      <c r="I1" s="95"/>
      <c r="J1" s="95"/>
      <c r="K1" s="95"/>
      <c r="L1" s="95"/>
      <c r="M1" s="95"/>
      <c r="N1" s="96"/>
    </row>
    <row r="2" spans="1:15" ht="60" customHeight="1" x14ac:dyDescent="0.2">
      <c r="A2" s="93"/>
      <c r="B2" s="13" t="s">
        <v>9</v>
      </c>
      <c r="C2" s="13" t="s">
        <v>10</v>
      </c>
      <c r="D2" s="13" t="s">
        <v>11</v>
      </c>
      <c r="E2" s="13" t="s">
        <v>12</v>
      </c>
      <c r="F2" s="13" t="s">
        <v>13</v>
      </c>
      <c r="G2" s="13" t="s">
        <v>71</v>
      </c>
      <c r="H2" s="13" t="s">
        <v>14</v>
      </c>
      <c r="I2" s="13" t="s">
        <v>15</v>
      </c>
      <c r="J2" s="13" t="s">
        <v>16</v>
      </c>
      <c r="K2" s="13" t="s">
        <v>17</v>
      </c>
      <c r="L2" s="13" t="s">
        <v>18</v>
      </c>
      <c r="M2" s="13" t="s">
        <v>72</v>
      </c>
      <c r="N2" s="13" t="s">
        <v>19</v>
      </c>
    </row>
    <row r="3" spans="1:15" ht="15" x14ac:dyDescent="0.25">
      <c r="A3" s="49">
        <f t="shared" ref="A3" si="0">SUM(C3:N3)</f>
        <v>172.22158458608007</v>
      </c>
      <c r="B3" s="16">
        <v>45299</v>
      </c>
      <c r="C3" s="17">
        <v>1.6301083426799992</v>
      </c>
      <c r="D3" s="17">
        <v>-8.6825617634000007</v>
      </c>
      <c r="E3" s="17">
        <v>-3.5517937000000015</v>
      </c>
      <c r="F3" s="17">
        <v>122.56741080000002</v>
      </c>
      <c r="G3" s="17">
        <v>0.22460875219999998</v>
      </c>
      <c r="H3" s="17">
        <v>46.975052497840018</v>
      </c>
      <c r="I3" s="17">
        <v>-0.27771809999999997</v>
      </c>
      <c r="J3" s="17">
        <v>3.6036274047000019</v>
      </c>
      <c r="K3" s="17">
        <v>-13.150149723939995</v>
      </c>
      <c r="L3" s="17">
        <v>-4.864037323999999</v>
      </c>
      <c r="M3" s="17">
        <v>16.172716999999999</v>
      </c>
      <c r="N3" s="17">
        <v>11.574320400000001</v>
      </c>
    </row>
    <row r="4" spans="1:15" ht="15" x14ac:dyDescent="0.25">
      <c r="A4" s="74">
        <f>SUM(C4:N4)</f>
        <v>-100.80527654594003</v>
      </c>
      <c r="B4" s="71">
        <v>45306</v>
      </c>
      <c r="C4" s="72">
        <v>-1.1643084548699993</v>
      </c>
      <c r="D4" s="72">
        <v>-18.562690869299995</v>
      </c>
      <c r="E4" s="72">
        <v>1.4846933999999998</v>
      </c>
      <c r="F4" s="72">
        <v>-48.706419100000005</v>
      </c>
      <c r="G4" s="72">
        <v>9.559067699999993E-2</v>
      </c>
      <c r="H4" s="72">
        <v>46.874709624399983</v>
      </c>
      <c r="I4" s="72">
        <v>-1.5546504999999999</v>
      </c>
      <c r="J4" s="72">
        <v>-11.852701434700004</v>
      </c>
      <c r="K4" s="72">
        <v>-80.056188088470009</v>
      </c>
      <c r="L4" s="72">
        <v>-12.020338599999999</v>
      </c>
      <c r="M4" s="72">
        <v>20.339168500000007</v>
      </c>
      <c r="N4" s="72">
        <v>4.3178583000000001</v>
      </c>
    </row>
    <row r="5" spans="1:15" ht="15" x14ac:dyDescent="0.25">
      <c r="A5" s="75">
        <f>SUM(C5:N5)</f>
        <v>-213.98793213969995</v>
      </c>
      <c r="B5" s="77">
        <v>45313</v>
      </c>
      <c r="C5" s="17">
        <v>-17.420693985319996</v>
      </c>
      <c r="D5" s="17">
        <v>-6.4519570939999999</v>
      </c>
      <c r="E5" s="17">
        <v>-1.5983696999999997</v>
      </c>
      <c r="F5" s="17">
        <v>-106.90919</v>
      </c>
      <c r="G5" s="17">
        <v>-3.0386907354999999</v>
      </c>
      <c r="H5" s="17">
        <v>2.1683812198400099</v>
      </c>
      <c r="I5" s="17">
        <v>-0.45807249999999994</v>
      </c>
      <c r="J5" s="17">
        <v>-27.3006162611</v>
      </c>
      <c r="K5" s="17">
        <v>-50.168449483619995</v>
      </c>
      <c r="L5" s="17">
        <v>-2.1323124000000009</v>
      </c>
      <c r="M5" s="17">
        <v>0.38611469999999881</v>
      </c>
      <c r="N5" s="17">
        <v>-1.0640759000000002</v>
      </c>
    </row>
    <row r="6" spans="1:15" ht="15" x14ac:dyDescent="0.25">
      <c r="A6" s="75">
        <f>SUM(C6:N6)</f>
        <v>-284.40025409617004</v>
      </c>
      <c r="B6" s="86">
        <v>45320</v>
      </c>
      <c r="C6" s="72">
        <v>-6.8954819843599982</v>
      </c>
      <c r="D6" s="72">
        <v>-7.9952984967000011</v>
      </c>
      <c r="E6" s="72">
        <v>-1.5623640000000001</v>
      </c>
      <c r="F6" s="72">
        <v>-193.478084</v>
      </c>
      <c r="G6" s="72">
        <v>-1.9111549854000001</v>
      </c>
      <c r="H6" s="72">
        <v>9.0792856316500021</v>
      </c>
      <c r="I6" s="72">
        <v>-2.2439969</v>
      </c>
      <c r="J6" s="72">
        <v>-26.029204932600003</v>
      </c>
      <c r="K6" s="72">
        <v>-47.959949828759996</v>
      </c>
      <c r="L6" s="72">
        <v>-14.041464</v>
      </c>
      <c r="M6" s="72">
        <v>-10.913559800000002</v>
      </c>
      <c r="N6" s="72">
        <v>19.551019199999995</v>
      </c>
    </row>
    <row r="7" spans="1:15" ht="15" x14ac:dyDescent="0.25">
      <c r="A7" s="73"/>
      <c r="B7" s="12"/>
      <c r="C7" s="14"/>
      <c r="D7" s="14"/>
      <c r="E7" s="14"/>
      <c r="F7" s="14"/>
      <c r="G7" s="14"/>
      <c r="H7" s="14"/>
      <c r="I7" s="14"/>
      <c r="J7" s="14"/>
      <c r="K7" s="14"/>
      <c r="L7" s="14"/>
      <c r="M7" s="14"/>
      <c r="N7" s="14"/>
    </row>
    <row r="8" spans="1:15" x14ac:dyDescent="0.2">
      <c r="B8" s="11" t="s">
        <v>5</v>
      </c>
      <c r="C8" s="11"/>
      <c r="D8" s="11"/>
    </row>
    <row r="9" spans="1:15" x14ac:dyDescent="0.2">
      <c r="B9" s="11" t="s">
        <v>82</v>
      </c>
      <c r="C9" s="11"/>
      <c r="D9" s="11"/>
    </row>
    <row r="10" spans="1:15" x14ac:dyDescent="0.2">
      <c r="B10" s="11" t="s">
        <v>6</v>
      </c>
      <c r="C10" s="11"/>
      <c r="D10" s="11"/>
    </row>
    <row r="11" spans="1:15" x14ac:dyDescent="0.2">
      <c r="B11" s="11" t="s">
        <v>75</v>
      </c>
      <c r="C11" s="12"/>
      <c r="D11" s="12"/>
    </row>
    <row r="12" spans="1:15" ht="15" x14ac:dyDescent="0.25">
      <c r="B12"/>
    </row>
    <row r="13" spans="1:15" ht="15" x14ac:dyDescent="0.25">
      <c r="C13" s="62"/>
      <c r="D13" s="62"/>
      <c r="E13" s="62"/>
      <c r="F13" s="62"/>
      <c r="G13" s="62"/>
      <c r="H13" s="62"/>
      <c r="I13" s="62"/>
      <c r="J13" s="62"/>
      <c r="K13" s="62"/>
      <c r="L13" s="62"/>
      <c r="M13" s="62"/>
      <c r="N13" s="62"/>
    </row>
    <row r="14" spans="1:15" ht="15" x14ac:dyDescent="0.25">
      <c r="B14" s="57"/>
      <c r="C14" s="57"/>
      <c r="D14" s="57"/>
      <c r="E14" s="57"/>
      <c r="F14" s="57"/>
      <c r="G14" s="57"/>
      <c r="H14" s="57"/>
      <c r="I14" s="57"/>
      <c r="J14" s="57"/>
      <c r="K14" s="57"/>
      <c r="L14" s="57"/>
      <c r="M14" s="57"/>
      <c r="N14"/>
      <c r="O14" s="46"/>
    </row>
    <row r="15" spans="1:15" ht="15" x14ac:dyDescent="0.25">
      <c r="C15" s="57"/>
      <c r="D15" s="57"/>
      <c r="E15" s="57"/>
      <c r="F15" s="57"/>
      <c r="G15" s="57"/>
      <c r="H15" s="57"/>
      <c r="I15" s="57"/>
      <c r="J15" s="57"/>
      <c r="K15" s="57"/>
      <c r="L15" s="57"/>
      <c r="M15" s="57"/>
      <c r="N15" s="57"/>
      <c r="O15" s="57"/>
    </row>
    <row r="16" spans="1:15" ht="15" x14ac:dyDescent="0.25">
      <c r="C16" s="46"/>
      <c r="D16" s="46"/>
      <c r="E16" s="46"/>
      <c r="F16" s="46"/>
      <c r="G16" s="46"/>
      <c r="H16" s="46"/>
      <c r="I16" s="46"/>
      <c r="J16" s="46"/>
      <c r="K16" s="46"/>
      <c r="L16" s="46"/>
      <c r="M16" s="46"/>
      <c r="N16" s="46"/>
      <c r="O16" s="46"/>
    </row>
    <row r="17" spans="3:15" ht="15" x14ac:dyDescent="0.25">
      <c r="C17" s="44"/>
      <c r="D17" s="44"/>
      <c r="E17" s="44"/>
      <c r="F17" s="44"/>
      <c r="G17" s="44"/>
      <c r="H17" s="44"/>
      <c r="I17" s="44"/>
      <c r="J17" s="44"/>
      <c r="K17" s="44"/>
      <c r="L17" s="44"/>
      <c r="M17" s="44"/>
      <c r="N17" s="44"/>
      <c r="O17" s="44"/>
    </row>
    <row r="18" spans="3:15" ht="15" x14ac:dyDescent="0.25">
      <c r="C18"/>
      <c r="D18"/>
    </row>
    <row r="19" spans="3:15" ht="15" x14ac:dyDescent="0.25">
      <c r="C19"/>
      <c r="D19"/>
    </row>
    <row r="20" spans="3:15" ht="15" x14ac:dyDescent="0.25">
      <c r="C20"/>
      <c r="D20"/>
    </row>
    <row r="21" spans="3:15" ht="15" x14ac:dyDescent="0.25">
      <c r="C21"/>
      <c r="D21"/>
    </row>
    <row r="22" spans="3:15" ht="15" x14ac:dyDescent="0.25">
      <c r="C22"/>
      <c r="D22"/>
    </row>
    <row r="23" spans="3:15" ht="15" x14ac:dyDescent="0.25">
      <c r="C23"/>
      <c r="D23"/>
    </row>
  </sheetData>
  <mergeCells count="2">
    <mergeCell ref="A1:A2"/>
    <mergeCell ref="C1:N1"/>
  </mergeCells>
  <conditionalFormatting sqref="A3:A7">
    <cfRule type="colorScale" priority="1">
      <colorScale>
        <cfvo type="num" val="0"/>
        <cfvo type="num" val="0"/>
        <color rgb="FFFF0000"/>
        <color rgb="FF00B050"/>
      </colorScale>
    </cfRule>
  </conditionalFormatting>
  <pageMargins left="0.7" right="0.7" top="0.75" bottom="0.75" header="0.3" footer="0.3"/>
  <pageSetup paperSize="9" scale="65" orientation="landscape" r:id="rId1"/>
  <ignoredErrors>
    <ignoredError sqref="A3:A6"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R24"/>
  <sheetViews>
    <sheetView showGridLines="0" zoomScaleNormal="100" workbookViewId="0">
      <selection sqref="A1:A2"/>
    </sheetView>
  </sheetViews>
  <sheetFormatPr defaultColWidth="9.42578125" defaultRowHeight="14.25" x14ac:dyDescent="0.2"/>
  <cols>
    <col min="1" max="1" width="9.42578125" style="2"/>
    <col min="2" max="2" width="16.42578125" style="2" customWidth="1"/>
    <col min="3" max="4" width="11.42578125" style="2" bestFit="1" customWidth="1"/>
    <col min="5" max="5" width="10.5703125" style="2" bestFit="1" customWidth="1"/>
    <col min="6" max="6" width="10" style="2" bestFit="1" customWidth="1"/>
    <col min="7" max="7" width="7.5703125" style="2" bestFit="1" customWidth="1"/>
    <col min="8" max="8" width="11.5703125" style="2" bestFit="1" customWidth="1"/>
    <col min="9" max="9" width="12.42578125" style="2" bestFit="1" customWidth="1"/>
    <col min="10" max="10" width="7.85546875" style="2" bestFit="1" customWidth="1"/>
    <col min="11" max="11" width="7.140625" style="2" bestFit="1" customWidth="1"/>
    <col min="12" max="12" width="13.85546875" style="2" customWidth="1"/>
    <col min="13" max="13" width="7.85546875" style="2" bestFit="1" customWidth="1"/>
    <col min="14" max="14" width="8.7109375" style="2" bestFit="1" customWidth="1"/>
    <col min="15" max="16384" width="9.42578125" style="2"/>
  </cols>
  <sheetData>
    <row r="1" spans="1:18" ht="17.25" customHeight="1" x14ac:dyDescent="0.2">
      <c r="A1" s="92" t="s">
        <v>7</v>
      </c>
      <c r="B1" s="13" t="s">
        <v>267</v>
      </c>
      <c r="C1" s="94" t="s">
        <v>8</v>
      </c>
      <c r="D1" s="95"/>
      <c r="E1" s="95"/>
      <c r="F1" s="95"/>
      <c r="G1" s="95"/>
      <c r="H1" s="95"/>
      <c r="I1" s="95"/>
      <c r="J1" s="95"/>
      <c r="K1" s="95"/>
      <c r="L1" s="95"/>
      <c r="M1" s="95"/>
      <c r="N1" s="96"/>
    </row>
    <row r="2" spans="1:18" ht="60" x14ac:dyDescent="0.2">
      <c r="A2" s="93"/>
      <c r="B2" s="13" t="s">
        <v>20</v>
      </c>
      <c r="C2" s="13" t="s">
        <v>10</v>
      </c>
      <c r="D2" s="13" t="s">
        <v>11</v>
      </c>
      <c r="E2" s="13" t="s">
        <v>12</v>
      </c>
      <c r="F2" s="13" t="s">
        <v>13</v>
      </c>
      <c r="G2" s="13" t="s">
        <v>71</v>
      </c>
      <c r="H2" s="13" t="s">
        <v>14</v>
      </c>
      <c r="I2" s="13" t="s">
        <v>15</v>
      </c>
      <c r="J2" s="13" t="s">
        <v>16</v>
      </c>
      <c r="K2" s="13" t="s">
        <v>17</v>
      </c>
      <c r="L2" s="13" t="s">
        <v>18</v>
      </c>
      <c r="M2" s="13" t="s">
        <v>72</v>
      </c>
      <c r="N2" s="13" t="s">
        <v>19</v>
      </c>
    </row>
    <row r="3" spans="1:18" ht="15" x14ac:dyDescent="0.25">
      <c r="A3" s="49">
        <f>SUM(C3:N3)</f>
        <v>8.5130864374700259</v>
      </c>
      <c r="B3" s="60">
        <v>45299</v>
      </c>
      <c r="C3" s="59">
        <v>-1.1167644727499992</v>
      </c>
      <c r="D3" s="59">
        <v>16.491054545900003</v>
      </c>
      <c r="E3" s="59">
        <v>2.6265024999999995</v>
      </c>
      <c r="F3" s="59">
        <v>26.711648500000017</v>
      </c>
      <c r="G3" s="59">
        <v>0.81769596699999969</v>
      </c>
      <c r="H3" s="59">
        <v>-45.081208232719987</v>
      </c>
      <c r="I3" s="59">
        <v>0.17719180000000004</v>
      </c>
      <c r="J3" s="59">
        <v>4.7307883068999965</v>
      </c>
      <c r="K3" s="59">
        <v>23.817458623140002</v>
      </c>
      <c r="L3" s="59">
        <v>3.7264744000000007</v>
      </c>
      <c r="M3" s="59">
        <v>-12.073844999999999</v>
      </c>
      <c r="N3" s="59">
        <v>-12.313910500000002</v>
      </c>
      <c r="P3" s="15"/>
    </row>
    <row r="4" spans="1:18" ht="15" x14ac:dyDescent="0.25">
      <c r="A4" s="49">
        <f>SUM(C4:N4)</f>
        <v>294.31432648659001</v>
      </c>
      <c r="B4" s="69">
        <v>45306</v>
      </c>
      <c r="C4" s="70">
        <v>10.542000677639999</v>
      </c>
      <c r="D4" s="70">
        <v>22.727217177299998</v>
      </c>
      <c r="E4" s="70">
        <v>1.6946650000000003</v>
      </c>
      <c r="F4" s="70">
        <v>157.6614294</v>
      </c>
      <c r="G4" s="70">
        <v>1.5073191726000004</v>
      </c>
      <c r="H4" s="70">
        <v>-12.529792573860007</v>
      </c>
      <c r="I4" s="70">
        <v>1.3951818</v>
      </c>
      <c r="J4" s="70">
        <v>12.739021578899999</v>
      </c>
      <c r="K4" s="70">
        <v>71.171582454010007</v>
      </c>
      <c r="L4" s="70">
        <v>31.875524099999993</v>
      </c>
      <c r="M4" s="70">
        <v>-3.0069632999999998</v>
      </c>
      <c r="N4" s="70">
        <v>-1.4628589999999999</v>
      </c>
      <c r="P4" s="15"/>
    </row>
    <row r="5" spans="1:18" ht="15" x14ac:dyDescent="0.25">
      <c r="A5" s="76">
        <f>SUM(C5:N5)</f>
        <v>83.408581310119956</v>
      </c>
      <c r="B5" s="78">
        <v>45313</v>
      </c>
      <c r="C5" s="59">
        <v>28.229514597169995</v>
      </c>
      <c r="D5" s="59">
        <v>1.7940022537000002</v>
      </c>
      <c r="E5" s="59">
        <v>1.885405</v>
      </c>
      <c r="F5" s="59">
        <v>-16.55524830000002</v>
      </c>
      <c r="G5" s="59">
        <v>4.5427093042000006</v>
      </c>
      <c r="H5" s="59">
        <v>-13.811888577030004</v>
      </c>
      <c r="I5" s="59">
        <v>0.5180821000000001</v>
      </c>
      <c r="J5" s="59">
        <v>16.811248634500004</v>
      </c>
      <c r="K5" s="59">
        <v>62.495248497579993</v>
      </c>
      <c r="L5" s="59">
        <v>4.7300406999999991</v>
      </c>
      <c r="M5" s="59">
        <v>-2.8508237000000016</v>
      </c>
      <c r="N5" s="59">
        <v>-4.3797092000000006</v>
      </c>
      <c r="P5" s="15"/>
    </row>
    <row r="6" spans="1:18" ht="15" x14ac:dyDescent="0.25">
      <c r="A6" s="76">
        <f>SUM(C6:N6)</f>
        <v>-12.770038318130013</v>
      </c>
      <c r="B6" s="90">
        <v>45320</v>
      </c>
      <c r="C6" s="70">
        <v>-0.98482954764999986</v>
      </c>
      <c r="D6" s="70">
        <v>1.9565834569000002</v>
      </c>
      <c r="E6" s="70">
        <v>1.0403008999999996</v>
      </c>
      <c r="F6" s="70">
        <v>25.814044199999998</v>
      </c>
      <c r="G6" s="70">
        <v>1.9083782816999997</v>
      </c>
      <c r="H6" s="70">
        <v>-66.653434366930014</v>
      </c>
      <c r="I6" s="70">
        <v>2.0854665000000003</v>
      </c>
      <c r="J6" s="70">
        <v>23.576630656100001</v>
      </c>
      <c r="K6" s="70">
        <v>25.227004501749999</v>
      </c>
      <c r="L6" s="70">
        <v>22.199734700000004</v>
      </c>
      <c r="M6" s="70">
        <v>-18.110389300000001</v>
      </c>
      <c r="N6" s="70">
        <v>-30.8295283</v>
      </c>
      <c r="P6" s="15"/>
    </row>
    <row r="7" spans="1:18" ht="15" x14ac:dyDescent="0.25">
      <c r="A7" s="73"/>
      <c r="B7" s="60"/>
      <c r="C7" s="59"/>
      <c r="D7" s="59"/>
      <c r="E7" s="59"/>
      <c r="F7" s="59"/>
      <c r="G7" s="59"/>
      <c r="H7" s="59"/>
      <c r="I7" s="59"/>
      <c r="J7" s="59"/>
      <c r="K7" s="59"/>
      <c r="L7" s="59"/>
      <c r="M7" s="59"/>
      <c r="N7" s="59"/>
      <c r="P7" s="15"/>
    </row>
    <row r="8" spans="1:18" x14ac:dyDescent="0.2">
      <c r="B8" s="11" t="s">
        <v>5</v>
      </c>
      <c r="C8" s="11"/>
      <c r="D8" s="11"/>
    </row>
    <row r="9" spans="1:18" x14ac:dyDescent="0.2">
      <c r="B9" s="11" t="s">
        <v>84</v>
      </c>
      <c r="C9" s="11"/>
      <c r="D9" s="11"/>
    </row>
    <row r="10" spans="1:18" x14ac:dyDescent="0.2">
      <c r="B10" s="11" t="s">
        <v>6</v>
      </c>
      <c r="C10" s="11"/>
      <c r="D10" s="11"/>
    </row>
    <row r="11" spans="1:18" x14ac:dyDescent="0.2">
      <c r="B11" s="11" t="s">
        <v>75</v>
      </c>
      <c r="C11" s="12"/>
      <c r="D11" s="12"/>
    </row>
    <row r="12" spans="1:18" ht="15" x14ac:dyDescent="0.25">
      <c r="C12" s="57"/>
      <c r="D12" s="57"/>
      <c r="E12" s="57"/>
      <c r="F12" s="57"/>
      <c r="G12" s="57"/>
      <c r="H12" s="57"/>
      <c r="I12" s="57"/>
      <c r="J12" s="57"/>
      <c r="K12" s="57"/>
      <c r="L12" s="57"/>
      <c r="M12" s="57"/>
      <c r="N12" s="57"/>
    </row>
    <row r="13" spans="1:18" ht="15" x14ac:dyDescent="0.25">
      <c r="B13"/>
      <c r="C13" s="87"/>
      <c r="D13" s="87"/>
      <c r="E13" s="87"/>
      <c r="F13" s="87"/>
      <c r="G13" s="87"/>
      <c r="H13" s="87"/>
      <c r="I13" s="87"/>
      <c r="J13" s="87"/>
      <c r="K13" s="87"/>
      <c r="L13" s="87"/>
      <c r="M13" s="87"/>
      <c r="N13" s="87"/>
    </row>
    <row r="14" spans="1:18" ht="15" x14ac:dyDescent="0.25">
      <c r="B14"/>
      <c r="C14" s="57"/>
      <c r="D14" s="57"/>
      <c r="E14" s="57"/>
      <c r="F14" s="57"/>
      <c r="G14" s="57"/>
      <c r="H14" s="57"/>
      <c r="I14" s="57"/>
      <c r="J14" s="57"/>
      <c r="K14" s="57"/>
      <c r="L14" s="57"/>
      <c r="M14" s="57"/>
      <c r="N14" s="57"/>
      <c r="O14" s="46"/>
      <c r="P14"/>
      <c r="Q14"/>
      <c r="R14"/>
    </row>
    <row r="15" spans="1:18" ht="15" x14ac:dyDescent="0.25">
      <c r="B15"/>
      <c r="C15"/>
      <c r="D15"/>
      <c r="E15"/>
      <c r="F15"/>
      <c r="G15"/>
      <c r="H15"/>
      <c r="I15"/>
      <c r="J15"/>
      <c r="K15"/>
      <c r="L15"/>
      <c r="M15"/>
      <c r="N15"/>
      <c r="O15"/>
      <c r="P15"/>
      <c r="Q15"/>
      <c r="R15"/>
    </row>
    <row r="16" spans="1:18" ht="15" x14ac:dyDescent="0.25">
      <c r="C16" s="57"/>
      <c r="D16" s="57"/>
      <c r="E16" s="57"/>
      <c r="F16" s="57"/>
      <c r="G16" s="57"/>
      <c r="H16" s="57"/>
      <c r="I16" s="57"/>
      <c r="J16" s="57"/>
      <c r="K16" s="57"/>
      <c r="L16" s="57"/>
      <c r="M16" s="57"/>
      <c r="N16" s="57"/>
      <c r="O16"/>
    </row>
    <row r="17" spans="3:14" ht="15" x14ac:dyDescent="0.25">
      <c r="C17" s="44"/>
      <c r="D17" s="44"/>
      <c r="E17" s="44"/>
      <c r="F17" s="44"/>
      <c r="G17" s="44"/>
      <c r="H17" s="44"/>
      <c r="I17" s="44"/>
      <c r="J17" s="44"/>
      <c r="K17" s="44"/>
      <c r="L17" s="44"/>
      <c r="M17" s="44"/>
      <c r="N17" s="44"/>
    </row>
    <row r="18" spans="3:14" ht="15" x14ac:dyDescent="0.25">
      <c r="C18"/>
      <c r="D18"/>
      <c r="E18"/>
      <c r="F18"/>
      <c r="G18"/>
      <c r="H18"/>
      <c r="I18"/>
      <c r="J18"/>
      <c r="K18"/>
      <c r="L18"/>
      <c r="M18"/>
      <c r="N18"/>
    </row>
    <row r="19" spans="3:14" ht="15" x14ac:dyDescent="0.25">
      <c r="C19" s="46"/>
      <c r="D19" s="46"/>
      <c r="E19" s="46"/>
      <c r="F19" s="46"/>
      <c r="G19" s="46"/>
      <c r="H19" s="46"/>
      <c r="I19" s="46"/>
      <c r="J19" s="46"/>
      <c r="K19" s="46"/>
      <c r="L19" s="46"/>
      <c r="M19" s="46"/>
      <c r="N19" s="46"/>
    </row>
    <row r="20" spans="3:14" ht="15" x14ac:dyDescent="0.25">
      <c r="C20"/>
      <c r="D20"/>
    </row>
    <row r="21" spans="3:14" ht="15" x14ac:dyDescent="0.25">
      <c r="C21"/>
      <c r="D21"/>
    </row>
    <row r="22" spans="3:14" ht="15" x14ac:dyDescent="0.25">
      <c r="C22"/>
      <c r="D22"/>
    </row>
    <row r="23" spans="3:14" ht="15" x14ac:dyDescent="0.25">
      <c r="C23"/>
      <c r="D23"/>
    </row>
    <row r="24" spans="3:14" ht="15" x14ac:dyDescent="0.25">
      <c r="C24"/>
      <c r="D24"/>
    </row>
  </sheetData>
  <mergeCells count="2">
    <mergeCell ref="A1:A2"/>
    <mergeCell ref="C1:N1"/>
  </mergeCells>
  <conditionalFormatting sqref="A3:A7">
    <cfRule type="colorScale" priority="1">
      <colorScale>
        <cfvo type="num" val="0"/>
        <cfvo type="num" val="0"/>
        <color rgb="FFFF0000"/>
        <color rgb="FF00B050"/>
      </colorScale>
    </cfRule>
  </conditionalFormatting>
  <pageMargins left="0.7" right="0.7" top="0.75" bottom="0.75" header="0.3" footer="0.3"/>
  <pageSetup paperSize="9" scale="65" fitToHeight="0" orientation="landscape" r:id="rId1"/>
  <ignoredErrors>
    <ignoredError sqref="A3:A6" formulaRange="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I37"/>
  <sheetViews>
    <sheetView showGridLines="0" zoomScaleNormal="100" workbookViewId="0"/>
  </sheetViews>
  <sheetFormatPr defaultRowHeight="15" x14ac:dyDescent="0.25"/>
  <cols>
    <col min="1" max="1" width="41.5703125" customWidth="1"/>
    <col min="2" max="2" width="8.5703125" customWidth="1"/>
    <col min="3" max="4" width="14.5703125" customWidth="1"/>
    <col min="5" max="5" width="8.7109375" customWidth="1"/>
  </cols>
  <sheetData>
    <row r="1" spans="1:9" ht="60" x14ac:dyDescent="0.25">
      <c r="A1" s="34" t="str">
        <f>CONCATENATE("STI Constituents - ",'Weekly Top 10'!$C$5)</f>
        <v>STI Constituents - Week of 29 January 2024</v>
      </c>
      <c r="B1" s="18" t="s">
        <v>1</v>
      </c>
      <c r="C1" s="19" t="s">
        <v>73</v>
      </c>
      <c r="D1" s="19" t="s">
        <v>74</v>
      </c>
    </row>
    <row r="2" spans="1:9" x14ac:dyDescent="0.25">
      <c r="A2" s="20" t="s">
        <v>90</v>
      </c>
      <c r="B2" s="21" t="s">
        <v>25</v>
      </c>
      <c r="C2" s="22">
        <v>-19.301082000000001</v>
      </c>
      <c r="D2" s="22">
        <v>7.8495100000000004</v>
      </c>
      <c r="E2" s="40"/>
      <c r="F2" s="44"/>
      <c r="H2" s="45"/>
      <c r="I2" s="45"/>
    </row>
    <row r="3" spans="1:9" x14ac:dyDescent="0.25">
      <c r="A3" s="23" t="s">
        <v>79</v>
      </c>
      <c r="B3" s="24" t="s">
        <v>56</v>
      </c>
      <c r="C3" s="8">
        <v>9.7784180000000003</v>
      </c>
      <c r="D3" s="8">
        <v>-12.118366</v>
      </c>
      <c r="E3" s="40"/>
      <c r="F3" s="44"/>
      <c r="H3" s="45"/>
      <c r="I3" s="45"/>
    </row>
    <row r="4" spans="1:9" x14ac:dyDescent="0.25">
      <c r="A4" s="5" t="s">
        <v>86</v>
      </c>
      <c r="B4" s="7" t="s">
        <v>85</v>
      </c>
      <c r="C4" s="6">
        <v>-8.4986189999999997</v>
      </c>
      <c r="D4" s="6">
        <v>-7.4812240000000001</v>
      </c>
      <c r="E4" s="40"/>
      <c r="F4" s="44"/>
      <c r="H4" s="45"/>
      <c r="I4" s="45"/>
    </row>
    <row r="5" spans="1:9" x14ac:dyDescent="0.25">
      <c r="A5" s="23" t="s">
        <v>63</v>
      </c>
      <c r="B5" s="24" t="s">
        <v>54</v>
      </c>
      <c r="C5" s="8">
        <v>-18.851047000000001</v>
      </c>
      <c r="D5" s="8">
        <v>21.268791</v>
      </c>
      <c r="E5" s="40"/>
      <c r="F5" s="44"/>
      <c r="H5" s="45"/>
      <c r="I5" s="45"/>
    </row>
    <row r="6" spans="1:9" x14ac:dyDescent="0.25">
      <c r="A6" s="5" t="s">
        <v>190</v>
      </c>
      <c r="B6" s="7" t="s">
        <v>21</v>
      </c>
      <c r="C6" s="6">
        <v>-118.966239</v>
      </c>
      <c r="D6" s="6">
        <v>42.445467000000001</v>
      </c>
      <c r="E6" s="40"/>
      <c r="F6" s="44"/>
      <c r="H6" s="45"/>
      <c r="I6" s="45"/>
    </row>
    <row r="7" spans="1:9" x14ac:dyDescent="0.25">
      <c r="A7" s="23" t="s">
        <v>87</v>
      </c>
      <c r="B7" s="24" t="s">
        <v>57</v>
      </c>
      <c r="C7" s="8">
        <v>-0.26514349669999981</v>
      </c>
      <c r="D7" s="8">
        <v>0.6715085569</v>
      </c>
      <c r="E7" s="40"/>
      <c r="F7" s="44"/>
      <c r="H7" s="45"/>
      <c r="I7" s="45"/>
    </row>
    <row r="8" spans="1:9" x14ac:dyDescent="0.25">
      <c r="A8" s="5" t="s">
        <v>88</v>
      </c>
      <c r="B8" s="7" t="s">
        <v>89</v>
      </c>
      <c r="C8" s="6">
        <v>-0.50088699999999997</v>
      </c>
      <c r="D8" s="6">
        <v>0.54886299999999999</v>
      </c>
      <c r="E8" s="40"/>
      <c r="F8" s="44"/>
      <c r="H8" s="45"/>
      <c r="I8" s="45"/>
    </row>
    <row r="9" spans="1:9" x14ac:dyDescent="0.25">
      <c r="A9" s="23" t="s">
        <v>81</v>
      </c>
      <c r="B9" s="24" t="s">
        <v>80</v>
      </c>
      <c r="C9" s="8">
        <v>6.2116999999999999E-2</v>
      </c>
      <c r="D9" s="8">
        <v>8.7862999999999997E-2</v>
      </c>
      <c r="E9" s="40"/>
      <c r="F9" s="44"/>
      <c r="H9" s="45"/>
      <c r="I9" s="45"/>
    </row>
    <row r="10" spans="1:9" x14ac:dyDescent="0.25">
      <c r="A10" s="5" t="s">
        <v>36</v>
      </c>
      <c r="B10" s="7" t="s">
        <v>35</v>
      </c>
      <c r="C10" s="6">
        <v>6.4929930000000002</v>
      </c>
      <c r="D10" s="6">
        <v>-4.6968370000000004</v>
      </c>
      <c r="E10" s="40"/>
      <c r="F10" s="44"/>
      <c r="H10" s="45"/>
      <c r="I10" s="45"/>
    </row>
    <row r="11" spans="1:9" x14ac:dyDescent="0.25">
      <c r="A11" s="23" t="s">
        <v>64</v>
      </c>
      <c r="B11" s="24" t="s">
        <v>55</v>
      </c>
      <c r="C11" s="8">
        <v>-1.120218932600002</v>
      </c>
      <c r="D11" s="8">
        <v>0.71191265610000021</v>
      </c>
      <c r="E11" s="40"/>
      <c r="F11" s="44"/>
      <c r="H11" s="45"/>
      <c r="I11" s="45"/>
    </row>
    <row r="12" spans="1:9" x14ac:dyDescent="0.25">
      <c r="A12" s="5" t="s">
        <v>50</v>
      </c>
      <c r="B12" s="7" t="s">
        <v>48</v>
      </c>
      <c r="C12" s="6">
        <v>-13.555059999999999</v>
      </c>
      <c r="D12" s="6">
        <v>3.0935000000000001</v>
      </c>
      <c r="E12" s="40"/>
      <c r="F12" s="44"/>
      <c r="H12" s="45"/>
      <c r="I12" s="45"/>
    </row>
    <row r="13" spans="1:9" x14ac:dyDescent="0.25">
      <c r="A13" s="23" t="s">
        <v>62</v>
      </c>
      <c r="B13" s="24" t="s">
        <v>52</v>
      </c>
      <c r="C13" s="8">
        <v>-0.28855483260000081</v>
      </c>
      <c r="D13" s="8">
        <v>0.6457127963</v>
      </c>
      <c r="E13" s="40"/>
      <c r="F13" s="44"/>
      <c r="H13" s="45"/>
      <c r="I13" s="45"/>
    </row>
    <row r="14" spans="1:9" x14ac:dyDescent="0.25">
      <c r="A14" s="5" t="s">
        <v>179</v>
      </c>
      <c r="B14" s="7" t="s">
        <v>32</v>
      </c>
      <c r="C14" s="6">
        <v>34.707332999999998</v>
      </c>
      <c r="D14" s="6">
        <v>-75.100432999999995</v>
      </c>
      <c r="E14" s="40"/>
      <c r="F14" s="44"/>
      <c r="H14" s="45"/>
      <c r="I14" s="45"/>
    </row>
    <row r="15" spans="1:9" x14ac:dyDescent="0.25">
      <c r="A15" s="23" t="s">
        <v>77</v>
      </c>
      <c r="B15" s="24" t="s">
        <v>76</v>
      </c>
      <c r="C15" s="8">
        <v>6.7954150000000002</v>
      </c>
      <c r="D15" s="8">
        <v>0.77687200000000001</v>
      </c>
      <c r="E15" s="40"/>
      <c r="F15" s="44"/>
      <c r="H15" s="45"/>
      <c r="I15" s="45"/>
    </row>
    <row r="16" spans="1:9" x14ac:dyDescent="0.25">
      <c r="A16" s="5" t="s">
        <v>40</v>
      </c>
      <c r="B16" s="7" t="s">
        <v>38</v>
      </c>
      <c r="C16" s="6">
        <v>-13.253500000000001</v>
      </c>
      <c r="D16" s="6">
        <v>7.8139690000000002</v>
      </c>
      <c r="E16" s="40"/>
      <c r="F16" s="44"/>
      <c r="H16" s="45"/>
      <c r="I16" s="45"/>
    </row>
    <row r="17" spans="1:9" x14ac:dyDescent="0.25">
      <c r="A17" s="23" t="s">
        <v>191</v>
      </c>
      <c r="B17" s="24" t="s">
        <v>58</v>
      </c>
      <c r="C17" s="8">
        <v>-9.7767780000000002</v>
      </c>
      <c r="D17" s="8">
        <v>0.66666999999999998</v>
      </c>
      <c r="E17" s="40"/>
      <c r="F17" s="44"/>
      <c r="H17" s="45"/>
      <c r="I17" s="45"/>
    </row>
    <row r="18" spans="1:9" x14ac:dyDescent="0.25">
      <c r="A18" s="5" t="s">
        <v>27</v>
      </c>
      <c r="B18" s="7" t="s">
        <v>22</v>
      </c>
      <c r="C18" s="6">
        <v>-41.024991999999997</v>
      </c>
      <c r="D18" s="6">
        <v>4.492718</v>
      </c>
      <c r="E18" s="40"/>
      <c r="F18" s="44"/>
      <c r="H18" s="45"/>
      <c r="I18" s="45"/>
    </row>
    <row r="19" spans="1:9" x14ac:dyDescent="0.25">
      <c r="A19" s="23" t="s">
        <v>34</v>
      </c>
      <c r="B19" s="24" t="s">
        <v>30</v>
      </c>
      <c r="C19" s="8">
        <v>1.115758</v>
      </c>
      <c r="D19" s="8">
        <v>-6.3396999999999995E-2</v>
      </c>
      <c r="E19" s="40"/>
      <c r="F19" s="44"/>
      <c r="H19" s="45"/>
      <c r="I19" s="45"/>
    </row>
    <row r="20" spans="1:9" x14ac:dyDescent="0.25">
      <c r="A20" s="5" t="s">
        <v>172</v>
      </c>
      <c r="B20" s="7" t="s">
        <v>91</v>
      </c>
      <c r="C20" s="6">
        <v>-19.263881699999999</v>
      </c>
      <c r="D20" s="6">
        <v>30.441376999999999</v>
      </c>
      <c r="E20" s="40"/>
      <c r="F20" s="44"/>
      <c r="H20" s="45"/>
      <c r="I20" s="45"/>
    </row>
    <row r="21" spans="1:9" x14ac:dyDescent="0.25">
      <c r="A21" s="67" t="s">
        <v>45</v>
      </c>
      <c r="B21" s="24" t="s">
        <v>42</v>
      </c>
      <c r="C21" s="8">
        <v>19.587152</v>
      </c>
      <c r="D21" s="8">
        <v>-30.875802</v>
      </c>
      <c r="E21" s="40"/>
      <c r="F21" s="44"/>
      <c r="H21" s="45"/>
      <c r="I21" s="45"/>
    </row>
    <row r="22" spans="1:9" x14ac:dyDescent="0.25">
      <c r="A22" s="68" t="s">
        <v>33</v>
      </c>
      <c r="B22" s="7" t="s">
        <v>31</v>
      </c>
      <c r="C22" s="6">
        <v>4.8450319999999998</v>
      </c>
      <c r="D22" s="80">
        <v>-26.350898999999998</v>
      </c>
      <c r="E22" s="40"/>
      <c r="F22" s="44"/>
      <c r="H22" s="45"/>
      <c r="I22" s="45"/>
    </row>
    <row r="23" spans="1:9" x14ac:dyDescent="0.25">
      <c r="A23" s="23" t="s">
        <v>29</v>
      </c>
      <c r="B23" s="24" t="s">
        <v>24</v>
      </c>
      <c r="C23" s="8">
        <v>-32.571834000000003</v>
      </c>
      <c r="D23" s="8">
        <v>17.900877000000001</v>
      </c>
      <c r="E23" s="40"/>
      <c r="F23" s="44"/>
      <c r="H23" s="45"/>
      <c r="I23" s="45"/>
    </row>
    <row r="24" spans="1:9" x14ac:dyDescent="0.25">
      <c r="A24" s="5" t="s">
        <v>39</v>
      </c>
      <c r="B24" s="7" t="s">
        <v>37</v>
      </c>
      <c r="C24" s="6">
        <v>-20.430782000000001</v>
      </c>
      <c r="D24" s="6">
        <v>12.36595</v>
      </c>
      <c r="E24" s="40"/>
      <c r="F24" s="44"/>
      <c r="H24" s="45"/>
      <c r="I24" s="45"/>
    </row>
    <row r="25" spans="1:9" x14ac:dyDescent="0.25">
      <c r="A25" s="23" t="s">
        <v>49</v>
      </c>
      <c r="B25" s="24" t="s">
        <v>47</v>
      </c>
      <c r="C25" s="8">
        <v>-8.4748400000000004</v>
      </c>
      <c r="D25" s="8">
        <v>-19.610479099999999</v>
      </c>
      <c r="E25" s="40"/>
      <c r="F25" s="44"/>
      <c r="H25" s="45"/>
      <c r="I25" s="45"/>
    </row>
    <row r="26" spans="1:9" x14ac:dyDescent="0.25">
      <c r="A26" s="5" t="s">
        <v>60</v>
      </c>
      <c r="B26" s="7" t="s">
        <v>51</v>
      </c>
      <c r="C26" s="6">
        <v>-1.8272094999999999</v>
      </c>
      <c r="D26" s="6">
        <v>0.41708699999999999</v>
      </c>
      <c r="E26" s="40"/>
      <c r="F26" s="44"/>
      <c r="H26" s="45"/>
      <c r="I26" s="45"/>
    </row>
    <row r="27" spans="1:9" x14ac:dyDescent="0.25">
      <c r="A27" s="23" t="s">
        <v>28</v>
      </c>
      <c r="B27" s="24" t="s">
        <v>23</v>
      </c>
      <c r="C27" s="8">
        <v>8.3130749999999995</v>
      </c>
      <c r="D27" s="8">
        <v>-32.973213999999999</v>
      </c>
      <c r="E27" s="40"/>
      <c r="F27" s="44"/>
      <c r="H27" s="45"/>
      <c r="I27" s="45"/>
    </row>
    <row r="28" spans="1:9" x14ac:dyDescent="0.25">
      <c r="A28" s="5" t="s">
        <v>65</v>
      </c>
      <c r="B28" s="7" t="s">
        <v>59</v>
      </c>
      <c r="C28" s="6">
        <v>-3.8679999999999999</v>
      </c>
      <c r="D28" s="6">
        <v>-0.38378499999999999</v>
      </c>
      <c r="E28" s="40"/>
      <c r="F28" s="44"/>
      <c r="H28" s="45"/>
      <c r="I28" s="45"/>
    </row>
    <row r="29" spans="1:9" x14ac:dyDescent="0.25">
      <c r="A29" s="23" t="s">
        <v>46</v>
      </c>
      <c r="B29" s="24" t="s">
        <v>43</v>
      </c>
      <c r="C29" s="8">
        <v>5.2866669999999996</v>
      </c>
      <c r="D29" s="8">
        <v>-8.1905619999999999</v>
      </c>
      <c r="E29" s="40"/>
      <c r="F29" s="44"/>
      <c r="H29" s="45"/>
      <c r="I29" s="45"/>
    </row>
    <row r="30" spans="1:9" x14ac:dyDescent="0.25">
      <c r="A30" s="5" t="s">
        <v>44</v>
      </c>
      <c r="B30" s="7" t="s">
        <v>41</v>
      </c>
      <c r="C30" s="6">
        <v>-5.5592350000000001</v>
      </c>
      <c r="D30" s="6">
        <v>1.0826359999999999</v>
      </c>
      <c r="E30" s="40"/>
      <c r="F30" s="44"/>
      <c r="H30" s="45"/>
      <c r="I30" s="45"/>
    </row>
    <row r="31" spans="1:9" ht="15.75" thickBot="1" x14ac:dyDescent="0.3">
      <c r="A31" s="23" t="s">
        <v>61</v>
      </c>
      <c r="B31" s="24" t="s">
        <v>53</v>
      </c>
      <c r="C31" s="8">
        <v>5.9312240000000003</v>
      </c>
      <c r="D31" s="8">
        <v>-8.5297160000000005</v>
      </c>
      <c r="E31" s="40"/>
      <c r="F31" s="44"/>
      <c r="H31" s="45"/>
      <c r="I31" s="45"/>
    </row>
    <row r="32" spans="1:9" ht="21" customHeight="1" thickBot="1" x14ac:dyDescent="0.3">
      <c r="A32" s="97" t="s">
        <v>66</v>
      </c>
      <c r="B32" s="98"/>
      <c r="C32" s="81">
        <f>SUM(C2:C31)</f>
        <v>-234.48271946189999</v>
      </c>
      <c r="D32" s="82">
        <f>SUM(D2:D31)</f>
        <v>-73.093430090699997</v>
      </c>
    </row>
    <row r="34" spans="1:7" x14ac:dyDescent="0.25">
      <c r="A34" s="11" t="s">
        <v>67</v>
      </c>
      <c r="B34" s="56"/>
      <c r="C34" s="56"/>
      <c r="D34" s="56"/>
      <c r="E34" s="56"/>
      <c r="F34" s="56"/>
      <c r="G34" s="56"/>
    </row>
    <row r="35" spans="1:7" x14ac:dyDescent="0.25">
      <c r="A35" s="11" t="s">
        <v>82</v>
      </c>
    </row>
    <row r="36" spans="1:7" x14ac:dyDescent="0.25">
      <c r="A36" s="11" t="s">
        <v>83</v>
      </c>
    </row>
    <row r="37" spans="1:7" x14ac:dyDescent="0.25">
      <c r="A37" s="11" t="s">
        <v>75</v>
      </c>
    </row>
  </sheetData>
  <mergeCells count="1">
    <mergeCell ref="A32:B32"/>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EA475-E247-4119-86FA-87BD5033A24A}">
  <dimension ref="A1:O109"/>
  <sheetViews>
    <sheetView showGridLines="0" zoomScaleNormal="100" workbookViewId="0"/>
  </sheetViews>
  <sheetFormatPr defaultRowHeight="15" x14ac:dyDescent="0.25"/>
  <cols>
    <col min="1" max="1" width="51.7109375" customWidth="1"/>
    <col min="2" max="2" width="8.5703125" customWidth="1"/>
    <col min="3" max="3" width="14.5703125" customWidth="1"/>
    <col min="4" max="4" width="17.42578125" customWidth="1"/>
    <col min="5" max="5" width="22.5703125" customWidth="1"/>
    <col min="6" max="6" width="31.5703125" bestFit="1" customWidth="1"/>
    <col min="7" max="8" width="14" customWidth="1"/>
  </cols>
  <sheetData>
    <row r="1" spans="1:15" ht="60" x14ac:dyDescent="0.25">
      <c r="A1" s="34" t="str">
        <f>CONCATENATE("100 Most Traded Stocks YTD - ",'Weekly Top 10'!$C$5)</f>
        <v>100 Most Traded Stocks YTD - Week of 29 January 2024</v>
      </c>
      <c r="B1" s="18" t="s">
        <v>1</v>
      </c>
      <c r="C1" s="53" t="s">
        <v>102</v>
      </c>
      <c r="D1" s="19" t="s">
        <v>101</v>
      </c>
      <c r="E1" s="19" t="s">
        <v>103</v>
      </c>
      <c r="F1" s="19" t="s">
        <v>104</v>
      </c>
      <c r="H1" s="44"/>
    </row>
    <row r="2" spans="1:15" x14ac:dyDescent="0.25">
      <c r="A2" s="20" t="s">
        <v>26</v>
      </c>
      <c r="B2" s="21" t="s">
        <v>21</v>
      </c>
      <c r="C2" s="63">
        <v>105.5232550636667</v>
      </c>
      <c r="D2" s="63">
        <v>-241.749573</v>
      </c>
      <c r="E2" s="63">
        <v>-118.966239</v>
      </c>
      <c r="F2" s="22" t="s">
        <v>13</v>
      </c>
      <c r="G2" s="62"/>
      <c r="H2" s="62"/>
      <c r="I2" s="62"/>
      <c r="J2" s="45"/>
      <c r="M2" s="62"/>
      <c r="N2" s="62"/>
      <c r="O2" s="62"/>
    </row>
    <row r="3" spans="1:15" x14ac:dyDescent="0.25">
      <c r="A3" s="23" t="s">
        <v>28</v>
      </c>
      <c r="B3" s="24" t="s">
        <v>23</v>
      </c>
      <c r="C3" s="64">
        <v>59.739296495833337</v>
      </c>
      <c r="D3" s="64">
        <v>66.426019999999994</v>
      </c>
      <c r="E3" s="64">
        <v>8.3130749999999995</v>
      </c>
      <c r="F3" s="8" t="s">
        <v>13</v>
      </c>
      <c r="G3" s="62"/>
      <c r="H3" s="62"/>
      <c r="I3" s="62"/>
      <c r="J3" s="45"/>
      <c r="M3" s="62"/>
      <c r="N3" s="62"/>
      <c r="O3" s="62"/>
    </row>
    <row r="4" spans="1:15" x14ac:dyDescent="0.25">
      <c r="A4" s="5" t="s">
        <v>49</v>
      </c>
      <c r="B4" s="7" t="s">
        <v>47</v>
      </c>
      <c r="C4" s="65">
        <v>56.676828700000002</v>
      </c>
      <c r="D4" s="65">
        <v>-7.0567253000000001</v>
      </c>
      <c r="E4" s="65">
        <v>-8.4748400000000004</v>
      </c>
      <c r="F4" s="6" t="s">
        <v>164</v>
      </c>
      <c r="G4" s="62"/>
      <c r="H4" s="62"/>
      <c r="I4" s="62"/>
      <c r="J4" s="45"/>
      <c r="M4" s="62"/>
      <c r="N4" s="62"/>
      <c r="O4" s="62"/>
    </row>
    <row r="5" spans="1:15" x14ac:dyDescent="0.25">
      <c r="A5" s="23" t="s">
        <v>171</v>
      </c>
      <c r="B5" s="24" t="s">
        <v>22</v>
      </c>
      <c r="C5" s="64">
        <v>49.237515868208327</v>
      </c>
      <c r="D5" s="64">
        <v>34.679431000000001</v>
      </c>
      <c r="E5" s="64">
        <v>-41.024991999999997</v>
      </c>
      <c r="F5" s="8" t="s">
        <v>13</v>
      </c>
      <c r="G5" s="62"/>
      <c r="H5" s="62"/>
      <c r="I5" s="62"/>
      <c r="J5" s="45"/>
      <c r="M5" s="62"/>
      <c r="N5" s="62"/>
      <c r="O5" s="62"/>
    </row>
    <row r="6" spans="1:15" x14ac:dyDescent="0.25">
      <c r="A6" s="5" t="s">
        <v>200</v>
      </c>
      <c r="B6" s="7" t="s">
        <v>56</v>
      </c>
      <c r="C6" s="65">
        <v>45.297244374583329</v>
      </c>
      <c r="D6" s="65">
        <v>-4.6363589999999988</v>
      </c>
      <c r="E6" s="65">
        <v>9.7784180000000003</v>
      </c>
      <c r="F6" s="6" t="s">
        <v>17</v>
      </c>
      <c r="G6" s="62"/>
      <c r="H6" s="62"/>
      <c r="I6" s="62"/>
      <c r="J6" s="45"/>
      <c r="M6" s="62"/>
      <c r="N6" s="62"/>
      <c r="O6" s="62"/>
    </row>
    <row r="7" spans="1:15" x14ac:dyDescent="0.25">
      <c r="A7" s="23" t="s">
        <v>201</v>
      </c>
      <c r="B7" s="24" t="s">
        <v>25</v>
      </c>
      <c r="C7" s="64">
        <v>31.631558801666671</v>
      </c>
      <c r="D7" s="64">
        <v>-25.072731999999998</v>
      </c>
      <c r="E7" s="64">
        <v>-19.301082000000001</v>
      </c>
      <c r="F7" s="8" t="s">
        <v>17</v>
      </c>
      <c r="G7" s="62"/>
      <c r="H7" s="62"/>
      <c r="I7" s="62"/>
      <c r="J7" s="45"/>
      <c r="M7" s="62"/>
      <c r="N7" s="62"/>
      <c r="O7" s="62"/>
    </row>
    <row r="8" spans="1:15" x14ac:dyDescent="0.25">
      <c r="A8" s="5" t="s">
        <v>33</v>
      </c>
      <c r="B8" s="7" t="s">
        <v>31</v>
      </c>
      <c r="C8" s="65">
        <v>28.965136916666673</v>
      </c>
      <c r="D8" s="65">
        <v>-0.89985199999999999</v>
      </c>
      <c r="E8" s="65">
        <v>4.8450319999999998</v>
      </c>
      <c r="F8" s="48" t="s">
        <v>14</v>
      </c>
      <c r="G8" s="62"/>
      <c r="H8" s="62"/>
      <c r="I8" s="62"/>
      <c r="J8" s="45"/>
      <c r="M8" s="62"/>
      <c r="N8" s="62"/>
      <c r="O8" s="62"/>
    </row>
    <row r="9" spans="1:15" x14ac:dyDescent="0.25">
      <c r="A9" s="23" t="s">
        <v>145</v>
      </c>
      <c r="B9" s="24" t="s">
        <v>53</v>
      </c>
      <c r="C9" s="64">
        <v>27.874219270833329</v>
      </c>
      <c r="D9" s="64">
        <v>47.087443999999998</v>
      </c>
      <c r="E9" s="64">
        <v>5.9312240000000003</v>
      </c>
      <c r="F9" s="8" t="s">
        <v>14</v>
      </c>
      <c r="G9" s="62"/>
      <c r="H9" s="62"/>
      <c r="I9" s="62"/>
      <c r="J9" s="45"/>
      <c r="M9" s="62"/>
      <c r="N9" s="62"/>
      <c r="O9" s="62"/>
    </row>
    <row r="10" spans="1:15" x14ac:dyDescent="0.25">
      <c r="A10" s="5" t="s">
        <v>179</v>
      </c>
      <c r="B10" s="7" t="s">
        <v>32</v>
      </c>
      <c r="C10" s="65">
        <v>26.929157958333327</v>
      </c>
      <c r="D10" s="65">
        <v>37.263210000000001</v>
      </c>
      <c r="E10" s="65">
        <v>34.707332999999998</v>
      </c>
      <c r="F10" s="6" t="s">
        <v>14</v>
      </c>
      <c r="G10" s="62"/>
      <c r="H10" s="62"/>
      <c r="I10" s="62"/>
      <c r="J10" s="45"/>
      <c r="M10" s="62"/>
      <c r="N10" s="62"/>
      <c r="O10" s="62"/>
    </row>
    <row r="11" spans="1:15" x14ac:dyDescent="0.25">
      <c r="A11" s="23" t="s">
        <v>146</v>
      </c>
      <c r="B11" s="24" t="s">
        <v>85</v>
      </c>
      <c r="C11" s="64">
        <v>26.706525066666671</v>
      </c>
      <c r="D11" s="64">
        <v>-12.256660999999999</v>
      </c>
      <c r="E11" s="64">
        <v>-8.4986189999999997</v>
      </c>
      <c r="F11" s="8" t="s">
        <v>13</v>
      </c>
      <c r="G11" s="62"/>
      <c r="H11" s="62"/>
      <c r="I11" s="62"/>
      <c r="J11" s="45"/>
      <c r="M11" s="62"/>
      <c r="N11" s="62"/>
      <c r="O11" s="62"/>
    </row>
    <row r="12" spans="1:15" x14ac:dyDescent="0.25">
      <c r="A12" s="5" t="s">
        <v>172</v>
      </c>
      <c r="B12" s="7" t="s">
        <v>91</v>
      </c>
      <c r="C12" s="65">
        <v>26.540601379583329</v>
      </c>
      <c r="D12" s="65">
        <v>-22.8752064</v>
      </c>
      <c r="E12" s="65">
        <v>-19.263881699999999</v>
      </c>
      <c r="F12" s="6" t="s">
        <v>14</v>
      </c>
      <c r="G12" s="62"/>
      <c r="H12" s="62"/>
      <c r="I12" s="62"/>
      <c r="J12" s="45"/>
      <c r="M12" s="62"/>
      <c r="N12" s="62"/>
      <c r="O12" s="62"/>
    </row>
    <row r="13" spans="1:15" x14ac:dyDescent="0.25">
      <c r="A13" s="23" t="s">
        <v>202</v>
      </c>
      <c r="B13" s="24" t="s">
        <v>38</v>
      </c>
      <c r="C13" s="64">
        <v>26.2078155375</v>
      </c>
      <c r="D13" s="64">
        <v>-47.106447000000003</v>
      </c>
      <c r="E13" s="64">
        <v>-13.253500000000001</v>
      </c>
      <c r="F13" s="8" t="s">
        <v>17</v>
      </c>
      <c r="G13" s="62"/>
      <c r="H13" s="62"/>
      <c r="I13" s="62"/>
      <c r="J13" s="45"/>
      <c r="M13" s="62"/>
      <c r="N13" s="62"/>
      <c r="O13" s="62"/>
    </row>
    <row r="14" spans="1:15" x14ac:dyDescent="0.25">
      <c r="A14" s="5" t="s">
        <v>203</v>
      </c>
      <c r="B14" s="7" t="s">
        <v>35</v>
      </c>
      <c r="C14" s="65">
        <v>21.27413966666667</v>
      </c>
      <c r="D14" s="65">
        <v>13.329224999999999</v>
      </c>
      <c r="E14" s="65">
        <v>6.4929930000000002</v>
      </c>
      <c r="F14" s="6" t="s">
        <v>10</v>
      </c>
      <c r="G14" s="62"/>
      <c r="H14" s="62"/>
      <c r="I14" s="62"/>
      <c r="J14" s="45"/>
      <c r="M14" s="62"/>
      <c r="N14" s="62"/>
      <c r="O14" s="62"/>
    </row>
    <row r="15" spans="1:15" x14ac:dyDescent="0.25">
      <c r="A15" s="23" t="s">
        <v>147</v>
      </c>
      <c r="B15" s="24" t="s">
        <v>52</v>
      </c>
      <c r="C15" s="64">
        <v>18.393137221162501</v>
      </c>
      <c r="D15" s="64">
        <v>17.367047960799987</v>
      </c>
      <c r="E15" s="64">
        <v>-0.28855483259999931</v>
      </c>
      <c r="F15" s="8" t="s">
        <v>14</v>
      </c>
      <c r="G15" s="62"/>
      <c r="H15" s="62"/>
      <c r="I15" s="62"/>
      <c r="J15" s="45"/>
      <c r="M15" s="62"/>
      <c r="N15" s="62"/>
      <c r="O15" s="62"/>
    </row>
    <row r="16" spans="1:15" x14ac:dyDescent="0.25">
      <c r="A16" s="5" t="s">
        <v>39</v>
      </c>
      <c r="B16" s="7" t="s">
        <v>37</v>
      </c>
      <c r="C16" s="65">
        <v>15.949177775000001</v>
      </c>
      <c r="D16" s="65">
        <v>-16.668461000000001</v>
      </c>
      <c r="E16" s="65">
        <v>-20.430782000000001</v>
      </c>
      <c r="F16" s="6" t="s">
        <v>14</v>
      </c>
      <c r="G16" s="62"/>
      <c r="H16" s="62"/>
      <c r="I16" s="62"/>
      <c r="J16" s="45"/>
      <c r="M16" s="62"/>
      <c r="N16" s="62"/>
      <c r="O16" s="62"/>
    </row>
    <row r="17" spans="1:15" x14ac:dyDescent="0.25">
      <c r="A17" s="23" t="s">
        <v>207</v>
      </c>
      <c r="B17" s="24" t="s">
        <v>78</v>
      </c>
      <c r="C17" s="64">
        <v>15.861982099999999</v>
      </c>
      <c r="D17" s="64">
        <v>-64.240044999999995</v>
      </c>
      <c r="E17" s="64">
        <v>-29.969289</v>
      </c>
      <c r="F17" s="8" t="s">
        <v>17</v>
      </c>
      <c r="G17" s="62"/>
      <c r="H17" s="62"/>
      <c r="I17" s="62"/>
      <c r="J17" s="45"/>
      <c r="M17" s="62"/>
      <c r="N17" s="62"/>
      <c r="O17" s="62"/>
    </row>
    <row r="18" spans="1:15" x14ac:dyDescent="0.25">
      <c r="A18" s="5" t="s">
        <v>29</v>
      </c>
      <c r="B18" s="7" t="s">
        <v>24</v>
      </c>
      <c r="C18" s="65">
        <v>15.6211091875</v>
      </c>
      <c r="D18" s="65">
        <v>-32.398946000000002</v>
      </c>
      <c r="E18" s="65">
        <v>-32.571834000000003</v>
      </c>
      <c r="F18" s="6" t="s">
        <v>13</v>
      </c>
      <c r="G18" s="62"/>
      <c r="H18" s="62"/>
      <c r="I18" s="62"/>
      <c r="J18" s="45"/>
      <c r="M18" s="62"/>
      <c r="N18" s="62"/>
      <c r="O18" s="62"/>
    </row>
    <row r="19" spans="1:15" x14ac:dyDescent="0.25">
      <c r="A19" s="23" t="s">
        <v>148</v>
      </c>
      <c r="B19" s="24" t="s">
        <v>42</v>
      </c>
      <c r="C19" s="64">
        <v>15.130825763333331</v>
      </c>
      <c r="D19" s="64">
        <v>40.415315999999997</v>
      </c>
      <c r="E19" s="64">
        <v>19.587152</v>
      </c>
      <c r="F19" s="8" t="s">
        <v>19</v>
      </c>
      <c r="G19" s="62"/>
      <c r="H19" s="62"/>
      <c r="I19" s="62"/>
      <c r="J19" s="45"/>
      <c r="M19" s="62"/>
      <c r="N19" s="62"/>
      <c r="O19" s="62"/>
    </row>
    <row r="20" spans="1:15" x14ac:dyDescent="0.25">
      <c r="A20" s="5" t="s">
        <v>205</v>
      </c>
      <c r="B20" s="7" t="s">
        <v>41</v>
      </c>
      <c r="C20" s="65">
        <v>14.99075729166667</v>
      </c>
      <c r="D20" s="65">
        <v>-9.1206320000000005</v>
      </c>
      <c r="E20" s="65">
        <v>-5.5592350000000001</v>
      </c>
      <c r="F20" s="6" t="s">
        <v>11</v>
      </c>
      <c r="G20" s="62"/>
      <c r="H20" s="62"/>
      <c r="I20" s="62"/>
      <c r="J20" s="45"/>
      <c r="M20" s="62"/>
      <c r="N20" s="62"/>
      <c r="O20" s="62"/>
    </row>
    <row r="21" spans="1:15" x14ac:dyDescent="0.25">
      <c r="A21" s="23" t="s">
        <v>208</v>
      </c>
      <c r="B21" s="24" t="s">
        <v>58</v>
      </c>
      <c r="C21" s="64">
        <v>14.457714379166671</v>
      </c>
      <c r="D21" s="64">
        <v>-29.259402000000001</v>
      </c>
      <c r="E21" s="64">
        <v>-9.7767780000000002</v>
      </c>
      <c r="F21" s="8" t="s">
        <v>17</v>
      </c>
      <c r="G21" s="62"/>
      <c r="H21" s="62"/>
      <c r="I21" s="62"/>
      <c r="J21" s="45"/>
      <c r="M21" s="62"/>
      <c r="N21" s="62"/>
      <c r="O21" s="62"/>
    </row>
    <row r="22" spans="1:15" x14ac:dyDescent="0.25">
      <c r="A22" s="5" t="s">
        <v>149</v>
      </c>
      <c r="B22" s="7" t="s">
        <v>48</v>
      </c>
      <c r="C22" s="65">
        <v>14.097910216666671</v>
      </c>
      <c r="D22" s="65">
        <v>-27.738727999999998</v>
      </c>
      <c r="E22" s="65">
        <v>-13.555059999999999</v>
      </c>
      <c r="F22" s="6" t="s">
        <v>10</v>
      </c>
      <c r="G22" s="62"/>
      <c r="H22" s="62"/>
      <c r="I22" s="62"/>
      <c r="J22" s="45"/>
      <c r="M22" s="62"/>
      <c r="N22" s="62"/>
      <c r="O22" s="62"/>
    </row>
    <row r="23" spans="1:15" x14ac:dyDescent="0.25">
      <c r="A23" s="23" t="s">
        <v>204</v>
      </c>
      <c r="B23" s="24" t="s">
        <v>51</v>
      </c>
      <c r="C23" s="64">
        <v>14.0835302875</v>
      </c>
      <c r="D23" s="64">
        <v>-6.8312425000000001</v>
      </c>
      <c r="E23" s="64">
        <v>-1.8272094999999999</v>
      </c>
      <c r="F23" s="8" t="s">
        <v>11</v>
      </c>
      <c r="G23" s="62"/>
      <c r="H23" s="62"/>
      <c r="I23" s="62"/>
      <c r="J23" s="45"/>
      <c r="M23" s="62"/>
      <c r="N23" s="62"/>
      <c r="O23" s="62"/>
    </row>
    <row r="24" spans="1:15" x14ac:dyDescent="0.25">
      <c r="A24" s="5" t="s">
        <v>209</v>
      </c>
      <c r="B24" s="7" t="s">
        <v>76</v>
      </c>
      <c r="C24" s="65">
        <v>13.762589958333331</v>
      </c>
      <c r="D24" s="65">
        <v>3.2318600000000002</v>
      </c>
      <c r="E24" s="65">
        <v>6.7954150000000002</v>
      </c>
      <c r="F24" s="6" t="s">
        <v>17</v>
      </c>
      <c r="G24" s="62"/>
      <c r="H24" s="62"/>
      <c r="I24" s="62"/>
      <c r="J24" s="45"/>
      <c r="M24" s="62"/>
      <c r="N24" s="62"/>
      <c r="O24" s="62"/>
    </row>
    <row r="25" spans="1:15" x14ac:dyDescent="0.25">
      <c r="A25" s="23" t="s">
        <v>153</v>
      </c>
      <c r="B25" s="24" t="s">
        <v>59</v>
      </c>
      <c r="C25" s="64">
        <v>12.55401992</v>
      </c>
      <c r="D25" s="64">
        <v>-1.76372</v>
      </c>
      <c r="E25" s="64">
        <v>-3.8679999999999999</v>
      </c>
      <c r="F25" s="8" t="s">
        <v>16</v>
      </c>
      <c r="G25" s="62"/>
      <c r="H25" s="62"/>
      <c r="I25" s="62"/>
      <c r="J25" s="45"/>
      <c r="M25" s="62"/>
      <c r="N25" s="62"/>
      <c r="O25" s="62"/>
    </row>
    <row r="26" spans="1:15" x14ac:dyDescent="0.25">
      <c r="A26" s="5" t="s">
        <v>34</v>
      </c>
      <c r="B26" s="7" t="s">
        <v>30</v>
      </c>
      <c r="C26" s="65">
        <v>12.53146074166667</v>
      </c>
      <c r="D26" s="65">
        <v>35.998438999999998</v>
      </c>
      <c r="E26" s="65">
        <v>1.115758</v>
      </c>
      <c r="F26" s="6" t="s">
        <v>14</v>
      </c>
      <c r="G26" s="62"/>
      <c r="H26" s="62"/>
      <c r="I26" s="62"/>
      <c r="J26" s="45"/>
      <c r="M26" s="62"/>
      <c r="N26" s="62"/>
      <c r="O26" s="62"/>
    </row>
    <row r="27" spans="1:15" x14ac:dyDescent="0.25">
      <c r="A27" s="23" t="s">
        <v>150</v>
      </c>
      <c r="B27" s="24" t="s">
        <v>43</v>
      </c>
      <c r="C27" s="64">
        <v>12.35650619583333</v>
      </c>
      <c r="D27" s="64">
        <v>29.029871</v>
      </c>
      <c r="E27" s="64">
        <v>5.2866669999999996</v>
      </c>
      <c r="F27" s="8" t="s">
        <v>165</v>
      </c>
      <c r="G27" s="62"/>
      <c r="H27" s="62"/>
      <c r="I27" s="62"/>
      <c r="J27" s="45"/>
      <c r="M27" s="62"/>
      <c r="N27" s="62"/>
      <c r="O27" s="62"/>
    </row>
    <row r="28" spans="1:15" x14ac:dyDescent="0.25">
      <c r="A28" s="5" t="s">
        <v>210</v>
      </c>
      <c r="B28" s="7" t="s">
        <v>54</v>
      </c>
      <c r="C28" s="65">
        <v>12.338991400000001</v>
      </c>
      <c r="D28" s="65">
        <v>-47.358643000000001</v>
      </c>
      <c r="E28" s="65">
        <v>-18.851047000000001</v>
      </c>
      <c r="F28" s="6" t="s">
        <v>16</v>
      </c>
      <c r="G28" s="62"/>
      <c r="H28" s="62"/>
      <c r="I28" s="62"/>
      <c r="J28" s="45"/>
      <c r="M28" s="62"/>
      <c r="N28" s="62"/>
      <c r="O28" s="62"/>
    </row>
    <row r="29" spans="1:15" x14ac:dyDescent="0.25">
      <c r="A29" s="23" t="s">
        <v>206</v>
      </c>
      <c r="B29" s="24" t="s">
        <v>105</v>
      </c>
      <c r="C29" s="64">
        <v>10.44060463716667</v>
      </c>
      <c r="D29" s="64">
        <v>2.5855510000000002</v>
      </c>
      <c r="E29" s="64">
        <v>0.25020500000000001</v>
      </c>
      <c r="F29" s="8" t="s">
        <v>17</v>
      </c>
      <c r="G29" s="62"/>
      <c r="H29" s="62"/>
      <c r="I29" s="62"/>
      <c r="J29" s="45"/>
      <c r="M29" s="62"/>
      <c r="N29" s="62"/>
      <c r="O29" s="62"/>
    </row>
    <row r="30" spans="1:15" x14ac:dyDescent="0.25">
      <c r="A30" s="5" t="s">
        <v>216</v>
      </c>
      <c r="B30" s="7" t="s">
        <v>113</v>
      </c>
      <c r="C30" s="65">
        <v>9.1383801083333331</v>
      </c>
      <c r="D30" s="65">
        <v>20.571147</v>
      </c>
      <c r="E30" s="65">
        <v>17.045007999999999</v>
      </c>
      <c r="F30" s="6" t="s">
        <v>17</v>
      </c>
      <c r="G30" s="62"/>
      <c r="H30" s="62"/>
      <c r="I30" s="62"/>
      <c r="J30" s="45"/>
      <c r="M30" s="62"/>
      <c r="N30" s="62"/>
      <c r="O30" s="62"/>
    </row>
    <row r="31" spans="1:15" x14ac:dyDescent="0.25">
      <c r="A31" s="23" t="s">
        <v>212</v>
      </c>
      <c r="B31" s="24" t="s">
        <v>80</v>
      </c>
      <c r="C31" s="64">
        <v>9.079348910416666</v>
      </c>
      <c r="D31" s="64">
        <v>-9.8681699999999974</v>
      </c>
      <c r="E31" s="64">
        <v>6.2117000000000422E-2</v>
      </c>
      <c r="F31" s="8" t="s">
        <v>17</v>
      </c>
      <c r="G31" s="62"/>
      <c r="H31" s="62"/>
      <c r="I31" s="62"/>
      <c r="J31" s="45"/>
      <c r="M31" s="62"/>
      <c r="N31" s="62"/>
      <c r="O31" s="62"/>
    </row>
    <row r="32" spans="1:15" x14ac:dyDescent="0.25">
      <c r="A32" s="5" t="s">
        <v>211</v>
      </c>
      <c r="B32" s="7" t="s">
        <v>55</v>
      </c>
      <c r="C32" s="65">
        <v>8.3798934569833339</v>
      </c>
      <c r="D32" s="65">
        <v>-2.6215488349</v>
      </c>
      <c r="E32" s="65">
        <v>-1.1202189325999989</v>
      </c>
      <c r="F32" s="6" t="s">
        <v>16</v>
      </c>
      <c r="G32" s="62"/>
      <c r="H32" s="62"/>
      <c r="I32" s="62"/>
      <c r="J32" s="45"/>
      <c r="M32" s="62"/>
      <c r="N32" s="62"/>
      <c r="O32" s="62"/>
    </row>
    <row r="33" spans="1:15" x14ac:dyDescent="0.25">
      <c r="A33" s="23" t="s">
        <v>215</v>
      </c>
      <c r="B33" s="24" t="s">
        <v>92</v>
      </c>
      <c r="C33" s="64">
        <v>7.321334291666667</v>
      </c>
      <c r="D33" s="64">
        <v>-0.83835899999999997</v>
      </c>
      <c r="E33" s="64">
        <v>7.5584999999999999E-2</v>
      </c>
      <c r="F33" s="8" t="s">
        <v>17</v>
      </c>
      <c r="G33" s="62"/>
      <c r="H33" s="62"/>
      <c r="I33" s="62"/>
      <c r="J33" s="45"/>
      <c r="M33" s="62"/>
      <c r="N33" s="62"/>
      <c r="O33" s="62"/>
    </row>
    <row r="34" spans="1:15" x14ac:dyDescent="0.25">
      <c r="A34" s="5" t="s">
        <v>213</v>
      </c>
      <c r="B34" s="7" t="s">
        <v>93</v>
      </c>
      <c r="C34" s="65">
        <v>7.1376499218333338</v>
      </c>
      <c r="D34" s="65">
        <v>-28.984929223999998</v>
      </c>
      <c r="E34" s="65">
        <v>-3.4123230000000002</v>
      </c>
      <c r="F34" s="6" t="s">
        <v>165</v>
      </c>
      <c r="G34" s="62"/>
      <c r="H34" s="62"/>
      <c r="I34" s="62"/>
      <c r="J34" s="45"/>
      <c r="M34" s="62"/>
      <c r="N34" s="62"/>
      <c r="O34" s="62"/>
    </row>
    <row r="35" spans="1:15" x14ac:dyDescent="0.25">
      <c r="A35" s="23" t="s">
        <v>214</v>
      </c>
      <c r="B35" s="24" t="s">
        <v>95</v>
      </c>
      <c r="C35" s="64">
        <v>6.7069793750000004</v>
      </c>
      <c r="D35" s="64">
        <v>-15.896525</v>
      </c>
      <c r="E35" s="64">
        <v>-3.8305180000000001</v>
      </c>
      <c r="F35" s="8" t="s">
        <v>17</v>
      </c>
      <c r="G35" s="62"/>
      <c r="H35" s="62"/>
      <c r="I35" s="62"/>
      <c r="J35" s="45"/>
      <c r="M35" s="62"/>
      <c r="N35" s="62"/>
      <c r="O35" s="62"/>
    </row>
    <row r="36" spans="1:15" x14ac:dyDescent="0.25">
      <c r="A36" s="5" t="s">
        <v>151</v>
      </c>
      <c r="B36" s="7" t="s">
        <v>110</v>
      </c>
      <c r="C36" s="65">
        <v>6.1078823916666662</v>
      </c>
      <c r="D36" s="65">
        <v>20.510062999999999</v>
      </c>
      <c r="E36" s="65">
        <v>4.0751670000000004</v>
      </c>
      <c r="F36" s="6" t="s">
        <v>14</v>
      </c>
      <c r="G36" s="62"/>
      <c r="H36" s="62"/>
      <c r="I36" s="62"/>
      <c r="J36" s="45"/>
      <c r="M36" s="62"/>
      <c r="N36" s="62"/>
      <c r="O36" s="62"/>
    </row>
    <row r="37" spans="1:15" x14ac:dyDescent="0.25">
      <c r="A37" s="23" t="s">
        <v>156</v>
      </c>
      <c r="B37" s="24" t="s">
        <v>114</v>
      </c>
      <c r="C37" s="64">
        <v>5.4948078708333332</v>
      </c>
      <c r="D37" s="64">
        <v>2.2839399999999999</v>
      </c>
      <c r="E37" s="64">
        <v>-0.90163800000000005</v>
      </c>
      <c r="F37" s="8" t="s">
        <v>165</v>
      </c>
      <c r="G37" s="62"/>
      <c r="H37" s="62"/>
      <c r="I37" s="62"/>
      <c r="J37" s="45"/>
      <c r="M37" s="62"/>
      <c r="N37" s="62"/>
      <c r="O37" s="62"/>
    </row>
    <row r="38" spans="1:15" x14ac:dyDescent="0.25">
      <c r="A38" s="5" t="s">
        <v>152</v>
      </c>
      <c r="B38" s="7" t="s">
        <v>173</v>
      </c>
      <c r="C38" s="65">
        <v>5.4780745249999994</v>
      </c>
      <c r="D38" s="65">
        <v>-3.207716</v>
      </c>
      <c r="E38" s="65">
        <v>-10.218472999999999</v>
      </c>
      <c r="F38" s="6" t="s">
        <v>165</v>
      </c>
      <c r="G38" s="62"/>
      <c r="H38" s="62"/>
      <c r="I38" s="62"/>
      <c r="J38" s="45"/>
      <c r="M38" s="62"/>
      <c r="N38" s="62"/>
      <c r="O38" s="62"/>
    </row>
    <row r="39" spans="1:15" x14ac:dyDescent="0.25">
      <c r="A39" s="23" t="s">
        <v>155</v>
      </c>
      <c r="B39" s="24" t="s">
        <v>98</v>
      </c>
      <c r="C39" s="64">
        <v>3.945390291666667</v>
      </c>
      <c r="D39" s="64">
        <v>-1.874423</v>
      </c>
      <c r="E39" s="64">
        <v>-8.1366999999999995E-2</v>
      </c>
      <c r="F39" s="8" t="s">
        <v>14</v>
      </c>
      <c r="G39" s="62"/>
      <c r="H39" s="62"/>
      <c r="I39" s="62"/>
      <c r="J39" s="45"/>
      <c r="M39" s="62"/>
      <c r="N39" s="62"/>
      <c r="O39" s="62"/>
    </row>
    <row r="40" spans="1:15" x14ac:dyDescent="0.25">
      <c r="A40" s="5" t="s">
        <v>219</v>
      </c>
      <c r="B40" s="7" t="s">
        <v>128</v>
      </c>
      <c r="C40" s="65">
        <v>3.610827916666667</v>
      </c>
      <c r="D40" s="65">
        <v>-12.047504999999999</v>
      </c>
      <c r="E40" s="65">
        <v>-1.99935</v>
      </c>
      <c r="F40" s="6" t="s">
        <v>165</v>
      </c>
      <c r="G40" s="62"/>
      <c r="H40" s="62"/>
      <c r="I40" s="62"/>
      <c r="J40" s="45"/>
      <c r="M40" s="62"/>
      <c r="N40" s="62"/>
      <c r="O40" s="62"/>
    </row>
    <row r="41" spans="1:15" x14ac:dyDescent="0.25">
      <c r="A41" s="23" t="s">
        <v>222</v>
      </c>
      <c r="B41" s="24" t="s">
        <v>115</v>
      </c>
      <c r="C41" s="64">
        <v>3.403330729166667</v>
      </c>
      <c r="D41" s="64">
        <v>-12.548780000000001</v>
      </c>
      <c r="E41" s="64">
        <v>-1.246794</v>
      </c>
      <c r="F41" s="8" t="s">
        <v>165</v>
      </c>
      <c r="G41" s="62"/>
      <c r="H41" s="62"/>
      <c r="I41" s="62"/>
      <c r="J41" s="45"/>
      <c r="M41" s="62"/>
      <c r="N41" s="62"/>
      <c r="O41" s="62"/>
    </row>
    <row r="42" spans="1:15" x14ac:dyDescent="0.25">
      <c r="A42" s="5" t="s">
        <v>218</v>
      </c>
      <c r="B42" s="7" t="s">
        <v>120</v>
      </c>
      <c r="C42" s="65">
        <v>3.33468043375</v>
      </c>
      <c r="D42" s="65">
        <v>0.157668</v>
      </c>
      <c r="E42" s="65">
        <v>-2.0573144999999999</v>
      </c>
      <c r="F42" s="6" t="s">
        <v>164</v>
      </c>
      <c r="G42" s="62"/>
      <c r="H42" s="62"/>
      <c r="I42" s="62"/>
      <c r="J42" s="45"/>
      <c r="M42" s="62"/>
      <c r="N42" s="62"/>
      <c r="O42" s="62"/>
    </row>
    <row r="43" spans="1:15" x14ac:dyDescent="0.25">
      <c r="A43" s="23" t="s">
        <v>106</v>
      </c>
      <c r="B43" s="24" t="s">
        <v>107</v>
      </c>
      <c r="C43" s="64">
        <v>3.2934311041666668</v>
      </c>
      <c r="D43" s="64">
        <v>2.3836295000000001</v>
      </c>
      <c r="E43" s="64">
        <v>1.5995045000000001</v>
      </c>
      <c r="F43" s="8" t="s">
        <v>17</v>
      </c>
      <c r="G43" s="62"/>
      <c r="H43" s="62"/>
      <c r="I43" s="62"/>
      <c r="J43" s="45"/>
      <c r="M43" s="62"/>
      <c r="N43" s="62"/>
      <c r="O43" s="62"/>
    </row>
    <row r="44" spans="1:15" x14ac:dyDescent="0.25">
      <c r="A44" s="5" t="s">
        <v>220</v>
      </c>
      <c r="B44" s="7" t="s">
        <v>109</v>
      </c>
      <c r="C44" s="65">
        <v>2.8915851541666666</v>
      </c>
      <c r="D44" s="65">
        <v>-2.6968895000000002</v>
      </c>
      <c r="E44" s="65">
        <v>-1.2972101</v>
      </c>
      <c r="F44" s="6" t="s">
        <v>167</v>
      </c>
      <c r="G44" s="62"/>
      <c r="H44" s="62"/>
      <c r="I44" s="62"/>
      <c r="J44" s="45"/>
      <c r="M44" s="62"/>
      <c r="N44" s="62"/>
      <c r="O44" s="62"/>
    </row>
    <row r="45" spans="1:15" x14ac:dyDescent="0.25">
      <c r="A45" s="23" t="s">
        <v>217</v>
      </c>
      <c r="B45" s="24" t="s">
        <v>180</v>
      </c>
      <c r="C45" s="64">
        <v>2.882051895833333</v>
      </c>
      <c r="D45" s="64">
        <v>-1.4254728000000001</v>
      </c>
      <c r="E45" s="64">
        <v>0.1599565</v>
      </c>
      <c r="F45" s="8" t="s">
        <v>14</v>
      </c>
      <c r="G45" s="62"/>
      <c r="H45" s="62"/>
      <c r="I45" s="62"/>
      <c r="J45" s="45"/>
      <c r="M45" s="62"/>
      <c r="N45" s="62"/>
      <c r="O45" s="62"/>
    </row>
    <row r="46" spans="1:15" x14ac:dyDescent="0.25">
      <c r="A46" s="5" t="s">
        <v>225</v>
      </c>
      <c r="B46" s="7" t="s">
        <v>99</v>
      </c>
      <c r="C46" s="65">
        <v>2.8376615416666668</v>
      </c>
      <c r="D46" s="65">
        <v>-10.326553499999999</v>
      </c>
      <c r="E46" s="65">
        <v>-2.3877229999999998</v>
      </c>
      <c r="F46" s="6" t="s">
        <v>17</v>
      </c>
      <c r="G46" s="62"/>
      <c r="H46" s="62"/>
      <c r="I46" s="62"/>
      <c r="J46" s="45"/>
      <c r="M46" s="62"/>
      <c r="N46" s="62"/>
      <c r="O46" s="62"/>
    </row>
    <row r="47" spans="1:15" x14ac:dyDescent="0.25">
      <c r="A47" s="23" t="s">
        <v>160</v>
      </c>
      <c r="B47" s="24" t="s">
        <v>125</v>
      </c>
      <c r="C47" s="64">
        <v>2.6292697916666672</v>
      </c>
      <c r="D47" s="64">
        <v>7.1073415000000004</v>
      </c>
      <c r="E47" s="64">
        <v>0.89860850000000003</v>
      </c>
      <c r="F47" s="8" t="s">
        <v>167</v>
      </c>
      <c r="G47" s="62"/>
      <c r="H47" s="62"/>
      <c r="I47" s="62"/>
      <c r="J47" s="45"/>
      <c r="M47" s="62"/>
      <c r="N47" s="62"/>
      <c r="O47" s="62"/>
    </row>
    <row r="48" spans="1:15" x14ac:dyDescent="0.25">
      <c r="A48" s="5" t="s">
        <v>221</v>
      </c>
      <c r="B48" s="7" t="s">
        <v>121</v>
      </c>
      <c r="C48" s="65">
        <v>2.5391637971820842</v>
      </c>
      <c r="D48" s="65">
        <v>-4.4648766423600001</v>
      </c>
      <c r="E48" s="65">
        <v>6.3632608640000018E-2</v>
      </c>
      <c r="F48" s="6" t="s">
        <v>10</v>
      </c>
      <c r="G48" s="62"/>
      <c r="H48" s="62"/>
      <c r="I48" s="62"/>
      <c r="J48" s="45"/>
      <c r="M48" s="62"/>
      <c r="N48" s="62"/>
      <c r="O48" s="62"/>
    </row>
    <row r="49" spans="1:15" x14ac:dyDescent="0.25">
      <c r="A49" s="23" t="s">
        <v>158</v>
      </c>
      <c r="B49" s="24" t="s">
        <v>122</v>
      </c>
      <c r="C49" s="64">
        <v>2.5142366041666668</v>
      </c>
      <c r="D49" s="64">
        <v>-2.277253</v>
      </c>
      <c r="E49" s="64">
        <v>0.13019800000000001</v>
      </c>
      <c r="F49" s="8" t="s">
        <v>17</v>
      </c>
      <c r="G49" s="62"/>
      <c r="H49" s="62"/>
      <c r="I49" s="62"/>
      <c r="J49" s="45"/>
      <c r="M49" s="62"/>
      <c r="N49" s="62"/>
      <c r="O49" s="62"/>
    </row>
    <row r="50" spans="1:15" x14ac:dyDescent="0.25">
      <c r="A50" s="5" t="s">
        <v>223</v>
      </c>
      <c r="B50" s="7" t="s">
        <v>111</v>
      </c>
      <c r="C50" s="65">
        <v>2.488228995833333</v>
      </c>
      <c r="D50" s="65">
        <v>-5.9889675000000002</v>
      </c>
      <c r="E50" s="65">
        <v>-1.6168530000000001</v>
      </c>
      <c r="F50" s="6" t="s">
        <v>17</v>
      </c>
      <c r="G50" s="62"/>
      <c r="H50" s="62"/>
      <c r="I50" s="62"/>
      <c r="J50" s="45"/>
      <c r="M50" s="62"/>
      <c r="N50" s="62"/>
      <c r="O50" s="62"/>
    </row>
    <row r="51" spans="1:15" x14ac:dyDescent="0.25">
      <c r="A51" s="23" t="s">
        <v>227</v>
      </c>
      <c r="B51" s="24" t="s">
        <v>57</v>
      </c>
      <c r="C51" s="64">
        <v>2.3872122224024999</v>
      </c>
      <c r="D51" s="64">
        <v>-7.604690831800001</v>
      </c>
      <c r="E51" s="64">
        <v>-0.26514349669999993</v>
      </c>
      <c r="F51" s="8" t="s">
        <v>11</v>
      </c>
      <c r="G51" s="62"/>
      <c r="H51" s="62"/>
      <c r="I51" s="62"/>
      <c r="J51" s="45"/>
      <c r="M51" s="62"/>
      <c r="N51" s="62"/>
      <c r="O51" s="62"/>
    </row>
    <row r="52" spans="1:15" x14ac:dyDescent="0.25">
      <c r="A52" s="5" t="s">
        <v>224</v>
      </c>
      <c r="B52" s="7" t="s">
        <v>124</v>
      </c>
      <c r="C52" s="65">
        <v>2.3312568250000001</v>
      </c>
      <c r="D52" s="65">
        <v>-7.0188509999999997</v>
      </c>
      <c r="E52" s="65">
        <v>0.63055799999999995</v>
      </c>
      <c r="F52" s="6" t="s">
        <v>17</v>
      </c>
      <c r="G52" s="62"/>
      <c r="H52" s="62"/>
      <c r="I52" s="62"/>
      <c r="J52" s="45"/>
      <c r="M52" s="62"/>
      <c r="N52" s="62"/>
      <c r="O52" s="62"/>
    </row>
    <row r="53" spans="1:15" x14ac:dyDescent="0.25">
      <c r="A53" s="23" t="s">
        <v>231</v>
      </c>
      <c r="B53" s="24" t="s">
        <v>126</v>
      </c>
      <c r="C53" s="64">
        <v>2.2381126583333333</v>
      </c>
      <c r="D53" s="64">
        <v>-5.4319819999999996</v>
      </c>
      <c r="E53" s="64">
        <v>-2.345183</v>
      </c>
      <c r="F53" s="8" t="s">
        <v>17</v>
      </c>
      <c r="G53" s="62"/>
      <c r="H53" s="62"/>
      <c r="I53" s="62"/>
      <c r="J53" s="45"/>
      <c r="M53" s="62"/>
      <c r="N53" s="62"/>
      <c r="O53" s="62"/>
    </row>
    <row r="54" spans="1:15" x14ac:dyDescent="0.25">
      <c r="A54" s="5" t="s">
        <v>154</v>
      </c>
      <c r="B54" s="7" t="s">
        <v>112</v>
      </c>
      <c r="C54" s="65">
        <v>2.0979791250000002</v>
      </c>
      <c r="D54" s="65">
        <v>1.058543</v>
      </c>
      <c r="E54" s="65">
        <v>0.99307350000000005</v>
      </c>
      <c r="F54" s="6" t="s">
        <v>11</v>
      </c>
      <c r="G54" s="62"/>
      <c r="H54" s="62"/>
      <c r="I54" s="62"/>
      <c r="J54" s="45"/>
      <c r="M54" s="62"/>
      <c r="N54" s="62"/>
      <c r="O54" s="62"/>
    </row>
    <row r="55" spans="1:15" x14ac:dyDescent="0.25">
      <c r="A55" s="23" t="s">
        <v>163</v>
      </c>
      <c r="B55" s="24" t="s">
        <v>174</v>
      </c>
      <c r="C55" s="64">
        <v>1.9738735208333331</v>
      </c>
      <c r="D55" s="64">
        <v>0.12465960000000001</v>
      </c>
      <c r="E55" s="64">
        <v>-4.0913199999999997E-2</v>
      </c>
      <c r="F55" s="8" t="s">
        <v>166</v>
      </c>
      <c r="G55" s="62"/>
      <c r="H55" s="62"/>
      <c r="I55" s="62"/>
      <c r="J55" s="45"/>
      <c r="M55" s="62"/>
      <c r="N55" s="62"/>
      <c r="O55" s="62"/>
    </row>
    <row r="56" spans="1:15" x14ac:dyDescent="0.25">
      <c r="A56" s="5" t="s">
        <v>229</v>
      </c>
      <c r="B56" s="7" t="s">
        <v>116</v>
      </c>
      <c r="C56" s="65">
        <v>1.9586863750000001</v>
      </c>
      <c r="D56" s="65">
        <v>-0.21864649999999999</v>
      </c>
      <c r="E56" s="65">
        <v>0.1067505</v>
      </c>
      <c r="F56" s="6" t="s">
        <v>13</v>
      </c>
      <c r="G56" s="62"/>
      <c r="H56" s="62"/>
      <c r="I56" s="62"/>
      <c r="J56" s="45"/>
      <c r="M56" s="62"/>
      <c r="N56" s="62"/>
      <c r="O56" s="62"/>
    </row>
    <row r="57" spans="1:15" x14ac:dyDescent="0.25">
      <c r="A57" s="23" t="s">
        <v>228</v>
      </c>
      <c r="B57" s="24" t="s">
        <v>94</v>
      </c>
      <c r="C57" s="64">
        <v>1.881980683333333</v>
      </c>
      <c r="D57" s="64">
        <v>-4.8383250000000002</v>
      </c>
      <c r="E57" s="64">
        <v>-1.048421</v>
      </c>
      <c r="F57" s="8" t="s">
        <v>11</v>
      </c>
      <c r="G57" s="62"/>
      <c r="H57" s="62"/>
      <c r="I57" s="62"/>
      <c r="J57" s="45"/>
      <c r="M57" s="62"/>
      <c r="N57" s="62"/>
      <c r="O57" s="62"/>
    </row>
    <row r="58" spans="1:15" x14ac:dyDescent="0.25">
      <c r="A58" s="5" t="s">
        <v>226</v>
      </c>
      <c r="B58" s="7" t="s">
        <v>133</v>
      </c>
      <c r="C58" s="65">
        <v>1.791213020833333</v>
      </c>
      <c r="D58" s="65">
        <v>-8.2560854999999993</v>
      </c>
      <c r="E58" s="65">
        <v>-1.3286370000000001</v>
      </c>
      <c r="F58" s="6" t="s">
        <v>167</v>
      </c>
      <c r="G58" s="62"/>
      <c r="H58" s="62"/>
      <c r="I58" s="62"/>
      <c r="J58" s="45"/>
      <c r="M58" s="62"/>
      <c r="N58" s="62"/>
      <c r="O58" s="62"/>
    </row>
    <row r="59" spans="1:15" x14ac:dyDescent="0.25">
      <c r="A59" s="23" t="s">
        <v>232</v>
      </c>
      <c r="B59" s="24" t="s">
        <v>108</v>
      </c>
      <c r="C59" s="64">
        <v>1.6757518541666669</v>
      </c>
      <c r="D59" s="64">
        <v>-5.0617894999999997</v>
      </c>
      <c r="E59" s="64">
        <v>-2.2615560000000001</v>
      </c>
      <c r="F59" s="8" t="s">
        <v>15</v>
      </c>
      <c r="G59" s="62"/>
      <c r="H59" s="62"/>
      <c r="I59" s="62"/>
      <c r="J59" s="45"/>
      <c r="M59" s="62"/>
      <c r="N59" s="62"/>
      <c r="O59" s="62"/>
    </row>
    <row r="60" spans="1:15" x14ac:dyDescent="0.25">
      <c r="A60" s="5" t="s">
        <v>234</v>
      </c>
      <c r="B60" s="7" t="s">
        <v>142</v>
      </c>
      <c r="C60" s="65">
        <v>1.4150309999999999</v>
      </c>
      <c r="D60" s="65">
        <v>-1.0852980000000001</v>
      </c>
      <c r="E60" s="65">
        <v>0.53913699999999998</v>
      </c>
      <c r="F60" s="6" t="s">
        <v>11</v>
      </c>
      <c r="G60" s="62"/>
      <c r="H60" s="62"/>
      <c r="I60" s="62"/>
      <c r="J60" s="45"/>
      <c r="M60" s="62"/>
      <c r="N60" s="62"/>
      <c r="O60" s="62"/>
    </row>
    <row r="61" spans="1:15" x14ac:dyDescent="0.25">
      <c r="A61" s="23" t="s">
        <v>157</v>
      </c>
      <c r="B61" s="24" t="s">
        <v>117</v>
      </c>
      <c r="C61" s="64">
        <v>1.3848923083333331</v>
      </c>
      <c r="D61" s="64">
        <v>4.7186570000000003</v>
      </c>
      <c r="E61" s="64">
        <v>-0.50855799999999995</v>
      </c>
      <c r="F61" s="8" t="s">
        <v>11</v>
      </c>
      <c r="G61" s="62"/>
      <c r="H61" s="62"/>
      <c r="I61" s="62"/>
      <c r="J61" s="45"/>
      <c r="M61" s="62"/>
      <c r="N61" s="62"/>
      <c r="O61" s="62"/>
    </row>
    <row r="62" spans="1:15" x14ac:dyDescent="0.25">
      <c r="A62" s="5" t="s">
        <v>159</v>
      </c>
      <c r="B62" s="7" t="s">
        <v>123</v>
      </c>
      <c r="C62" s="65">
        <v>1.3402517434012502</v>
      </c>
      <c r="D62" s="65">
        <v>1.6512103858</v>
      </c>
      <c r="E62" s="65">
        <v>1.4635556378500001</v>
      </c>
      <c r="F62" s="6" t="s">
        <v>17</v>
      </c>
      <c r="G62" s="62"/>
      <c r="H62" s="62"/>
      <c r="I62" s="62"/>
      <c r="J62" s="45"/>
      <c r="M62" s="62"/>
      <c r="N62" s="62"/>
      <c r="O62" s="62"/>
    </row>
    <row r="63" spans="1:15" x14ac:dyDescent="0.25">
      <c r="A63" s="23" t="s">
        <v>230</v>
      </c>
      <c r="B63" s="24" t="s">
        <v>138</v>
      </c>
      <c r="C63" s="64">
        <v>1.2371555416666671</v>
      </c>
      <c r="D63" s="64">
        <v>-0.85529849999999996</v>
      </c>
      <c r="E63" s="64">
        <v>-0.66486999999999996</v>
      </c>
      <c r="F63" s="8" t="s">
        <v>16</v>
      </c>
      <c r="G63" s="62"/>
      <c r="H63" s="62"/>
      <c r="I63" s="62"/>
      <c r="J63" s="45"/>
      <c r="M63" s="62"/>
      <c r="N63" s="62"/>
      <c r="O63" s="62"/>
    </row>
    <row r="64" spans="1:15" x14ac:dyDescent="0.25">
      <c r="A64" s="5" t="s">
        <v>181</v>
      </c>
      <c r="B64" s="7" t="s">
        <v>182</v>
      </c>
      <c r="C64" s="65">
        <v>1.1892653999999998</v>
      </c>
      <c r="D64" s="65">
        <v>7.1106400000000042E-2</v>
      </c>
      <c r="E64" s="65">
        <v>-6.9286999999999968E-3</v>
      </c>
      <c r="F64" s="6" t="s">
        <v>14</v>
      </c>
      <c r="G64" s="62"/>
      <c r="H64" s="62"/>
      <c r="I64" s="62"/>
      <c r="J64" s="45"/>
      <c r="M64" s="62"/>
      <c r="N64" s="62"/>
      <c r="O64" s="62"/>
    </row>
    <row r="65" spans="1:15" x14ac:dyDescent="0.25">
      <c r="A65" s="23" t="s">
        <v>235</v>
      </c>
      <c r="B65" s="24" t="s">
        <v>140</v>
      </c>
      <c r="C65" s="64">
        <v>1.0671036875</v>
      </c>
      <c r="D65" s="64">
        <v>-3.3288665000000002</v>
      </c>
      <c r="E65" s="64">
        <v>-1.9599295000000001</v>
      </c>
      <c r="F65" s="8" t="s">
        <v>17</v>
      </c>
      <c r="G65" s="62"/>
      <c r="H65" s="62"/>
      <c r="I65" s="62"/>
      <c r="J65" s="45"/>
      <c r="M65" s="62"/>
      <c r="N65" s="62"/>
      <c r="O65" s="62"/>
    </row>
    <row r="66" spans="1:15" x14ac:dyDescent="0.25">
      <c r="A66" s="5" t="s">
        <v>161</v>
      </c>
      <c r="B66" s="7" t="s">
        <v>96</v>
      </c>
      <c r="C66" s="65">
        <v>1.0558995087750001</v>
      </c>
      <c r="D66" s="65">
        <v>1.43671639271</v>
      </c>
      <c r="E66" s="65">
        <v>-0.28700503574999991</v>
      </c>
      <c r="F66" s="6" t="s">
        <v>14</v>
      </c>
      <c r="G66" s="62"/>
      <c r="H66" s="62"/>
      <c r="I66" s="62"/>
      <c r="J66" s="45"/>
      <c r="M66" s="62"/>
      <c r="N66" s="62"/>
      <c r="O66" s="62"/>
    </row>
    <row r="67" spans="1:15" x14ac:dyDescent="0.25">
      <c r="A67" s="23" t="s">
        <v>238</v>
      </c>
      <c r="B67" s="24" t="s">
        <v>132</v>
      </c>
      <c r="C67" s="64">
        <v>1.0315185250000001</v>
      </c>
      <c r="D67" s="64">
        <v>4.1951000000000002E-2</v>
      </c>
      <c r="E67" s="64">
        <v>-4.2091999999999997E-2</v>
      </c>
      <c r="F67" s="8" t="s">
        <v>17</v>
      </c>
      <c r="G67" s="62"/>
      <c r="H67" s="62"/>
      <c r="I67" s="62"/>
      <c r="J67" s="45"/>
      <c r="M67" s="62"/>
      <c r="N67" s="62"/>
      <c r="O67" s="62"/>
    </row>
    <row r="68" spans="1:15" x14ac:dyDescent="0.25">
      <c r="A68" s="5" t="s">
        <v>236</v>
      </c>
      <c r="B68" s="7" t="s">
        <v>134</v>
      </c>
      <c r="C68" s="65">
        <v>1.003543708333333</v>
      </c>
      <c r="D68" s="65">
        <v>-3.078592</v>
      </c>
      <c r="E68" s="65">
        <v>-0.37138300000000002</v>
      </c>
      <c r="F68" s="6" t="s">
        <v>164</v>
      </c>
      <c r="G68" s="62"/>
      <c r="H68" s="62"/>
      <c r="I68" s="62"/>
      <c r="J68" s="45"/>
      <c r="M68" s="62"/>
      <c r="N68" s="62"/>
      <c r="O68" s="62"/>
    </row>
    <row r="69" spans="1:15" x14ac:dyDescent="0.25">
      <c r="A69" s="23" t="s">
        <v>242</v>
      </c>
      <c r="B69" s="24" t="s">
        <v>135</v>
      </c>
      <c r="C69" s="64">
        <v>0.99245029166666665</v>
      </c>
      <c r="D69" s="64">
        <v>1.9903175</v>
      </c>
      <c r="E69" s="64">
        <v>0.31059750000000003</v>
      </c>
      <c r="F69" s="8" t="s">
        <v>166</v>
      </c>
      <c r="G69" s="62"/>
      <c r="H69" s="62"/>
      <c r="I69" s="62"/>
      <c r="J69" s="45"/>
      <c r="M69" s="62"/>
      <c r="N69" s="62"/>
      <c r="O69" s="62"/>
    </row>
    <row r="70" spans="1:15" x14ac:dyDescent="0.25">
      <c r="A70" s="5" t="s">
        <v>241</v>
      </c>
      <c r="B70" s="7" t="s">
        <v>97</v>
      </c>
      <c r="C70" s="65">
        <v>0.96757816689333331</v>
      </c>
      <c r="D70" s="65">
        <v>-2.0043247342499999</v>
      </c>
      <c r="E70" s="65">
        <v>-0.68001845975000008</v>
      </c>
      <c r="F70" s="6" t="s">
        <v>17</v>
      </c>
      <c r="G70" s="62"/>
      <c r="H70" s="62"/>
      <c r="I70" s="62"/>
      <c r="J70" s="45"/>
      <c r="M70" s="62"/>
      <c r="N70" s="62"/>
      <c r="O70" s="62"/>
    </row>
    <row r="71" spans="1:15" x14ac:dyDescent="0.25">
      <c r="A71" s="23" t="s">
        <v>240</v>
      </c>
      <c r="B71" s="24" t="s">
        <v>118</v>
      </c>
      <c r="C71" s="64">
        <v>0.93082887916666679</v>
      </c>
      <c r="D71" s="64">
        <v>-4.6050389999999997</v>
      </c>
      <c r="E71" s="64">
        <v>-1.4907680000000001</v>
      </c>
      <c r="F71" s="8" t="s">
        <v>166</v>
      </c>
      <c r="G71" s="62"/>
      <c r="H71" s="62"/>
      <c r="I71" s="62"/>
      <c r="J71" s="45"/>
      <c r="M71" s="62"/>
      <c r="N71" s="62"/>
      <c r="O71" s="62"/>
    </row>
    <row r="72" spans="1:15" x14ac:dyDescent="0.25">
      <c r="A72" s="5" t="s">
        <v>233</v>
      </c>
      <c r="B72" s="7" t="s">
        <v>129</v>
      </c>
      <c r="C72" s="65">
        <v>0.90013666937583348</v>
      </c>
      <c r="D72" s="65">
        <v>9.5240413130000035E-2</v>
      </c>
      <c r="E72" s="65">
        <v>-0.29875905676000003</v>
      </c>
      <c r="F72" s="6" t="s">
        <v>17</v>
      </c>
      <c r="G72" s="62"/>
      <c r="H72" s="62"/>
      <c r="I72" s="62"/>
      <c r="J72" s="45"/>
      <c r="M72" s="62"/>
      <c r="N72" s="62"/>
      <c r="O72" s="62"/>
    </row>
    <row r="73" spans="1:15" x14ac:dyDescent="0.25">
      <c r="A73" s="23" t="s">
        <v>239</v>
      </c>
      <c r="B73" s="24" t="s">
        <v>144</v>
      </c>
      <c r="C73" s="64">
        <v>0.88149097830858325</v>
      </c>
      <c r="D73" s="64">
        <v>-3.6621470809000001</v>
      </c>
      <c r="E73" s="64">
        <v>-1.2311069514999999</v>
      </c>
      <c r="F73" s="8" t="s">
        <v>17</v>
      </c>
      <c r="G73" s="62"/>
      <c r="H73" s="62"/>
      <c r="I73" s="62"/>
      <c r="J73" s="45"/>
      <c r="M73" s="62"/>
      <c r="N73" s="62"/>
      <c r="O73" s="62"/>
    </row>
    <row r="74" spans="1:15" x14ac:dyDescent="0.25">
      <c r="A74" s="5" t="s">
        <v>244</v>
      </c>
      <c r="B74" s="7" t="s">
        <v>139</v>
      </c>
      <c r="C74" s="65">
        <v>0.87161633333333333</v>
      </c>
      <c r="D74" s="65">
        <v>-4.6079230000000004</v>
      </c>
      <c r="E74" s="65">
        <v>-1.4200604999999999</v>
      </c>
      <c r="F74" s="6" t="s">
        <v>14</v>
      </c>
      <c r="G74" s="62"/>
      <c r="H74" s="62"/>
      <c r="I74" s="62"/>
      <c r="J74" s="45"/>
      <c r="M74" s="62"/>
      <c r="N74" s="62"/>
      <c r="O74" s="62"/>
    </row>
    <row r="75" spans="1:15" x14ac:dyDescent="0.25">
      <c r="A75" s="23" t="s">
        <v>243</v>
      </c>
      <c r="B75" s="24" t="s">
        <v>100</v>
      </c>
      <c r="C75" s="64">
        <v>0.85389702916666665</v>
      </c>
      <c r="D75" s="64">
        <v>-2.9310375</v>
      </c>
      <c r="E75" s="64">
        <v>-0.162133</v>
      </c>
      <c r="F75" s="8" t="s">
        <v>11</v>
      </c>
      <c r="G75" s="62"/>
      <c r="H75" s="62"/>
      <c r="I75" s="62"/>
      <c r="J75" s="45"/>
      <c r="M75" s="62"/>
      <c r="N75" s="62"/>
      <c r="O75" s="62"/>
    </row>
    <row r="76" spans="1:15" x14ac:dyDescent="0.25">
      <c r="A76" s="5" t="s">
        <v>237</v>
      </c>
      <c r="B76" s="7" t="s">
        <v>136</v>
      </c>
      <c r="C76" s="65">
        <v>0.8522256534274999</v>
      </c>
      <c r="D76" s="65">
        <v>-1.1251260777600001</v>
      </c>
      <c r="E76" s="65">
        <v>-1.114021899999997E-2</v>
      </c>
      <c r="F76" s="6" t="s">
        <v>17</v>
      </c>
      <c r="G76" s="62"/>
      <c r="H76" s="62"/>
      <c r="I76" s="62"/>
      <c r="J76" s="45"/>
      <c r="M76" s="62"/>
      <c r="N76" s="62"/>
      <c r="O76" s="62"/>
    </row>
    <row r="77" spans="1:15" x14ac:dyDescent="0.25">
      <c r="A77" s="23" t="s">
        <v>162</v>
      </c>
      <c r="B77" s="24" t="s">
        <v>130</v>
      </c>
      <c r="C77" s="64">
        <v>0.82140289583333337</v>
      </c>
      <c r="D77" s="64">
        <v>1.6150285</v>
      </c>
      <c r="E77" s="64">
        <v>9.2604000000000006E-2</v>
      </c>
      <c r="F77" s="8" t="s">
        <v>166</v>
      </c>
      <c r="G77" s="62"/>
      <c r="H77" s="62"/>
      <c r="I77" s="62"/>
      <c r="J77" s="45"/>
      <c r="M77" s="62"/>
      <c r="N77" s="62"/>
      <c r="O77" s="62"/>
    </row>
    <row r="78" spans="1:15" x14ac:dyDescent="0.25">
      <c r="A78" s="5" t="s">
        <v>271</v>
      </c>
      <c r="B78" s="7" t="s">
        <v>175</v>
      </c>
      <c r="C78" s="65">
        <v>0.81803587083333318</v>
      </c>
      <c r="D78" s="65">
        <v>-0.32173400000000002</v>
      </c>
      <c r="E78" s="65">
        <v>0.51976849999999986</v>
      </c>
      <c r="F78" s="6" t="s">
        <v>17</v>
      </c>
      <c r="G78" s="62"/>
      <c r="H78" s="62"/>
      <c r="I78" s="62"/>
      <c r="J78" s="45"/>
      <c r="M78" s="62"/>
      <c r="N78" s="62"/>
      <c r="O78" s="62"/>
    </row>
    <row r="79" spans="1:15" x14ac:dyDescent="0.25">
      <c r="A79" s="23" t="s">
        <v>246</v>
      </c>
      <c r="B79" s="24" t="s">
        <v>141</v>
      </c>
      <c r="C79" s="64">
        <v>0.72801452499999997</v>
      </c>
      <c r="D79" s="64">
        <v>-1.529771</v>
      </c>
      <c r="E79" s="64">
        <v>-0.17862700000000001</v>
      </c>
      <c r="F79" s="8" t="s">
        <v>17</v>
      </c>
      <c r="G79" s="62"/>
      <c r="H79" s="62"/>
      <c r="I79" s="62"/>
      <c r="J79" s="45"/>
      <c r="M79" s="62"/>
      <c r="N79" s="62"/>
      <c r="O79" s="62"/>
    </row>
    <row r="80" spans="1:15" x14ac:dyDescent="0.25">
      <c r="A80" s="5" t="s">
        <v>247</v>
      </c>
      <c r="B80" s="7" t="s">
        <v>131</v>
      </c>
      <c r="C80" s="65">
        <v>0.64216251666666668</v>
      </c>
      <c r="D80" s="65">
        <v>6.5347000000000002E-2</v>
      </c>
      <c r="E80" s="65">
        <v>0.77667350000000002</v>
      </c>
      <c r="F80" s="6" t="s">
        <v>17</v>
      </c>
      <c r="G80" s="62"/>
      <c r="H80" s="62"/>
      <c r="I80" s="62"/>
      <c r="J80" s="45"/>
      <c r="M80" s="62"/>
      <c r="N80" s="62"/>
      <c r="O80" s="62"/>
    </row>
    <row r="81" spans="1:15" x14ac:dyDescent="0.25">
      <c r="A81" s="23" t="s">
        <v>248</v>
      </c>
      <c r="B81" s="24" t="s">
        <v>176</v>
      </c>
      <c r="C81" s="64">
        <v>0.58180845833333339</v>
      </c>
      <c r="D81" s="64">
        <v>-0.93305199999999999</v>
      </c>
      <c r="E81" s="64">
        <v>-0.60469899999999999</v>
      </c>
      <c r="F81" s="8" t="s">
        <v>165</v>
      </c>
      <c r="G81" s="62"/>
      <c r="H81" s="62"/>
      <c r="I81" s="62"/>
      <c r="J81" s="45"/>
      <c r="M81" s="62"/>
      <c r="N81" s="62"/>
      <c r="O81" s="62"/>
    </row>
    <row r="82" spans="1:15" x14ac:dyDescent="0.25">
      <c r="A82" s="5" t="s">
        <v>245</v>
      </c>
      <c r="B82" s="7" t="s">
        <v>127</v>
      </c>
      <c r="C82" s="65">
        <v>0.54144250416666662</v>
      </c>
      <c r="D82" s="65">
        <v>-0.22202739999999999</v>
      </c>
      <c r="E82" s="65">
        <v>-4.5814399999999998E-2</v>
      </c>
      <c r="F82" s="6" t="s">
        <v>167</v>
      </c>
      <c r="G82" s="62"/>
      <c r="H82" s="62"/>
      <c r="I82" s="62"/>
      <c r="J82" s="45"/>
      <c r="M82" s="62"/>
      <c r="N82" s="62"/>
      <c r="O82" s="62"/>
    </row>
    <row r="83" spans="1:15" x14ac:dyDescent="0.25">
      <c r="A83" s="23" t="s">
        <v>250</v>
      </c>
      <c r="B83" s="24" t="s">
        <v>89</v>
      </c>
      <c r="C83" s="64">
        <v>0.53825966666666658</v>
      </c>
      <c r="D83" s="64">
        <v>-2.8886025000000002</v>
      </c>
      <c r="E83" s="64">
        <v>-0.50088699999999997</v>
      </c>
      <c r="F83" s="8" t="s">
        <v>11</v>
      </c>
      <c r="G83" s="62"/>
      <c r="H83" s="62"/>
      <c r="I83" s="62"/>
      <c r="J83" s="45"/>
      <c r="M83" s="62"/>
      <c r="N83" s="62"/>
      <c r="O83" s="62"/>
    </row>
    <row r="84" spans="1:15" x14ac:dyDescent="0.25">
      <c r="A84" s="5" t="s">
        <v>254</v>
      </c>
      <c r="B84" s="7" t="s">
        <v>183</v>
      </c>
      <c r="C84" s="65">
        <v>0.47123495416666672</v>
      </c>
      <c r="D84" s="65">
        <v>-0.23081579999999999</v>
      </c>
      <c r="E84" s="65">
        <v>-1.5389E-2</v>
      </c>
      <c r="F84" s="6" t="s">
        <v>166</v>
      </c>
      <c r="G84" s="62"/>
      <c r="H84" s="62"/>
      <c r="I84" s="62"/>
      <c r="J84" s="45"/>
      <c r="M84" s="62"/>
      <c r="N84" s="62"/>
      <c r="O84" s="62"/>
    </row>
    <row r="85" spans="1:15" x14ac:dyDescent="0.25">
      <c r="A85" s="23" t="s">
        <v>251</v>
      </c>
      <c r="B85" s="24" t="s">
        <v>194</v>
      </c>
      <c r="C85" s="64">
        <v>0.46189761666666668</v>
      </c>
      <c r="D85" s="64">
        <v>-1.5009565</v>
      </c>
      <c r="E85" s="64">
        <v>-6.4793500000000004E-2</v>
      </c>
      <c r="F85" s="8" t="s">
        <v>14</v>
      </c>
      <c r="G85" s="62"/>
      <c r="H85" s="62"/>
      <c r="I85" s="62"/>
      <c r="J85" s="45"/>
      <c r="M85" s="62"/>
      <c r="N85" s="62"/>
      <c r="O85" s="62"/>
    </row>
    <row r="86" spans="1:15" x14ac:dyDescent="0.25">
      <c r="A86" s="5" t="s">
        <v>249</v>
      </c>
      <c r="B86" s="7" t="s">
        <v>119</v>
      </c>
      <c r="C86" s="65">
        <v>0.45876795833333334</v>
      </c>
      <c r="D86" s="65">
        <v>-9.6525E-2</v>
      </c>
      <c r="E86" s="65">
        <v>0.161855</v>
      </c>
      <c r="F86" s="6" t="s">
        <v>10</v>
      </c>
      <c r="G86" s="62"/>
      <c r="H86" s="62"/>
      <c r="I86" s="62"/>
      <c r="J86" s="45"/>
      <c r="M86" s="62"/>
      <c r="N86" s="62"/>
      <c r="O86" s="62"/>
    </row>
    <row r="87" spans="1:15" x14ac:dyDescent="0.25">
      <c r="A87" s="23" t="s">
        <v>192</v>
      </c>
      <c r="B87" s="24" t="s">
        <v>193</v>
      </c>
      <c r="C87" s="64">
        <v>0.45568420833333334</v>
      </c>
      <c r="D87" s="64">
        <v>-5.2882999999999906E-3</v>
      </c>
      <c r="E87" s="64">
        <v>-7.7418999999999995E-3</v>
      </c>
      <c r="F87" s="8" t="s">
        <v>14</v>
      </c>
      <c r="G87" s="62"/>
      <c r="H87" s="62"/>
      <c r="I87" s="62"/>
      <c r="J87" s="45"/>
      <c r="M87" s="62"/>
      <c r="N87" s="62"/>
      <c r="O87" s="62"/>
    </row>
    <row r="88" spans="1:15" x14ac:dyDescent="0.25">
      <c r="A88" s="5" t="s">
        <v>252</v>
      </c>
      <c r="B88" s="7" t="s">
        <v>178</v>
      </c>
      <c r="C88" s="65">
        <v>0.43280030833333327</v>
      </c>
      <c r="D88" s="65">
        <v>-2.6873870000000002</v>
      </c>
      <c r="E88" s="65">
        <v>-0.55664000000000002</v>
      </c>
      <c r="F88" s="6" t="s">
        <v>165</v>
      </c>
      <c r="G88" s="62"/>
      <c r="H88" s="62"/>
      <c r="I88" s="62"/>
      <c r="J88" s="45"/>
      <c r="M88" s="62"/>
      <c r="N88" s="62"/>
      <c r="O88" s="62"/>
    </row>
    <row r="89" spans="1:15" x14ac:dyDescent="0.25">
      <c r="A89" s="23" t="s">
        <v>256</v>
      </c>
      <c r="B89" s="24" t="s">
        <v>195</v>
      </c>
      <c r="C89" s="64">
        <v>0.43256272139999996</v>
      </c>
      <c r="D89" s="64">
        <v>1.6302378792000001</v>
      </c>
      <c r="E89" s="64">
        <v>0.35925401460000012</v>
      </c>
      <c r="F89" s="8" t="s">
        <v>166</v>
      </c>
      <c r="G89" s="62"/>
      <c r="H89" s="62"/>
      <c r="I89" s="62"/>
      <c r="J89" s="45"/>
      <c r="M89" s="62"/>
      <c r="N89" s="62"/>
      <c r="O89" s="62"/>
    </row>
    <row r="90" spans="1:15" x14ac:dyDescent="0.25">
      <c r="A90" s="5" t="s">
        <v>198</v>
      </c>
      <c r="B90" s="7" t="s">
        <v>199</v>
      </c>
      <c r="C90" s="65">
        <v>0.42247395833333329</v>
      </c>
      <c r="D90" s="65">
        <v>0.96957299999999991</v>
      </c>
      <c r="E90" s="65">
        <v>0.226798</v>
      </c>
      <c r="F90" s="6" t="s">
        <v>13</v>
      </c>
      <c r="G90" s="62"/>
      <c r="H90" s="62"/>
      <c r="I90" s="62"/>
      <c r="J90" s="45"/>
      <c r="M90" s="62"/>
      <c r="N90" s="62"/>
      <c r="O90" s="62"/>
    </row>
    <row r="91" spans="1:15" x14ac:dyDescent="0.25">
      <c r="A91" s="23" t="s">
        <v>186</v>
      </c>
      <c r="B91" s="24" t="s">
        <v>187</v>
      </c>
      <c r="C91" s="64">
        <v>0.40431424999999999</v>
      </c>
      <c r="D91" s="64">
        <v>0.52710000000000001</v>
      </c>
      <c r="E91" s="64">
        <v>-0.20366100000000001</v>
      </c>
      <c r="F91" s="8" t="s">
        <v>165</v>
      </c>
      <c r="G91" s="62"/>
      <c r="H91" s="62"/>
      <c r="I91" s="62"/>
      <c r="J91" s="45"/>
      <c r="M91" s="62"/>
      <c r="N91" s="62"/>
      <c r="O91" s="62"/>
    </row>
    <row r="92" spans="1:15" x14ac:dyDescent="0.25">
      <c r="A92" s="5" t="s">
        <v>272</v>
      </c>
      <c r="B92" s="7" t="s">
        <v>273</v>
      </c>
      <c r="C92" s="65">
        <v>0.3952237666666667</v>
      </c>
      <c r="D92" s="65">
        <v>1.2114232</v>
      </c>
      <c r="E92" s="65">
        <v>1.8894500000000029E-2</v>
      </c>
      <c r="F92" s="6" t="s">
        <v>14</v>
      </c>
      <c r="G92" s="62"/>
      <c r="H92" s="62"/>
      <c r="I92" s="62"/>
      <c r="J92" s="45"/>
      <c r="M92" s="62"/>
      <c r="N92" s="62"/>
      <c r="O92" s="62"/>
    </row>
    <row r="93" spans="1:15" x14ac:dyDescent="0.25">
      <c r="A93" s="23" t="s">
        <v>255</v>
      </c>
      <c r="B93" s="24" t="s">
        <v>137</v>
      </c>
      <c r="C93" s="64">
        <v>0.38847552083333331</v>
      </c>
      <c r="D93" s="64">
        <v>-0.59481649999999997</v>
      </c>
      <c r="E93" s="64">
        <v>-9.6041500000000002E-2</v>
      </c>
      <c r="F93" s="8" t="s">
        <v>17</v>
      </c>
      <c r="G93" s="62"/>
      <c r="H93" s="62"/>
      <c r="I93" s="62"/>
      <c r="J93" s="45"/>
      <c r="M93" s="62"/>
      <c r="N93" s="62"/>
      <c r="O93" s="62"/>
    </row>
    <row r="94" spans="1:15" x14ac:dyDescent="0.25">
      <c r="A94" s="5" t="s">
        <v>259</v>
      </c>
      <c r="B94" s="7" t="s">
        <v>143</v>
      </c>
      <c r="C94" s="65">
        <v>0.381519</v>
      </c>
      <c r="D94" s="65">
        <v>0.117086</v>
      </c>
      <c r="E94" s="65">
        <v>7.1361999999999995E-2</v>
      </c>
      <c r="F94" s="6" t="s">
        <v>11</v>
      </c>
      <c r="G94" s="62"/>
      <c r="H94" s="62"/>
      <c r="I94" s="62"/>
      <c r="J94" s="45"/>
      <c r="M94" s="62"/>
      <c r="N94" s="62"/>
      <c r="O94" s="62"/>
    </row>
    <row r="95" spans="1:15" x14ac:dyDescent="0.25">
      <c r="A95" s="23" t="s">
        <v>253</v>
      </c>
      <c r="B95" s="24" t="s">
        <v>185</v>
      </c>
      <c r="C95" s="64">
        <v>0.36451187916666672</v>
      </c>
      <c r="D95" s="64">
        <v>-3.5956099999999998E-2</v>
      </c>
      <c r="E95" s="64">
        <v>5.8739999999999964E-4</v>
      </c>
      <c r="F95" s="8" t="s">
        <v>13</v>
      </c>
      <c r="G95" s="62"/>
      <c r="H95" s="62"/>
      <c r="I95" s="62"/>
      <c r="J95" s="45"/>
      <c r="M95" s="62"/>
      <c r="N95" s="62"/>
      <c r="O95" s="62"/>
    </row>
    <row r="96" spans="1:15" x14ac:dyDescent="0.25">
      <c r="A96" s="5" t="s">
        <v>261</v>
      </c>
      <c r="B96" s="7" t="s">
        <v>263</v>
      </c>
      <c r="C96" s="65">
        <v>0.33136204166666666</v>
      </c>
      <c r="D96" s="65">
        <v>-2.2510979999999998</v>
      </c>
      <c r="E96" s="65">
        <v>-0.80034499999999997</v>
      </c>
      <c r="F96" s="6" t="s">
        <v>166</v>
      </c>
      <c r="G96" s="62"/>
      <c r="H96" s="62"/>
      <c r="I96" s="62"/>
      <c r="J96" s="45"/>
      <c r="M96" s="62"/>
      <c r="N96" s="62"/>
      <c r="O96" s="62"/>
    </row>
    <row r="97" spans="1:15" x14ac:dyDescent="0.25">
      <c r="A97" s="23" t="s">
        <v>274</v>
      </c>
      <c r="B97" s="24" t="s">
        <v>275</v>
      </c>
      <c r="C97" s="64">
        <v>0.33044937499999999</v>
      </c>
      <c r="D97" s="64">
        <v>-0.92087600000000003</v>
      </c>
      <c r="E97" s="64">
        <v>-0.30944199999999999</v>
      </c>
      <c r="F97" s="8" t="s">
        <v>10</v>
      </c>
      <c r="G97" s="62"/>
      <c r="H97" s="62"/>
      <c r="I97" s="62"/>
      <c r="J97" s="45"/>
      <c r="M97" s="62"/>
      <c r="N97" s="62"/>
      <c r="O97" s="62"/>
    </row>
    <row r="98" spans="1:15" x14ac:dyDescent="0.25">
      <c r="A98" s="5" t="s">
        <v>258</v>
      </c>
      <c r="B98" s="7" t="s">
        <v>184</v>
      </c>
      <c r="C98" s="65">
        <v>0.33040860416666668</v>
      </c>
      <c r="D98" s="65">
        <v>-1.5459603</v>
      </c>
      <c r="E98" s="65">
        <v>-0.25123709999999999</v>
      </c>
      <c r="F98" s="6" t="s">
        <v>16</v>
      </c>
      <c r="G98" s="62"/>
      <c r="H98" s="62"/>
      <c r="I98" s="62"/>
      <c r="J98" s="45"/>
      <c r="M98" s="62"/>
      <c r="N98" s="62"/>
      <c r="O98" s="62"/>
    </row>
    <row r="99" spans="1:15" x14ac:dyDescent="0.25">
      <c r="A99" s="23" t="s">
        <v>262</v>
      </c>
      <c r="B99" s="24" t="s">
        <v>264</v>
      </c>
      <c r="C99" s="64">
        <v>0.32942091666666667</v>
      </c>
      <c r="D99" s="64">
        <v>-0.33621899999999999</v>
      </c>
      <c r="E99" s="64">
        <v>-0.115644</v>
      </c>
      <c r="F99" s="8" t="s">
        <v>14</v>
      </c>
      <c r="G99" s="62"/>
      <c r="H99" s="62"/>
      <c r="I99" s="62"/>
      <c r="J99" s="45"/>
      <c r="M99" s="62"/>
      <c r="N99" s="62"/>
      <c r="O99" s="62"/>
    </row>
    <row r="100" spans="1:15" x14ac:dyDescent="0.25">
      <c r="A100" s="5" t="s">
        <v>257</v>
      </c>
      <c r="B100" s="7" t="s">
        <v>196</v>
      </c>
      <c r="C100" s="65">
        <v>0.32354935416666669</v>
      </c>
      <c r="D100" s="65">
        <v>-0.85031000000000001</v>
      </c>
      <c r="E100" s="65">
        <v>-8.4519999999999994E-3</v>
      </c>
      <c r="F100" s="6" t="s">
        <v>16</v>
      </c>
      <c r="G100" s="62"/>
      <c r="H100" s="62"/>
      <c r="I100" s="62"/>
      <c r="J100" s="45"/>
      <c r="M100" s="62"/>
      <c r="N100" s="62"/>
      <c r="O100" s="62"/>
    </row>
    <row r="101" spans="1:15" x14ac:dyDescent="0.25">
      <c r="A101" s="54" t="s">
        <v>188</v>
      </c>
      <c r="B101" s="55" t="s">
        <v>189</v>
      </c>
      <c r="C101" s="66">
        <v>0.31391828333333333</v>
      </c>
      <c r="D101" s="66">
        <v>0.57235800000000003</v>
      </c>
      <c r="E101" s="66">
        <v>9.84241E-2</v>
      </c>
      <c r="F101" s="9" t="s">
        <v>167</v>
      </c>
      <c r="G101" s="62"/>
      <c r="H101" s="62"/>
      <c r="I101" s="62"/>
      <c r="J101" s="45"/>
      <c r="M101" s="62"/>
      <c r="N101" s="62"/>
      <c r="O101" s="62"/>
    </row>
    <row r="102" spans="1:15" x14ac:dyDescent="0.25">
      <c r="A102" s="51"/>
      <c r="B102" s="10"/>
      <c r="C102" s="10"/>
      <c r="D102" s="52"/>
      <c r="E102" s="52"/>
      <c r="F102" s="52"/>
      <c r="H102" s="44"/>
      <c r="J102" s="45"/>
    </row>
    <row r="104" spans="1:15" x14ac:dyDescent="0.25">
      <c r="A104" s="11" t="s">
        <v>67</v>
      </c>
    </row>
    <row r="105" spans="1:15" x14ac:dyDescent="0.25">
      <c r="A105" s="11" t="s">
        <v>82</v>
      </c>
    </row>
    <row r="106" spans="1:15" x14ac:dyDescent="0.25">
      <c r="A106" s="11" t="s">
        <v>170</v>
      </c>
    </row>
    <row r="107" spans="1:15" x14ac:dyDescent="0.25">
      <c r="A107" s="11" t="s">
        <v>169</v>
      </c>
    </row>
    <row r="108" spans="1:15" x14ac:dyDescent="0.25">
      <c r="A108" s="11" t="s">
        <v>177</v>
      </c>
    </row>
    <row r="109" spans="1:15" x14ac:dyDescent="0.25">
      <c r="A109" s="11" t="s">
        <v>75</v>
      </c>
    </row>
  </sheetData>
  <conditionalFormatting sqref="D2:E101">
    <cfRule type="cellIs" dxfId="0" priority="1" operator="lessThan">
      <formula>0</formula>
    </cfRule>
  </conditionalFormatting>
  <pageMargins left="0.7" right="0.7" top="0.75" bottom="0.75" header="0.3" footer="0.3"/>
  <pageSetup scale="65" orientation="portrait" r:id="rId1"/>
  <ignoredErrors>
    <ignoredError sqref="B88 B55 B38"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ct:contentTypeSchema xmlns:ct="http://schemas.microsoft.com/office/2006/metadata/contentType" xmlns:ma="http://schemas.microsoft.com/office/2006/metadata/properties/metaAttributes" ct:_="" ma:_="" ma:contentTypeName="Document" ma:contentTypeID="0x010100C73C322B87F9DB478CDBF21FF9A1AC25" ma:contentTypeVersion="14" ma:contentTypeDescription="Create a new document." ma:contentTypeScope="" ma:versionID="88fb3379f4dd4d45a1776bbb3f7f85e2">
  <xsd:schema xmlns:xsd="http://www.w3.org/2001/XMLSchema" xmlns:xs="http://www.w3.org/2001/XMLSchema" xmlns:p="http://schemas.microsoft.com/office/2006/metadata/properties" xmlns:ns2="0e150e42-11db-4e44-8c08-ff55b6be9113" xmlns:ns3="438befb3-1295-445d-b972-de92b682dc33" targetNamespace="http://schemas.microsoft.com/office/2006/metadata/properties" ma:root="true" ma:fieldsID="7ddd39401f76dd881ecd6b07b13cfe3d" ns2:_="" ns3:_="">
    <xsd:import namespace="0e150e42-11db-4e44-8c08-ff55b6be9113"/>
    <xsd:import namespace="438befb3-1295-445d-b972-de92b682dc33"/>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150e42-11db-4e44-8c08-ff55b6be911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6" nillable="true" ma:displayName="Taxonomy Catch All Column" ma:hidden="true" ma:list="{ada94355-f34e-4175-a560-08621742e40e}" ma:internalName="TaxCatchAll" ma:showField="CatchAllData" ma:web="0e150e42-11db-4e44-8c08-ff55b6be911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38befb3-1295-445d-b972-de92b682dc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ac77378-129d-443c-99f9-591a63eac0d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878CE94-C454-4A04-B437-5603374FB01F}">
  <ds:schemaRefs>
    <ds:schemaRef ds:uri="http://schemas.microsoft.com/sharepoint/events"/>
  </ds:schemaRefs>
</ds:datastoreItem>
</file>

<file path=customXml/itemProps2.xml><?xml version="1.0" encoding="utf-8"?>
<ds:datastoreItem xmlns:ds="http://schemas.openxmlformats.org/officeDocument/2006/customXml" ds:itemID="{5C48DA11-414A-4A4F-8C35-B85F9A7B10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150e42-11db-4e44-8c08-ff55b6be9113"/>
    <ds:schemaRef ds:uri="438befb3-1295-445d-b972-de92b682dc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B9DFD5A-5B98-4FC4-88C5-38A4EF6FA71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Weekly Top 10</vt:lpstr>
      <vt:lpstr>Institutional</vt:lpstr>
      <vt:lpstr>Retail</vt:lpstr>
      <vt:lpstr>STI Constituents</vt:lpstr>
      <vt:lpstr>100 Most Traded Stocks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SGX Research</dc:title>
  <dc:creator>Emelia Wan Yi Tan</dc:creator>
  <cp:lastModifiedBy>Jihye Lee</cp:lastModifiedBy>
  <cp:lastPrinted>2021-05-10T01:23:04Z</cp:lastPrinted>
  <dcterms:created xsi:type="dcterms:W3CDTF">2020-01-13T01:31:10Z</dcterms:created>
  <dcterms:modified xsi:type="dcterms:W3CDTF">2024-02-05T05:43:28Z</dcterms:modified>
</cp:coreProperties>
</file>