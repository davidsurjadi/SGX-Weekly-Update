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7470F98B-49E0-4986-8293-57193B2A6A8B}" xr6:coauthVersionLast="47" xr6:coauthVersionMax="47" xr10:uidLastSave="{00000000-0000-0000-0000-000000000000}"/>
  <bookViews>
    <workbookView xWindow="-105" yWindow="-16200" windowWidth="14610" windowHeight="15585"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<sst xmlns="http://schemas.openxmlformats.org/spreadsheetml/2006/main" count="139" uniqueCount="83">
  <si>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</si>
  <si>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</si>
  <si>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</si>
  <si>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</si>
  <si>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</si>
  <si>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</si>
  <si>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</si>
  <si>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</si>
  <si>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</si>
  <si>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</si>
  <si>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</si>
  <si>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</si>
  <si>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</si>
  <si>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</si>
  <si>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</si>
  <si>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</si>
  <si>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</si>
  <si>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</si>
  <si>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</si>
  <si>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</si>
  <si>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</si>
  <si>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</si>
  <si>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</si>
  <si>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</si>
  <si>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</si>
  <si>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</si>
  <si>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</si>
  <si>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</si>
  <si>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</si>
  <si>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</si>
  <si>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</si>
  <si>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</si>
  <si>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</si>
  <si>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</si>
  <si>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</si>
  <si>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</si>
  <si>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</si>
  <si>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</si>
  <si>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UOB</t>
  </si>
  <si>
    <t>U11</t>
  </si>
  <si>
    <t>ST Engineering</t>
  </si>
  <si>
    <t>S63</t>
  </si>
  <si>
    <t>SIA</t>
  </si>
  <si>
    <t>C6L</t>
  </si>
  <si>
    <t>Yangzijiang Shipbuilding</t>
  </si>
  <si>
    <t>BS6</t>
  </si>
  <si>
    <t>CapitaLand Ascendas REIT</t>
  </si>
  <si>
    <t>A17U</t>
  </si>
  <si>
    <t>UMS</t>
  </si>
  <si>
    <t>558</t>
  </si>
  <si>
    <t xml:space="preserve">AEM </t>
  </si>
  <si>
    <t>AWX</t>
  </si>
  <si>
    <t>UOL</t>
  </si>
  <si>
    <t>U14</t>
  </si>
  <si>
    <t>Hongkong Land</t>
  </si>
  <si>
    <t>H78</t>
  </si>
  <si>
    <t>SGX</t>
  </si>
  <si>
    <t>S68</t>
  </si>
  <si>
    <t>Sembcorp Industries</t>
  </si>
  <si>
    <t>U96</t>
  </si>
  <si>
    <t>City Developments</t>
  </si>
  <si>
    <t>C09</t>
  </si>
  <si>
    <t>Keppel</t>
  </si>
  <si>
    <t>BN4</t>
  </si>
  <si>
    <t>CapitaLand Investment</t>
  </si>
  <si>
    <t>9CI</t>
  </si>
  <si>
    <t>SATS</t>
  </si>
  <si>
    <t>S58</t>
  </si>
  <si>
    <t>UltraGreen.ai</t>
  </si>
  <si>
    <t>ULG</t>
  </si>
  <si>
    <t>Keppel DC REIT</t>
  </si>
  <si>
    <t>AJBU</t>
  </si>
  <si>
    <t>ComfortDelGro</t>
  </si>
  <si>
    <t>C52</t>
  </si>
  <si>
    <t>PC Partner</t>
  </si>
  <si>
    <t>PCT</t>
  </si>
  <si>
    <t>CNMC Goldmine</t>
  </si>
  <si>
    <t>5TP</t>
  </si>
  <si>
    <t>Bumitama Agri</t>
  </si>
  <si>
    <t>P8Z</t>
  </si>
  <si>
    <t>Week of 17 August 2026</t>
  </si>
  <si>
    <r>
      <t xml:space="preserve">Institutional investors net </t>
    </r>
    <r>
      <rPr>
        <b/>
        <sz val="11"/>
        <rFont val="Arial"/>
        <family val="2"/>
      </rPr>
      <t>sell</t>
    </r>
    <r>
      <rPr>
        <sz val="11"/>
        <rFont val="Arial"/>
        <family val="2"/>
      </rPr>
      <t xml:space="preserve"> (-S$159.8m) vs. (-S$307.3m) a week ago</t>
    </r>
  </si>
  <si>
    <r>
      <t xml:space="preserve">Retail investors net </t>
    </r>
    <r>
      <rPr>
        <b/>
        <sz val="11"/>
        <rFont val="Arial"/>
        <family val="2"/>
      </rPr>
      <t>buy</t>
    </r>
    <r>
      <rPr>
        <sz val="11"/>
        <rFont val="Arial"/>
        <family val="2"/>
      </rPr>
      <t xml:space="preserve"> (+S$323.1m) vs. (+S$295.3m)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</si>
</sst>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43" fontId="1" fillId="0" borderId="0" applyFont="0" applyFill="0" applyBorder="0" applyAlignment="0" applyProtection="0"/>
  </cellStyleXfs>
  <cellXfs count="80">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4"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4"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0" fontId="3" fillId="0" borderId="0" xfId="0" applyFont="1" applyBorder="1" applyAlignment="1">
      <alignment horizontal="left"/>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5" zoomScaleNormal="85"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80</v>
      </c>
      <c r="C1" s="59"/>
    </row>
    <row r="2" spans="1:13" x14ac:dyDescent="0.3">
      <c r="A2" s="52" t="s">
        <v>81</v>
      </c>
      <c r="I2" s="40"/>
    </row>
    <row r="3" spans="1:13" x14ac:dyDescent="0.3">
      <c r="A3" s="52" t="s">
        <v>82</v>
      </c>
      <c r="I3" s="40"/>
    </row>
    <row r="5" spans="1:13" ht="29.25" customHeight="1" x14ac:dyDescent="0.3">
      <c r="A5" s="3" t="s">
        <v>0</v>
      </c>
      <c r="B5" s="3" t="s">
        <v>1</v>
      </c>
      <c r="C5" s="4" t="s">
        <v>80</v>
      </c>
      <c r="D5" s="43" t="s">
        <v>2</v>
      </c>
      <c r="E5" s="43" t="s">
        <v>1</v>
      </c>
      <c r="F5" s="44" t="str">
        <f>+C5</f>
        <v>Week of 17 August 2026</v>
      </c>
      <c r="I5" s="2"/>
    </row>
    <row r="6" spans="1:13" ht="14.5" x14ac:dyDescent="0.35">
      <c r="A6" s="28" t="s">
        <v>22</v>
      </c>
      <c r="B6" s="46" t="s">
        <v>21</v>
      </c>
      <c r="C6" s="5">
        <v>70.930966999999995</v>
      </c>
      <c r="D6" s="28" t="s">
        <v>34</v>
      </c>
      <c r="E6" s="46" t="s">
        <v>35</v>
      </c>
      <c r="F6" s="5">
        <v>-105.112438</v>
      </c>
      <c r="G6" s="61"/>
      <c r="H6"/>
      <c r="I6" s="2"/>
      <c r="M6"/>
    </row>
    <row r="7" spans="1:13" ht="14.5" x14ac:dyDescent="0.35">
      <c r="A7" s="29" t="s">
        <v>58</v>
      </c>
      <c r="B7" s="9" t="s">
        <v>59</v>
      </c>
      <c r="C7" s="7">
        <v>63.410598</v>
      </c>
      <c r="D7" s="29" t="s">
        <v>38</v>
      </c>
      <c r="E7" s="9" t="s">
        <v>39</v>
      </c>
      <c r="F7" s="7">
        <v>-75.733918000000003</v>
      </c>
      <c r="G7" s="61"/>
      <c r="H7"/>
      <c r="I7" s="2"/>
      <c r="L7"/>
      <c r="M7"/>
    </row>
    <row r="8" spans="1:13" ht="14.5" x14ac:dyDescent="0.35">
      <c r="A8" s="30" t="s">
        <v>44</v>
      </c>
      <c r="B8" s="46" t="s">
        <v>45</v>
      </c>
      <c r="C8" s="5">
        <v>43.225985000000001</v>
      </c>
      <c r="D8" s="30" t="s">
        <v>64</v>
      </c>
      <c r="E8" s="46" t="s">
        <v>65</v>
      </c>
      <c r="F8" s="5">
        <v>-60.242838999999996</v>
      </c>
      <c r="G8" s="61"/>
      <c r="H8"/>
      <c r="I8" s="2"/>
      <c r="L8"/>
      <c r="M8"/>
    </row>
    <row r="9" spans="1:13" ht="14.5" x14ac:dyDescent="0.35">
      <c r="A9" s="29" t="s">
        <v>40</v>
      </c>
      <c r="B9" s="9" t="s">
        <v>41</v>
      </c>
      <c r="C9" s="7">
        <v>31.727155</v>
      </c>
      <c r="D9" s="29" t="s">
        <v>36</v>
      </c>
      <c r="E9" s="9" t="s">
        <v>37</v>
      </c>
      <c r="F9" s="7">
        <v>-41.990215599999999</v>
      </c>
      <c r="G9" s="61"/>
      <c r="H9"/>
      <c r="I9" s="2"/>
      <c r="L9"/>
      <c r="M9"/>
    </row>
    <row r="10" spans="1:13" ht="14.5" x14ac:dyDescent="0.35">
      <c r="A10" s="30" t="s">
        <v>62</v>
      </c>
      <c r="B10" s="46" t="s">
        <v>63</v>
      </c>
      <c r="C10" s="5">
        <v>26.584064999999999</v>
      </c>
      <c r="D10" s="30" t="s">
        <v>50</v>
      </c>
      <c r="E10" s="46" t="s">
        <v>51</v>
      </c>
      <c r="F10" s="5">
        <v>-39.898663999999997</v>
      </c>
      <c r="G10" s="61"/>
      <c r="H10"/>
      <c r="I10" s="2"/>
      <c r="L10"/>
      <c r="M10"/>
    </row>
    <row r="11" spans="1:13" ht="14.5" x14ac:dyDescent="0.35">
      <c r="A11" s="29" t="s">
        <v>52</v>
      </c>
      <c r="B11" s="9" t="s">
        <v>53</v>
      </c>
      <c r="C11" s="7">
        <v>19.930326000000001</v>
      </c>
      <c r="D11" s="29" t="s">
        <v>66</v>
      </c>
      <c r="E11" s="9" t="s">
        <v>67</v>
      </c>
      <c r="F11" s="7">
        <v>-32.563468</v>
      </c>
      <c r="G11" s="61"/>
      <c r="H11"/>
      <c r="I11" s="2"/>
      <c r="L11"/>
      <c r="M11"/>
    </row>
    <row r="12" spans="1:13" ht="14.5" x14ac:dyDescent="0.35">
      <c r="A12" s="30" t="s">
        <v>54</v>
      </c>
      <c r="B12" s="46" t="s">
        <v>55</v>
      </c>
      <c r="C12" s="5">
        <v>13.335378125982199</v>
      </c>
      <c r="D12" s="30" t="s">
        <v>68</v>
      </c>
      <c r="E12" s="46" t="s">
        <v>69</v>
      </c>
      <c r="F12" s="5">
        <v>-31.785626530350001</v>
      </c>
      <c r="G12" s="61"/>
      <c r="H12"/>
      <c r="I12" s="2"/>
      <c r="L12"/>
      <c r="M12"/>
    </row>
    <row r="13" spans="1:13" ht="14.5" x14ac:dyDescent="0.35">
      <c r="A13" s="29" t="s">
        <v>48</v>
      </c>
      <c r="B13" s="9" t="s">
        <v>49</v>
      </c>
      <c r="C13" s="7">
        <v>12.807093999999999</v>
      </c>
      <c r="D13" s="29" t="s">
        <v>70</v>
      </c>
      <c r="E13" s="9" t="s">
        <v>71</v>
      </c>
      <c r="F13" s="7">
        <v>-16.442388000000001</v>
      </c>
      <c r="G13" s="61"/>
      <c r="H13"/>
      <c r="I13" s="2"/>
      <c r="L13"/>
      <c r="M13"/>
    </row>
    <row r="14" spans="1:13" ht="14.5" x14ac:dyDescent="0.35">
      <c r="A14" s="30" t="s">
        <v>56</v>
      </c>
      <c r="B14" s="46" t="s">
        <v>57</v>
      </c>
      <c r="C14" s="5">
        <v>11.236708</v>
      </c>
      <c r="D14" s="30" t="s">
        <v>42</v>
      </c>
      <c r="E14" s="46" t="s">
        <v>43</v>
      </c>
      <c r="F14" s="5">
        <v>-14.649015</v>
      </c>
      <c r="G14" s="61"/>
      <c r="H14"/>
      <c r="I14" s="2"/>
      <c r="L14"/>
      <c r="M14"/>
    </row>
    <row r="15" spans="1:13" ht="14.5" x14ac:dyDescent="0.35">
      <c r="A15" s="31" t="s">
        <v>60</v>
      </c>
      <c r="B15" s="27" t="s">
        <v>61</v>
      </c>
      <c r="C15" s="8">
        <v>9.9020820000000001</v>
      </c>
      <c r="D15" s="31" t="s">
        <v>72</v>
      </c>
      <c r="E15" s="27" t="s">
        <v>73</v>
      </c>
      <c r="F15" s="8">
        <v>-8.6658480000000004</v>
      </c>
      <c r="G15" s="61"/>
      <c r="H15"/>
      <c r="I15" s="2"/>
      <c r="L15"/>
      <c r="M15"/>
    </row>
    <row r="16" spans="1:13" ht="15.5" x14ac:dyDescent="0.35">
      <c r="A16" s="79"/>
      <c r="B16" s="9"/>
      <c r="C16" s="9"/>
      <c r="D16" s="26"/>
      <c r="E16" s="9"/>
      <c r="F16" s="9"/>
    </row>
    <row r="17" spans="1:9" x14ac:dyDescent="0.3">
      <c r="A17" s="9"/>
      <c r="B17" s="9"/>
      <c r="C17" s="9"/>
      <c r="D17" s="9"/>
      <c r="E17" s="9"/>
      <c r="F17" s="9"/>
    </row>
    <row r="18" spans="1:9" ht="28.5" customHeight="1" x14ac:dyDescent="0.3">
      <c r="A18" s="33" t="s">
        <v>3</v>
      </c>
      <c r="B18" s="3" t="s">
        <v>1</v>
      </c>
      <c r="C18" s="4" t="str">
        <f>C5</f>
        <v>Week of 17 August 2026</v>
      </c>
      <c r="D18" s="45" t="s">
        <v>4</v>
      </c>
      <c r="E18" s="43" t="s">
        <v>1</v>
      </c>
      <c r="F18" s="44" t="str">
        <f>+C18</f>
        <v>Week of 17 August 2026</v>
      </c>
    </row>
    <row r="19" spans="1:9" x14ac:dyDescent="0.3">
      <c r="A19" s="30" t="s">
        <v>34</v>
      </c>
      <c r="B19" s="46" t="s">
        <v>35</v>
      </c>
      <c r="C19" s="16">
        <v>106.5381</v>
      </c>
      <c r="D19" s="30" t="s">
        <v>58</v>
      </c>
      <c r="E19" s="15" t="s">
        <v>59</v>
      </c>
      <c r="F19" s="5">
        <v>-49.276409999999998</v>
      </c>
      <c r="I19" s="2"/>
    </row>
    <row r="20" spans="1:9" ht="14.5" x14ac:dyDescent="0.35">
      <c r="A20" s="29" t="s">
        <v>66</v>
      </c>
      <c r="B20" s="9" t="s">
        <v>67</v>
      </c>
      <c r="C20" s="7">
        <v>56.262264999999999</v>
      </c>
      <c r="D20" s="29" t="s">
        <v>48</v>
      </c>
      <c r="E20" s="17" t="s">
        <v>49</v>
      </c>
      <c r="F20" s="7">
        <v>-30.570900000000002</v>
      </c>
      <c r="G20" s="61"/>
      <c r="I20" s="2"/>
    </row>
    <row r="21" spans="1:9" ht="14.5" x14ac:dyDescent="0.35">
      <c r="A21" s="30" t="s">
        <v>22</v>
      </c>
      <c r="B21" s="46" t="s">
        <v>21</v>
      </c>
      <c r="C21" s="5">
        <v>50.093528999999997</v>
      </c>
      <c r="D21" s="30" t="s">
        <v>40</v>
      </c>
      <c r="E21" s="6" t="s">
        <v>41</v>
      </c>
      <c r="F21" s="5">
        <v>-21.196126</v>
      </c>
      <c r="G21" s="61"/>
      <c r="I21" s="2"/>
    </row>
    <row r="22" spans="1:9" ht="14.5" x14ac:dyDescent="0.35">
      <c r="A22" s="29" t="s">
        <v>38</v>
      </c>
      <c r="B22" s="9" t="s">
        <v>39</v>
      </c>
      <c r="C22" s="7">
        <v>42.640703000000002</v>
      </c>
      <c r="D22" s="29" t="s">
        <v>44</v>
      </c>
      <c r="E22" s="17" t="s">
        <v>45</v>
      </c>
      <c r="F22" s="7">
        <v>-20.47372</v>
      </c>
      <c r="G22" s="61"/>
      <c r="I22" s="2"/>
    </row>
    <row r="23" spans="1:9" ht="14.5" x14ac:dyDescent="0.35">
      <c r="A23" s="30" t="s">
        <v>50</v>
      </c>
      <c r="B23" s="68" t="s">
        <v>51</v>
      </c>
      <c r="C23" s="69">
        <v>40.5437984</v>
      </c>
      <c r="D23" s="30" t="s">
        <v>62</v>
      </c>
      <c r="E23" s="6" t="s">
        <v>63</v>
      </c>
      <c r="F23" s="5">
        <v>-19.578582999999998</v>
      </c>
      <c r="G23" s="61"/>
      <c r="I23" s="2"/>
    </row>
    <row r="24" spans="1:9" ht="14.5" x14ac:dyDescent="0.35">
      <c r="A24" s="70" t="s">
        <v>68</v>
      </c>
      <c r="B24" s="71" t="s">
        <v>69</v>
      </c>
      <c r="C24" s="72">
        <v>29.348416707950001</v>
      </c>
      <c r="D24" s="29" t="s">
        <v>76</v>
      </c>
      <c r="E24" s="17" t="s">
        <v>77</v>
      </c>
      <c r="F24" s="7">
        <v>-10.66217</v>
      </c>
      <c r="G24" s="61"/>
      <c r="I24" s="2"/>
    </row>
    <row r="25" spans="1:9" ht="14.5" x14ac:dyDescent="0.35">
      <c r="A25" s="30" t="s">
        <v>46</v>
      </c>
      <c r="B25" s="68" t="s">
        <v>47</v>
      </c>
      <c r="C25" s="69">
        <v>26.223464</v>
      </c>
      <c r="D25" s="30" t="s">
        <v>54</v>
      </c>
      <c r="E25" s="6" t="s">
        <v>55</v>
      </c>
      <c r="F25" s="5">
        <v>-10.337746870982199</v>
      </c>
      <c r="G25" s="61"/>
      <c r="I25" s="2"/>
    </row>
    <row r="26" spans="1:9" ht="14.5" x14ac:dyDescent="0.35">
      <c r="A26" s="70" t="s">
        <v>56</v>
      </c>
      <c r="B26" s="71" t="s">
        <v>57</v>
      </c>
      <c r="C26" s="72">
        <v>20.358530999999999</v>
      </c>
      <c r="D26" s="29" t="s">
        <v>70</v>
      </c>
      <c r="E26" s="17" t="s">
        <v>71</v>
      </c>
      <c r="F26" s="7">
        <v>-9.6841779999999993</v>
      </c>
      <c r="G26" s="61"/>
      <c r="I26" s="2"/>
    </row>
    <row r="27" spans="1:9" ht="14.5" x14ac:dyDescent="0.35">
      <c r="A27" s="30" t="s">
        <v>74</v>
      </c>
      <c r="B27" s="46" t="s">
        <v>75</v>
      </c>
      <c r="C27" s="5">
        <v>13.723329</v>
      </c>
      <c r="D27" s="30" t="s">
        <v>78</v>
      </c>
      <c r="E27" s="46" t="s">
        <v>79</v>
      </c>
      <c r="F27" s="5">
        <v>-7.2207249999999998</v>
      </c>
      <c r="G27" s="61"/>
      <c r="I27" s="2"/>
    </row>
    <row r="28" spans="1:9" ht="14.5" x14ac:dyDescent="0.35">
      <c r="A28" s="27" t="s">
        <v>72</v>
      </c>
      <c r="B28" s="56" t="s">
        <v>73</v>
      </c>
      <c r="C28" s="8">
        <v>11.725566000000001</v>
      </c>
      <c r="D28" s="67" t="s">
        <v>60</v>
      </c>
      <c r="E28" s="56" t="s">
        <v>61</v>
      </c>
      <c r="F28" s="8">
        <v>-6.1394729999999997</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13 E2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-47.829518320330045</v>
      </c>
      <c r="B3" s="54">
        <v>46230</v>
      </c>
      <c r="C3" s="14">
        <v>2.0699702560200004</v>
      </c>
      <c r="D3" s="14">
        <v>10.612029431999998</v>
      </c>
      <c r="E3" s="14">
        <v>0.48118709999999998</v>
      </c>
      <c r="F3" s="14">
        <v>-170.48185860000001</v>
      </c>
      <c r="G3" s="14">
        <v>-5.5409980041000004</v>
      </c>
      <c r="H3" s="14">
        <v>50.018112621529994</v>
      </c>
      <c r="I3" s="14">
        <v>-1.2872825000000001</v>
      </c>
      <c r="J3" s="14">
        <v>12.681153542799997</v>
      </c>
      <c r="K3" s="14">
        <v>14.740443581420003</v>
      </c>
      <c r="L3" s="14">
        <v>-120.93934685000002</v>
      </c>
      <c r="M3" s="14">
        <v>164.32504739999999</v>
      </c>
      <c r="N3" s="14">
        <v>-4.507976300000001</v>
      </c>
    </row>
    <row r="4" spans="1:15" x14ac:dyDescent="0.3">
      <c r="A4" s="38">
        <f>SUM(C4:N4)</f>
        <v>-167.67399951827005</v>
      </c>
      <c r="B4" s="42">
        <v>46237</v>
      </c>
      <c r="C4" s="53">
        <v>-4.3076625545699994</v>
      </c>
      <c r="D4" s="53">
        <v>0.38513671329999966</v>
      </c>
      <c r="E4" s="53">
        <v>-6.2908800000000001E-2</v>
      </c>
      <c r="F4" s="53">
        <v>-109.86686390000003</v>
      </c>
      <c r="G4" s="53">
        <v>-7.0380645749000008</v>
      </c>
      <c r="H4" s="53">
        <v>43.169706340049999</v>
      </c>
      <c r="I4" s="53">
        <v>6.4509719000000008</v>
      </c>
      <c r="J4" s="53">
        <v>15.879312735700001</v>
      </c>
      <c r="K4" s="53">
        <v>-21.20302597785</v>
      </c>
      <c r="L4" s="53">
        <v>23.518386999999997</v>
      </c>
      <c r="M4" s="53">
        <v>-117.6638203</v>
      </c>
      <c r="N4" s="53">
        <v>3.0648319000000002</v>
      </c>
    </row>
    <row r="5" spans="1:15" x14ac:dyDescent="0.3">
      <c r="A5" s="38">
        <f>SUM(C5:N5)</f>
        <v>-307.25008399226499</v>
      </c>
      <c r="B5" s="66">
        <v>46244</v>
      </c>
      <c r="C5" s="14">
        <v>14.779229764000004</v>
      </c>
      <c r="D5" s="14">
        <v>-3.2124419970999982</v>
      </c>
      <c r="E5" s="14">
        <v>1.0904613999999999</v>
      </c>
      <c r="F5" s="14">
        <v>-272.28490060000001</v>
      </c>
      <c r="G5" s="14">
        <v>-12.070161877200002</v>
      </c>
      <c r="H5" s="14">
        <v>-38.031075812909982</v>
      </c>
      <c r="I5" s="14">
        <v>6.1474011000000006</v>
      </c>
      <c r="J5" s="14">
        <v>55.414644260385018</v>
      </c>
      <c r="K5" s="14">
        <v>-65.23532822944</v>
      </c>
      <c r="L5" s="14">
        <v>64.275245200000001</v>
      </c>
      <c r="M5" s="14">
        <v>-74.757144999999994</v>
      </c>
      <c r="N5" s="14">
        <v>16.6339878</v>
      </c>
    </row>
    <row r="6" spans="1:15" ht="14.5" x14ac:dyDescent="0.35">
      <c r="A6" s="38">
        <f>SUM(C6:N6)</f>
        <v>-159.80717023040779</v>
      </c>
      <c r="B6" s="58">
        <v>46251</v>
      </c>
      <c r="C6" s="53">
        <v>-0.9576111794900003</v>
      </c>
      <c r="D6" s="53">
        <v>-1.5489792026999991</v>
      </c>
      <c r="E6" s="53">
        <v>2.3022426999999999</v>
      </c>
      <c r="F6" s="53">
        <v>-159.65649329999999</v>
      </c>
      <c r="G6" s="53">
        <v>-42.238482906950004</v>
      </c>
      <c r="H6" s="53">
        <v>49.007940978830028</v>
      </c>
      <c r="I6" s="53">
        <v>-0.97264859999999964</v>
      </c>
      <c r="J6" s="53">
        <v>43.724565325982205</v>
      </c>
      <c r="K6" s="53">
        <v>-25.065533046079999</v>
      </c>
      <c r="L6" s="53">
        <v>-48.575606100000016</v>
      </c>
      <c r="M6" s="53">
        <v>-38.094799600000002</v>
      </c>
      <c r="N6" s="53">
        <v>62.268234699999994</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161.78933046004994</v>
      </c>
      <c r="B3" s="47">
        <v>46230</v>
      </c>
      <c r="C3" s="60">
        <v>-14.028949519839999</v>
      </c>
      <c r="D3" s="60">
        <v>-25.865838059999994</v>
      </c>
      <c r="E3" s="60">
        <v>-0.25455219999999995</v>
      </c>
      <c r="F3" s="60">
        <v>197.90596509999997</v>
      </c>
      <c r="G3" s="60">
        <v>4.4751604970000001</v>
      </c>
      <c r="H3" s="60">
        <v>5.0257704291699952</v>
      </c>
      <c r="I3" s="60">
        <v>1.8769159999999996</v>
      </c>
      <c r="J3" s="60">
        <v>-31.588692005200002</v>
      </c>
      <c r="K3" s="60">
        <v>-15.323113531080001</v>
      </c>
      <c r="L3" s="60">
        <v>115.53402385</v>
      </c>
      <c r="M3" s="60">
        <v>-78.194310200000004</v>
      </c>
      <c r="N3" s="60">
        <v>2.2269500999999994</v>
      </c>
      <c r="P3" s="13"/>
    </row>
    <row r="4" spans="1:20" x14ac:dyDescent="0.3">
      <c r="A4" s="48">
        <f>SUM(C4:N4)</f>
        <v>153.91995260158993</v>
      </c>
      <c r="B4" s="58">
        <v>46237</v>
      </c>
      <c r="C4" s="55">
        <v>14.03731762945</v>
      </c>
      <c r="D4" s="55">
        <v>10.040681425700003</v>
      </c>
      <c r="E4" s="55">
        <v>5.6766999999999929E-3</v>
      </c>
      <c r="F4" s="55">
        <v>73.213340899999992</v>
      </c>
      <c r="G4" s="55">
        <v>6.6208759383999993</v>
      </c>
      <c r="H4" s="55">
        <v>-69.964664523350024</v>
      </c>
      <c r="I4" s="55">
        <v>-7.7421056999999998</v>
      </c>
      <c r="J4" s="55">
        <v>4.4275245698000028</v>
      </c>
      <c r="K4" s="55">
        <v>96.246842061589987</v>
      </c>
      <c r="L4" s="55">
        <v>-50.240634500000013</v>
      </c>
      <c r="M4" s="55">
        <v>68.993619499999994</v>
      </c>
      <c r="N4" s="55">
        <v>8.281478599999998</v>
      </c>
      <c r="P4" s="13"/>
    </row>
    <row r="5" spans="1:20" x14ac:dyDescent="0.3">
      <c r="A5" s="48">
        <f>SUM(C5:N5)</f>
        <v>295.25673357936512</v>
      </c>
      <c r="B5" s="66">
        <v>46244</v>
      </c>
      <c r="C5" s="60">
        <v>-25.072463919859999</v>
      </c>
      <c r="D5" s="60">
        <v>12.2261509855</v>
      </c>
      <c r="E5" s="60">
        <v>-3.3276221000000001</v>
      </c>
      <c r="F5" s="60">
        <v>490.35493560000003</v>
      </c>
      <c r="G5" s="60">
        <v>19.997319469799997</v>
      </c>
      <c r="H5" s="60">
        <v>-119.89992036930994</v>
      </c>
      <c r="I5" s="60">
        <v>-3.4244699999999999</v>
      </c>
      <c r="J5" s="60">
        <v>2.0789005248150003</v>
      </c>
      <c r="K5" s="60">
        <v>86.174509938420016</v>
      </c>
      <c r="L5" s="60">
        <v>-118.02457465000002</v>
      </c>
      <c r="M5" s="60">
        <v>-23.2398226</v>
      </c>
      <c r="N5" s="60">
        <v>-22.5862093</v>
      </c>
      <c r="P5" s="13"/>
    </row>
    <row r="6" spans="1:20" x14ac:dyDescent="0.3">
      <c r="A6" s="48">
        <f>SUM(C6:N6)</f>
        <v>323.09934839021781</v>
      </c>
      <c r="B6" s="58">
        <v>46251</v>
      </c>
      <c r="C6" s="55">
        <v>-2.9578737817500005</v>
      </c>
      <c r="D6" s="55">
        <v>-2.1964383981999984</v>
      </c>
      <c r="E6" s="55">
        <v>-0.8407076</v>
      </c>
      <c r="F6" s="55">
        <v>231.29831369999999</v>
      </c>
      <c r="G6" s="55">
        <v>45.222161290950005</v>
      </c>
      <c r="H6" s="55">
        <v>24.459292761200004</v>
      </c>
      <c r="I6" s="55">
        <v>-8.2196931000000006</v>
      </c>
      <c r="J6" s="55">
        <v>-19.033762670982195</v>
      </c>
      <c r="K6" s="55">
        <v>62.702690888999975</v>
      </c>
      <c r="L6" s="55">
        <v>41.831941999999991</v>
      </c>
      <c r="M6" s="55">
        <v>0.11646400000000028</v>
      </c>
      <c r="N6" s="55">
        <v>-49.283040699999994</v>
      </c>
      <c r="P6" s="13"/>
    </row>
    <row r="7" spans="1:20" ht="14.5" x14ac:dyDescent="0.35">
      <c r="A7" s="51"/>
      <c r="B7" s="41"/>
      <c r="C7" s="39"/>
      <c r="D7" s="39"/>
      <c r="E7" s="39"/>
      <c r="F7" s="39"/>
      <c r="G7" s="39"/>
      <c r="H7" s="39"/>
      <c r="I7" s="39"/>
      <c r="J7" s="39"/>
      <c r="K7" s="39"/>
      <c r="L7" s="39"/>
      <c r="M7" s="39"/>
      <c r="N7" s="39"/>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Eden Ow</cp:lastModifiedBy>
  <cp:lastPrinted>2024-07-01T01:26:22Z</cp:lastPrinted>
  <dcterms:created xsi:type="dcterms:W3CDTF">2020-01-13T01:31:10Z</dcterms:created>
  <dcterms:modified xsi:type="dcterms:W3CDTF">2026-08-24T02:01:17Z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{"port":50157,"version":"1.26.718"}</vt:lpwstr>
  </property>
</Properties>
</file>